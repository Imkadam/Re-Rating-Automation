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6788366\Downloads\"/>
    </mc:Choice>
  </mc:AlternateContent>
  <xr:revisionPtr revIDLastSave="0" documentId="8_{22E97B80-0050-4219-9E40-92DA9C74C93E}" xr6:coauthVersionLast="47" xr6:coauthVersionMax="47" xr10:uidLastSave="{00000000-0000-0000-0000-000000000000}"/>
  <bookViews>
    <workbookView xWindow="-110" yWindow="-110" windowWidth="19420" windowHeight="11500" tabRatio="926" firstSheet="1" activeTab="1" xr2:uid="{00000000-000D-0000-FFFF-FFFF00000000}"/>
  </bookViews>
  <sheets>
    <sheet name="Selection" sheetId="1" r:id="rId1"/>
    <sheet name="Navigation Tab" sheetId="63" r:id="rId2"/>
    <sheet name="Patient" sheetId="17" state="hidden" r:id="rId3"/>
    <sheet name="Developer Notes" sheetId="49" state="hidden" r:id="rId4"/>
    <sheet name="Queries" sheetId="2" state="hidden" r:id="rId5"/>
    <sheet name="Surcharge Data" sheetId="16" state="hidden" r:id="rId6"/>
    <sheet name="Discount Data" sheetId="56" state="hidden" r:id="rId7"/>
    <sheet name="By Zone Charges" sheetId="51" r:id="rId8"/>
    <sheet name="ExDom Parcel" sheetId="40" r:id="rId9"/>
    <sheet name="Clearance Fee" sheetId="65" r:id="rId10"/>
    <sheet name="Pickup Fee" sheetId="64" r:id="rId11"/>
    <sheet name="Ground" sheetId="43" r:id="rId12"/>
    <sheet name="Ground Economy" sheetId="47" state="hidden" r:id="rId13"/>
    <sheet name="ExDom Freight" sheetId="44" state="hidden" r:id="rId14"/>
    <sheet name="ExIntl Parcel" sheetId="46" state="hidden" r:id="rId15"/>
    <sheet name="ExIntl Freight" sheetId="53" state="hidden" r:id="rId16"/>
    <sheet name="OpCo Summary" sheetId="52" r:id="rId17"/>
    <sheet name="Top Surcharge Overview" sheetId="59" r:id="rId18"/>
    <sheet name="Full Surcharge Overview" sheetId="62" r:id="rId19"/>
    <sheet name="Only Discounted Surcharges" sheetId="60" r:id="rId20"/>
    <sheet name="Discount Overview" sheetId="57" r:id="rId21"/>
    <sheet name="Invoiced Data Overview" sheetId="48" r:id="rId22"/>
    <sheet name="Surcharge Master Data" sheetId="58" state="hidden" r:id="rId23"/>
    <sheet name="Surcharge Master List" sheetId="41" state="hidden" r:id="rId24"/>
  </sheets>
  <externalReferences>
    <externalReference r:id="rId25"/>
    <externalReference r:id="rId26"/>
    <externalReference r:id="rId27"/>
  </externalReferences>
  <definedNames>
    <definedName name="_xlnm._FilterDatabase" localSheetId="3" hidden="1">'Developer Notes'!$A$2:$D$2</definedName>
    <definedName name="_xlnm._FilterDatabase" localSheetId="6" hidden="1">'Discount Data'!$A$1:$Q$128</definedName>
    <definedName name="_xlnm._FilterDatabase" localSheetId="5" hidden="1">'Surcharge Data'!$B$1:$K$550</definedName>
    <definedName name="_xlnm._FilterDatabase" localSheetId="22" hidden="1">'Surcharge Master Data'!$A$1:$Y$748</definedName>
    <definedName name="_xlnm._FilterDatabase" localSheetId="23" hidden="1">'Surcharge Master List'!$A$1:$I$546</definedName>
    <definedName name="Category" localSheetId="1">'[1]Surcharge Data'!$A$2:$A$607</definedName>
    <definedName name="Category">'Surcharge Data'!$A$2:$A$193</definedName>
    <definedName name="D_Amount">'Discount Data'!$O$2:$O$101</definedName>
    <definedName name="D_Category" localSheetId="1">'[1]Discount Data'!$C$2:$C$143</definedName>
    <definedName name="D_Category">'Discount Data'!$D$2:$D$101</definedName>
    <definedName name="D_Code">'Discount Data'!$M$2:$M$101</definedName>
    <definedName name="D_EffDate" localSheetId="1">'[2]Discount Data'!$C$2:$C$231</definedName>
    <definedName name="D_EffDate">'Discount Data'!$C$2:$C$101</definedName>
    <definedName name="D_Percent" localSheetId="1">'[1]Discount Data'!$M$2:$M$143</definedName>
    <definedName name="D_Percent">'Discount Data'!$N$2:$N$101</definedName>
    <definedName name="D_Product" localSheetId="1">'[1]Discount Data'!$H$2:$H$143</definedName>
    <definedName name="D_Product">'Discount Data'!$I$2:$I$101</definedName>
    <definedName name="D_SC_Category" localSheetId="1">'[1]Discount Data'!$P$2:$P$143</definedName>
    <definedName name="D_SC_Category">'Discount Data'!$Q$2:$Q$101</definedName>
    <definedName name="D_SC_Name" localSheetId="1">'[1]Discount Data'!$O$2:$O$143</definedName>
    <definedName name="D_SC_Name">'Discount Data'!$P$2:$P$101</definedName>
    <definedName name="D_Zone" localSheetId="1">'[1]Discount Data'!$I$2:$I$143</definedName>
    <definedName name="D_Zone">'Discount Data'!$J$2:$J$101</definedName>
    <definedName name="Intl" localSheetId="3">'Surcharge Data'!$C$2:$C$487</definedName>
    <definedName name="Intl" localSheetId="1">'[1]Surcharge Data'!$C$2:$C$607</definedName>
    <definedName name="Intl">'Surcharge Data'!$C$2:$C$193</definedName>
    <definedName name="Month" localSheetId="3">[3]YoY!$AH$1:$AH$29</definedName>
    <definedName name="Net_Spend" localSheetId="3">[3]YoY!$AJ$1:$AJ$29</definedName>
    <definedName name="OpCo" localSheetId="3">'Surcharge Data'!$B$2:$B$487</definedName>
    <definedName name="OpCo" localSheetId="1">'[1]Surcharge Data'!$B$2:$B$607</definedName>
    <definedName name="OpCo">'Surcharge Data'!$B$2:$B$193</definedName>
    <definedName name="_xlnm.Print_Area" localSheetId="7">'By Zone Charges'!$A$1:$E$56</definedName>
    <definedName name="Product" localSheetId="3">'Surcharge Data'!$D$2:$D$487</definedName>
    <definedName name="Product" localSheetId="1">'[1]Surcharge Data'!$D$2:$D$607</definedName>
    <definedName name="Product">'Surcharge Data'!$D$2:$D$193</definedName>
    <definedName name="SC_Cat" localSheetId="3">'Surcharge Data'!$K$2:$K$487</definedName>
    <definedName name="SC_Cat" localSheetId="1">'[1]Surcharge Data'!$J$2:$J$607</definedName>
    <definedName name="SC_Cat">'Surcharge Data'!$J$2:$J$193</definedName>
    <definedName name="SC_Count" localSheetId="3">'Surcharge Data'!$I$2:$I$487</definedName>
    <definedName name="SC_Count" localSheetId="1">'[1]Surcharge Data'!$I$2:$I$607</definedName>
    <definedName name="SC_Count">'Surcharge Data'!$I$2:$I$193</definedName>
    <definedName name="SC_Name" localSheetId="3">'Surcharge Data'!$J$2:$J$487</definedName>
    <definedName name="SC_Name" localSheetId="1">'[1]Surcharge Data'!$J$2:$J$607</definedName>
    <definedName name="SC_Name">'Surcharge Data'!$J$2:$J$193</definedName>
    <definedName name="SC_Spend">'Surcharge Data'!$H$2:$H$193</definedName>
    <definedName name="Shipments" localSheetId="3">[3]YoY!$AI$1:$AI$29</definedName>
    <definedName name="Zone" localSheetId="1">'[1]Surcharge Data'!$E$2:$E$607</definedName>
    <definedName name="Zone">'Surcharge Data'!$E$2:$E$193</definedName>
  </definedNames>
  <calcPr calcId="191029"/>
  <pivotCaches>
    <pivotCache cacheId="143" r:id="rId28"/>
    <pivotCache cacheId="150" r:id="rId29"/>
    <pivotCache cacheId="158" r:id="rId30"/>
    <pivotCache cacheId="167" r:id="rId3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4" i="2" l="1"/>
  <c r="J651" i="58" l="1"/>
  <c r="J652" i="58"/>
  <c r="J653" i="58"/>
  <c r="J654" i="58"/>
  <c r="J655" i="58"/>
  <c r="J656" i="58"/>
  <c r="J657" i="58"/>
  <c r="J658" i="58"/>
  <c r="J659" i="58"/>
  <c r="J660" i="58"/>
  <c r="J661" i="58"/>
  <c r="J662" i="58"/>
  <c r="J663" i="58"/>
  <c r="J664" i="58"/>
  <c r="J665" i="58"/>
  <c r="J666" i="58"/>
  <c r="J667" i="58"/>
  <c r="J668" i="58"/>
  <c r="J669" i="58"/>
  <c r="J670" i="58"/>
  <c r="J671" i="58"/>
  <c r="J672" i="58"/>
  <c r="J673" i="58"/>
  <c r="J674" i="58"/>
  <c r="J675" i="58"/>
  <c r="J676" i="58"/>
  <c r="J677" i="58"/>
  <c r="J678" i="58"/>
  <c r="J679" i="58"/>
  <c r="J680" i="58"/>
  <c r="J681" i="58"/>
  <c r="J682" i="58"/>
  <c r="J683" i="58"/>
  <c r="J684" i="58"/>
  <c r="J685" i="58"/>
  <c r="J686" i="58"/>
  <c r="J687" i="58"/>
  <c r="J688" i="58"/>
  <c r="J689" i="58"/>
  <c r="J690" i="58"/>
  <c r="J691" i="58"/>
  <c r="J692" i="58"/>
  <c r="J693" i="58"/>
  <c r="J694" i="58"/>
  <c r="J695" i="58"/>
  <c r="J696" i="58"/>
  <c r="J697" i="58"/>
  <c r="J698" i="58"/>
  <c r="J699" i="58"/>
  <c r="J700" i="58"/>
  <c r="J701" i="58"/>
  <c r="J702" i="58"/>
  <c r="J703" i="58"/>
  <c r="J704" i="58"/>
  <c r="J705" i="58"/>
  <c r="J706" i="58"/>
  <c r="J707" i="58"/>
  <c r="J708" i="58"/>
  <c r="J709" i="58"/>
  <c r="J710" i="58"/>
  <c r="J711" i="58"/>
  <c r="J712" i="58"/>
  <c r="J713" i="58"/>
  <c r="J714" i="58"/>
  <c r="J715" i="58"/>
  <c r="J716" i="58"/>
  <c r="J717" i="58"/>
  <c r="J718" i="58"/>
  <c r="J719" i="58"/>
  <c r="J720" i="58"/>
  <c r="J721" i="58"/>
  <c r="J722" i="58"/>
  <c r="J723" i="58"/>
  <c r="J724" i="58"/>
  <c r="J725" i="58"/>
  <c r="J726" i="58"/>
  <c r="J727" i="58"/>
  <c r="J728" i="58"/>
  <c r="J729" i="58"/>
  <c r="J730" i="58"/>
  <c r="J731" i="58"/>
  <c r="J732" i="58"/>
  <c r="J733" i="58"/>
  <c r="J734" i="58"/>
  <c r="J735" i="58"/>
  <c r="J736" i="58"/>
  <c r="J737" i="58"/>
  <c r="J738" i="58"/>
  <c r="J739" i="58"/>
  <c r="J740" i="58"/>
  <c r="J741" i="58"/>
  <c r="J742" i="58"/>
  <c r="J743" i="58"/>
  <c r="J744" i="58"/>
  <c r="J745" i="58"/>
  <c r="J746" i="58"/>
  <c r="J747" i="58"/>
  <c r="J748" i="58"/>
  <c r="J650" i="58"/>
  <c r="L748" i="58"/>
  <c r="L747" i="58"/>
  <c r="L746" i="58"/>
  <c r="L745" i="58"/>
  <c r="L744" i="58"/>
  <c r="L743" i="58"/>
  <c r="L742" i="58"/>
  <c r="L741" i="58"/>
  <c r="L740" i="58"/>
  <c r="L739" i="58"/>
  <c r="L738" i="58"/>
  <c r="L737" i="58"/>
  <c r="L736" i="58"/>
  <c r="L735" i="58"/>
  <c r="L734" i="58"/>
  <c r="L733" i="58"/>
  <c r="L732" i="58"/>
  <c r="L731" i="58"/>
  <c r="L730" i="58"/>
  <c r="L729" i="58"/>
  <c r="L728" i="58"/>
  <c r="L727" i="58"/>
  <c r="L726" i="58"/>
  <c r="L725" i="58"/>
  <c r="L724" i="58"/>
  <c r="L723" i="58"/>
  <c r="L722" i="58"/>
  <c r="L721" i="58"/>
  <c r="L720" i="58"/>
  <c r="L719" i="58"/>
  <c r="L718" i="58"/>
  <c r="L717" i="58"/>
  <c r="L716" i="58"/>
  <c r="L715" i="58"/>
  <c r="L714" i="58"/>
  <c r="L713" i="58"/>
  <c r="L712" i="58"/>
  <c r="L711" i="58"/>
  <c r="L710" i="58"/>
  <c r="L709" i="58"/>
  <c r="L708" i="58"/>
  <c r="L707" i="58"/>
  <c r="L706" i="58"/>
  <c r="L705" i="58"/>
  <c r="L704" i="58"/>
  <c r="L703" i="58"/>
  <c r="L702" i="58"/>
  <c r="L701" i="58"/>
  <c r="L700" i="58"/>
  <c r="L699" i="58"/>
  <c r="L698" i="58"/>
  <c r="L697" i="58"/>
  <c r="L696" i="58"/>
  <c r="L695" i="58"/>
  <c r="L694" i="58"/>
  <c r="L693" i="58"/>
  <c r="L692" i="58"/>
  <c r="L691" i="58"/>
  <c r="L690" i="58"/>
  <c r="L689" i="58"/>
  <c r="L688" i="58"/>
  <c r="L687" i="58"/>
  <c r="L686" i="58"/>
  <c r="L685" i="58"/>
  <c r="L684" i="58"/>
  <c r="L683" i="58"/>
  <c r="L682" i="58"/>
  <c r="L681" i="58"/>
  <c r="L680" i="58"/>
  <c r="L679" i="58"/>
  <c r="L678" i="58"/>
  <c r="L677" i="58"/>
  <c r="L676" i="58"/>
  <c r="L675" i="58"/>
  <c r="L674" i="58"/>
  <c r="L673" i="58"/>
  <c r="L672" i="58"/>
  <c r="L671" i="58"/>
  <c r="L670" i="58"/>
  <c r="L669" i="58"/>
  <c r="L668" i="58"/>
  <c r="L667" i="58"/>
  <c r="L666" i="58"/>
  <c r="L665" i="58"/>
  <c r="L664" i="58"/>
  <c r="L663" i="58"/>
  <c r="L662" i="58"/>
  <c r="L661" i="58"/>
  <c r="L660" i="58"/>
  <c r="L659" i="58"/>
  <c r="L658" i="58"/>
  <c r="L657" i="58"/>
  <c r="L656" i="58"/>
  <c r="L655" i="58"/>
  <c r="L654" i="58"/>
  <c r="L653" i="58"/>
  <c r="L652" i="58"/>
  <c r="L651" i="58"/>
  <c r="L650" i="58"/>
  <c r="B74" i="2" l="1"/>
  <c r="N592" i="58"/>
  <c r="Y9" i="64"/>
  <c r="Y10" i="64"/>
  <c r="Y11" i="64"/>
  <c r="Y12" i="64"/>
  <c r="N604" i="58"/>
  <c r="Y13" i="64"/>
  <c r="N607" i="58"/>
  <c r="Y15" i="64"/>
  <c r="N610" i="58"/>
  <c r="Y16" i="64"/>
  <c r="Y17" i="64"/>
  <c r="N616" i="58"/>
  <c r="Y18" i="64"/>
  <c r="W19" i="64"/>
  <c r="Y19" i="64"/>
  <c r="Y20" i="64"/>
  <c r="N625" i="58"/>
  <c r="Y22" i="64"/>
  <c r="N628" i="58"/>
  <c r="Y23" i="64"/>
  <c r="Y24" i="64"/>
  <c r="N634" i="58"/>
  <c r="Y25" i="64"/>
  <c r="N637" i="58"/>
  <c r="Y27" i="64"/>
  <c r="N640" i="58"/>
  <c r="Y28" i="64"/>
  <c r="N643" i="58"/>
  <c r="Y29" i="64"/>
  <c r="N646" i="58"/>
  <c r="Y30" i="64"/>
  <c r="N649" i="58"/>
  <c r="Y31" i="64"/>
  <c r="Y8" i="64"/>
  <c r="N589" i="58"/>
  <c r="N586" i="58"/>
  <c r="N639" i="58"/>
  <c r="P28" i="64"/>
  <c r="N642" i="58"/>
  <c r="P29" i="64"/>
  <c r="N645" i="58"/>
  <c r="P30" i="64"/>
  <c r="N648" i="58"/>
  <c r="P31" i="64"/>
  <c r="P27" i="64"/>
  <c r="N627" i="58"/>
  <c r="P23" i="64"/>
  <c r="N630" i="58"/>
  <c r="P24" i="64"/>
  <c r="N633" i="58"/>
  <c r="P25" i="64"/>
  <c r="P22" i="64"/>
  <c r="N624" i="58"/>
  <c r="N609" i="58"/>
  <c r="P16" i="64"/>
  <c r="N612" i="58"/>
  <c r="P17" i="64"/>
  <c r="N615" i="58"/>
  <c r="P18" i="64"/>
  <c r="N618" i="58"/>
  <c r="P19" i="64"/>
  <c r="N621" i="58"/>
  <c r="P20" i="64"/>
  <c r="P15" i="64"/>
  <c r="N606" i="58"/>
  <c r="N591" i="58"/>
  <c r="P9" i="64"/>
  <c r="N594" i="58"/>
  <c r="P10" i="64"/>
  <c r="P11" i="64"/>
  <c r="N600" i="58"/>
  <c r="P12" i="64"/>
  <c r="N603" i="58"/>
  <c r="P13" i="64"/>
  <c r="P8" i="64"/>
  <c r="N588" i="58"/>
  <c r="N647" i="58"/>
  <c r="G31" i="64"/>
  <c r="N590" i="58"/>
  <c r="G9" i="64"/>
  <c r="N593" i="58"/>
  <c r="G10" i="64"/>
  <c r="G11" i="64"/>
  <c r="G12" i="64"/>
  <c r="N602" i="58"/>
  <c r="G13" i="64"/>
  <c r="G15" i="64"/>
  <c r="N608" i="58"/>
  <c r="G16" i="64"/>
  <c r="G17" i="64"/>
  <c r="G18" i="64"/>
  <c r="N617" i="58"/>
  <c r="G19" i="64"/>
  <c r="N620" i="58"/>
  <c r="G20" i="64"/>
  <c r="N623" i="58"/>
  <c r="G22" i="64"/>
  <c r="N626" i="58"/>
  <c r="G23" i="64"/>
  <c r="G24" i="64"/>
  <c r="E25" i="64"/>
  <c r="G25" i="64"/>
  <c r="N635" i="58"/>
  <c r="G27" i="64"/>
  <c r="N638" i="58"/>
  <c r="G28" i="64"/>
  <c r="N641" i="58"/>
  <c r="G29" i="64"/>
  <c r="N644" i="58"/>
  <c r="G30" i="64"/>
  <c r="G8" i="64"/>
  <c r="N587" i="58"/>
  <c r="E6" i="64"/>
  <c r="L649" i="58"/>
  <c r="L648" i="58"/>
  <c r="L647" i="58"/>
  <c r="L646" i="58"/>
  <c r="L645" i="58"/>
  <c r="L644" i="58"/>
  <c r="L643" i="58"/>
  <c r="L642" i="58"/>
  <c r="L641" i="58"/>
  <c r="L640" i="58"/>
  <c r="L639" i="58"/>
  <c r="L638" i="58"/>
  <c r="L637" i="58"/>
  <c r="L636" i="58"/>
  <c r="L635" i="58"/>
  <c r="L634" i="58"/>
  <c r="L633" i="58"/>
  <c r="L632" i="58"/>
  <c r="L631" i="58"/>
  <c r="L630" i="58"/>
  <c r="L629" i="58"/>
  <c r="L628" i="58"/>
  <c r="L627" i="58"/>
  <c r="L626" i="58"/>
  <c r="L625" i="58"/>
  <c r="L624" i="58"/>
  <c r="L623" i="58"/>
  <c r="L622" i="58"/>
  <c r="L621" i="58"/>
  <c r="L620" i="58"/>
  <c r="L619" i="58"/>
  <c r="L618" i="58"/>
  <c r="L617" i="58"/>
  <c r="L616" i="58"/>
  <c r="L615" i="58"/>
  <c r="L614" i="58"/>
  <c r="L613" i="58"/>
  <c r="L612" i="58"/>
  <c r="L611" i="58"/>
  <c r="L610" i="58"/>
  <c r="L609" i="58"/>
  <c r="L608" i="58"/>
  <c r="L607" i="58"/>
  <c r="L606" i="58"/>
  <c r="L605" i="58"/>
  <c r="L604" i="58"/>
  <c r="L603" i="58"/>
  <c r="L602" i="58"/>
  <c r="L601" i="58"/>
  <c r="L600" i="58"/>
  <c r="L599" i="58"/>
  <c r="L598" i="58"/>
  <c r="L597" i="58"/>
  <c r="L596" i="58"/>
  <c r="L595" i="58"/>
  <c r="L594" i="58"/>
  <c r="L593" i="58"/>
  <c r="L592" i="58"/>
  <c r="L591" i="58"/>
  <c r="L590" i="58"/>
  <c r="L589" i="58"/>
  <c r="L588" i="58"/>
  <c r="L587" i="58"/>
  <c r="L586" i="58"/>
  <c r="L585" i="58"/>
  <c r="L584" i="58"/>
  <c r="H648" i="58"/>
  <c r="H649" i="58"/>
  <c r="H645" i="58"/>
  <c r="H646" i="58"/>
  <c r="H647" i="58"/>
  <c r="H642" i="58"/>
  <c r="H643" i="58"/>
  <c r="H639" i="58"/>
  <c r="H640" i="58"/>
  <c r="H636" i="58"/>
  <c r="H637" i="58"/>
  <c r="H633" i="58"/>
  <c r="H634" i="58"/>
  <c r="H630" i="58"/>
  <c r="H631" i="58"/>
  <c r="H627" i="58"/>
  <c r="H628" i="58"/>
  <c r="H624" i="58"/>
  <c r="H625" i="58"/>
  <c r="H621" i="58"/>
  <c r="H622" i="58"/>
  <c r="H618" i="58"/>
  <c r="H619" i="58"/>
  <c r="H615" i="58"/>
  <c r="H616" i="58"/>
  <c r="H612" i="58"/>
  <c r="H613" i="58"/>
  <c r="H609" i="58"/>
  <c r="H610" i="58"/>
  <c r="H606" i="58"/>
  <c r="H607" i="58"/>
  <c r="H603" i="58"/>
  <c r="H604" i="58"/>
  <c r="H600" i="58"/>
  <c r="H601" i="58"/>
  <c r="H597" i="58"/>
  <c r="H598" i="58"/>
  <c r="H594" i="58"/>
  <c r="H595" i="58"/>
  <c r="H591" i="58"/>
  <c r="H592" i="58"/>
  <c r="H588" i="58"/>
  <c r="H589" i="58"/>
  <c r="H585" i="58"/>
  <c r="H586" i="58"/>
  <c r="H644" i="58"/>
  <c r="H641" i="58"/>
  <c r="H638" i="58"/>
  <c r="H635" i="58"/>
  <c r="H632" i="58"/>
  <c r="H629" i="58"/>
  <c r="H626" i="58"/>
  <c r="H623" i="58"/>
  <c r="H620" i="58"/>
  <c r="H617" i="58"/>
  <c r="H614" i="58"/>
  <c r="H611" i="58"/>
  <c r="H608" i="58"/>
  <c r="H605" i="58"/>
  <c r="H602" i="58"/>
  <c r="H599" i="58"/>
  <c r="H596" i="58"/>
  <c r="H593" i="58"/>
  <c r="H590" i="58"/>
  <c r="H587" i="58"/>
  <c r="H584" i="58"/>
  <c r="X19" i="64" l="1"/>
  <c r="N18" i="64"/>
  <c r="F25" i="64"/>
  <c r="N632" i="58"/>
  <c r="W28" i="64"/>
  <c r="X28" i="64" s="1"/>
  <c r="E20" i="64"/>
  <c r="F20" i="64" s="1"/>
  <c r="E9" i="64"/>
  <c r="F9" i="64" s="1"/>
  <c r="N629" i="58"/>
  <c r="E24" i="64"/>
  <c r="E15" i="64"/>
  <c r="F15" i="64" s="1"/>
  <c r="N605" i="58"/>
  <c r="N599" i="58"/>
  <c r="E12" i="64"/>
  <c r="N631" i="58"/>
  <c r="W24" i="64"/>
  <c r="X24" i="64" s="1"/>
  <c r="W6" i="64"/>
  <c r="O18" i="64"/>
  <c r="W23" i="64"/>
  <c r="N584" i="58"/>
  <c r="W13" i="64"/>
  <c r="X13" i="64" s="1"/>
  <c r="E10" i="64"/>
  <c r="F10" i="64" s="1"/>
  <c r="N23" i="64"/>
  <c r="W27" i="64"/>
  <c r="N596" i="58"/>
  <c r="E11" i="64"/>
  <c r="N598" i="58"/>
  <c r="W11" i="64"/>
  <c r="N6" i="64"/>
  <c r="N585" i="58"/>
  <c r="N614" i="58"/>
  <c r="E18" i="64"/>
  <c r="F18" i="64" s="1"/>
  <c r="N636" i="58"/>
  <c r="N27" i="64"/>
  <c r="O27" i="64" s="1"/>
  <c r="N597" i="58"/>
  <c r="N11" i="64"/>
  <c r="W17" i="64"/>
  <c r="N613" i="58"/>
  <c r="N595" i="58"/>
  <c r="W10" i="64"/>
  <c r="E17" i="64"/>
  <c r="N611" i="58"/>
  <c r="W12" i="64"/>
  <c r="X12" i="64" s="1"/>
  <c r="N601" i="58"/>
  <c r="N622" i="58"/>
  <c r="W20" i="64"/>
  <c r="X20" i="64" s="1"/>
  <c r="N30" i="64"/>
  <c r="N22" i="64"/>
  <c r="O22" i="64" s="1"/>
  <c r="N9" i="64"/>
  <c r="O9" i="64" s="1"/>
  <c r="N17" i="64"/>
  <c r="N13" i="64"/>
  <c r="O13" i="64" s="1"/>
  <c r="W9" i="64"/>
  <c r="X9" i="64" s="1"/>
  <c r="E29" i="64"/>
  <c r="F29" i="64" s="1"/>
  <c r="E19" i="64"/>
  <c r="N29" i="64"/>
  <c r="O29" i="64" s="1"/>
  <c r="N20" i="64"/>
  <c r="W30" i="64"/>
  <c r="X30" i="64" s="1"/>
  <c r="E28" i="64"/>
  <c r="F28" i="64" s="1"/>
  <c r="E23" i="64"/>
  <c r="E27" i="64"/>
  <c r="W25" i="64"/>
  <c r="X25" i="64" s="1"/>
  <c r="W22" i="64"/>
  <c r="E16" i="64"/>
  <c r="F16" i="64" s="1"/>
  <c r="N10" i="64"/>
  <c r="N25" i="64"/>
  <c r="O25" i="64" s="1"/>
  <c r="N619" i="58"/>
  <c r="E31" i="64"/>
  <c r="E8" i="64"/>
  <c r="N16" i="64"/>
  <c r="O16" i="64" s="1"/>
  <c r="N12" i="64"/>
  <c r="O12" i="64" s="1"/>
  <c r="N31" i="64"/>
  <c r="O31" i="64" s="1"/>
  <c r="N15" i="64"/>
  <c r="W31" i="64"/>
  <c r="W16" i="64"/>
  <c r="E22" i="64"/>
  <c r="N28" i="64"/>
  <c r="O28" i="64" s="1"/>
  <c r="N24" i="64"/>
  <c r="O24" i="64" s="1"/>
  <c r="N19" i="64"/>
  <c r="O19" i="64" s="1"/>
  <c r="W29" i="64"/>
  <c r="W18" i="64"/>
  <c r="W15" i="64"/>
  <c r="E30" i="64"/>
  <c r="E13" i="64"/>
  <c r="F13" i="64" s="1"/>
  <c r="N8" i="64"/>
  <c r="W8" i="64"/>
  <c r="X8" i="64" s="1"/>
  <c r="F23" i="64" l="1"/>
  <c r="F19" i="64"/>
  <c r="X29" i="64"/>
  <c r="O11" i="64"/>
  <c r="F11" i="64"/>
  <c r="X15" i="64"/>
  <c r="X27" i="64"/>
  <c r="X16" i="64"/>
  <c r="F31" i="64"/>
  <c r="F24" i="64"/>
  <c r="O30" i="64"/>
  <c r="O10" i="64"/>
  <c r="X23" i="64"/>
  <c r="X18" i="64"/>
  <c r="F12" i="64"/>
  <c r="O8" i="64"/>
  <c r="F17" i="64"/>
  <c r="F8" i="64"/>
  <c r="X22" i="64"/>
  <c r="O23" i="64"/>
  <c r="O15" i="64"/>
  <c r="X17" i="64"/>
  <c r="F27" i="64"/>
  <c r="X11" i="64"/>
  <c r="O20" i="64"/>
  <c r="F22" i="64"/>
  <c r="O17" i="64"/>
  <c r="X31" i="64"/>
  <c r="F30" i="64"/>
  <c r="X10" i="64"/>
  <c r="U577" i="58" l="1"/>
  <c r="S577" i="58"/>
  <c r="Q577" i="58"/>
  <c r="U576" i="58"/>
  <c r="S576" i="58"/>
  <c r="Q576" i="58"/>
  <c r="U575" i="58"/>
  <c r="S575" i="58"/>
  <c r="Q575" i="58"/>
  <c r="U574" i="58"/>
  <c r="S574" i="58"/>
  <c r="Q574" i="58"/>
  <c r="U573" i="58"/>
  <c r="S573" i="58"/>
  <c r="Q573" i="58"/>
  <c r="U572" i="58"/>
  <c r="S572" i="58"/>
  <c r="Q572" i="58"/>
  <c r="V53" i="2" l="1"/>
  <c r="V47" i="2"/>
  <c r="V21" i="2"/>
  <c r="V15" i="2"/>
  <c r="S53" i="2"/>
  <c r="S47" i="2"/>
  <c r="S21" i="2"/>
  <c r="S15" i="2"/>
  <c r="P53" i="2"/>
  <c r="P47" i="2"/>
  <c r="P21" i="2"/>
  <c r="P15" i="2"/>
  <c r="M53" i="2"/>
  <c r="M47" i="2"/>
  <c r="M21" i="2"/>
  <c r="M15" i="2"/>
  <c r="I3" i="1"/>
  <c r="Q534" i="58" l="1"/>
  <c r="S534" i="58"/>
  <c r="U534" i="58"/>
  <c r="J7" i="2" l="1"/>
  <c r="I9" i="2" s="1"/>
  <c r="U571" i="58"/>
  <c r="S571" i="58"/>
  <c r="Q571" i="58"/>
  <c r="U570" i="58"/>
  <c r="S570" i="58"/>
  <c r="Q570" i="58"/>
  <c r="U569" i="58"/>
  <c r="S569" i="58"/>
  <c r="Q569" i="58"/>
  <c r="U568" i="58"/>
  <c r="S568" i="58"/>
  <c r="Q568" i="58"/>
  <c r="U567" i="58"/>
  <c r="S567" i="58"/>
  <c r="Q567" i="58"/>
  <c r="U566" i="58"/>
  <c r="S566" i="58"/>
  <c r="Q566" i="58"/>
  <c r="U564" i="58"/>
  <c r="S564" i="58"/>
  <c r="Q564" i="58"/>
  <c r="U555" i="58"/>
  <c r="S555" i="58"/>
  <c r="Q555" i="58"/>
  <c r="U554" i="58"/>
  <c r="S554" i="58"/>
  <c r="Q554" i="58"/>
  <c r="U553" i="58"/>
  <c r="S553" i="58"/>
  <c r="Q553" i="58"/>
  <c r="U552" i="58"/>
  <c r="S552" i="58"/>
  <c r="Q552" i="58"/>
  <c r="U551" i="58"/>
  <c r="S551" i="58"/>
  <c r="Q551" i="58"/>
  <c r="U550" i="58"/>
  <c r="S550" i="58"/>
  <c r="Q550" i="58"/>
  <c r="U549" i="58"/>
  <c r="S549" i="58"/>
  <c r="Q549" i="58"/>
  <c r="U548" i="58"/>
  <c r="S548" i="58"/>
  <c r="Q548" i="58"/>
  <c r="U547" i="58"/>
  <c r="S547" i="58"/>
  <c r="Q547" i="58"/>
  <c r="U545" i="58"/>
  <c r="S545" i="58"/>
  <c r="Q545" i="58"/>
  <c r="U536" i="58"/>
  <c r="S536" i="58"/>
  <c r="Q536" i="58"/>
  <c r="U535" i="58"/>
  <c r="S535" i="58"/>
  <c r="Q535" i="58"/>
  <c r="U533" i="58"/>
  <c r="S533" i="58"/>
  <c r="Q533" i="58"/>
  <c r="U532" i="58"/>
  <c r="S532" i="58"/>
  <c r="Q532" i="58"/>
  <c r="U531" i="58"/>
  <c r="S531" i="58"/>
  <c r="Q531" i="58"/>
  <c r="U530" i="58"/>
  <c r="S530" i="58"/>
  <c r="Q530" i="58"/>
  <c r="U529" i="58"/>
  <c r="S529" i="58"/>
  <c r="Q529" i="58"/>
  <c r="U528" i="58"/>
  <c r="S528" i="58"/>
  <c r="Q528" i="58"/>
  <c r="U526" i="58"/>
  <c r="S526" i="58"/>
  <c r="Q526" i="58"/>
  <c r="U517" i="58"/>
  <c r="S517" i="58"/>
  <c r="Q517" i="58"/>
  <c r="U516" i="58"/>
  <c r="S516" i="58"/>
  <c r="Q516" i="58"/>
  <c r="U515" i="58"/>
  <c r="S515" i="58"/>
  <c r="Q515" i="58"/>
  <c r="U514" i="58"/>
  <c r="S514" i="58"/>
  <c r="Q514" i="58"/>
  <c r="U513" i="58"/>
  <c r="S513" i="58"/>
  <c r="Q513" i="58"/>
  <c r="U512" i="58"/>
  <c r="S512" i="58"/>
  <c r="Q512" i="58"/>
  <c r="U511" i="58"/>
  <c r="S511" i="58"/>
  <c r="Q511" i="58"/>
  <c r="U510" i="58"/>
  <c r="S510" i="58"/>
  <c r="Q510" i="58"/>
  <c r="U509" i="58"/>
  <c r="S509" i="58"/>
  <c r="Q509" i="58"/>
  <c r="U508" i="58"/>
  <c r="S508" i="58"/>
  <c r="Q508" i="58"/>
  <c r="U505" i="58"/>
  <c r="S505" i="58"/>
  <c r="Q505" i="58"/>
  <c r="S502" i="58"/>
  <c r="U500" i="58"/>
  <c r="S500" i="58"/>
  <c r="Q500" i="58"/>
  <c r="U498" i="58"/>
  <c r="S498" i="58"/>
  <c r="Q498" i="58"/>
  <c r="U497" i="58"/>
  <c r="S497" i="58"/>
  <c r="Q497" i="58"/>
  <c r="U496" i="58"/>
  <c r="S496" i="58"/>
  <c r="Q496" i="58"/>
  <c r="U494" i="58"/>
  <c r="S494" i="58"/>
  <c r="Q494" i="58"/>
  <c r="U491" i="58"/>
  <c r="S491" i="58"/>
  <c r="Q491" i="58"/>
  <c r="U490" i="58"/>
  <c r="S490" i="58"/>
  <c r="Q490" i="58"/>
  <c r="U489" i="58"/>
  <c r="S489" i="58"/>
  <c r="Q489" i="58"/>
  <c r="U488" i="58"/>
  <c r="S488" i="58"/>
  <c r="Q488" i="58"/>
  <c r="U487" i="58"/>
  <c r="S487" i="58"/>
  <c r="Q487" i="58"/>
  <c r="U486" i="58"/>
  <c r="S486" i="58"/>
  <c r="Q486" i="58"/>
  <c r="U485" i="58"/>
  <c r="S485" i="58"/>
  <c r="Q485" i="58"/>
  <c r="U484" i="58"/>
  <c r="S484" i="58"/>
  <c r="Q484" i="58"/>
  <c r="U483" i="58"/>
  <c r="S483" i="58"/>
  <c r="Q483" i="58"/>
  <c r="U482" i="58"/>
  <c r="S482" i="58"/>
  <c r="Q482" i="58"/>
  <c r="U481" i="58"/>
  <c r="S481" i="58"/>
  <c r="Q481" i="58"/>
  <c r="U478" i="58"/>
  <c r="S478" i="58"/>
  <c r="Q478" i="58"/>
  <c r="S475" i="58"/>
  <c r="U473" i="58"/>
  <c r="S473" i="58"/>
  <c r="Q473" i="58"/>
  <c r="U471" i="58"/>
  <c r="S471" i="58"/>
  <c r="Q471" i="58"/>
  <c r="U470" i="58"/>
  <c r="S470" i="58"/>
  <c r="Q470" i="58"/>
  <c r="U469" i="58"/>
  <c r="S469" i="58"/>
  <c r="Q469" i="58"/>
  <c r="U467" i="58"/>
  <c r="S467" i="58"/>
  <c r="Q467" i="58"/>
  <c r="U464" i="58"/>
  <c r="S464" i="58"/>
  <c r="Q464" i="58"/>
  <c r="U463" i="58"/>
  <c r="S463" i="58"/>
  <c r="Q463" i="58"/>
  <c r="U462" i="58"/>
  <c r="S462" i="58"/>
  <c r="Q462" i="58"/>
  <c r="U461" i="58"/>
  <c r="S461" i="58"/>
  <c r="Q461" i="58"/>
  <c r="U460" i="58"/>
  <c r="S460" i="58"/>
  <c r="Q460" i="58"/>
  <c r="U459" i="58"/>
  <c r="S459" i="58"/>
  <c r="Q459" i="58"/>
  <c r="U458" i="58"/>
  <c r="S458" i="58"/>
  <c r="Q458" i="58"/>
  <c r="U457" i="58"/>
  <c r="S457" i="58"/>
  <c r="Q457" i="58"/>
  <c r="U456" i="58"/>
  <c r="S456" i="58"/>
  <c r="Q456" i="58"/>
  <c r="U455" i="58"/>
  <c r="S455" i="58"/>
  <c r="Q455" i="58"/>
  <c r="U454" i="58"/>
  <c r="S454" i="58"/>
  <c r="Q454" i="58"/>
  <c r="U451" i="58"/>
  <c r="S451" i="58"/>
  <c r="Q451" i="58"/>
  <c r="S448" i="58"/>
  <c r="U446" i="58"/>
  <c r="S446" i="58"/>
  <c r="Q446" i="58"/>
  <c r="U444" i="58"/>
  <c r="S444" i="58"/>
  <c r="Q444" i="58"/>
  <c r="U443" i="58"/>
  <c r="S443" i="58"/>
  <c r="Q443" i="58"/>
  <c r="U442" i="58"/>
  <c r="S442" i="58"/>
  <c r="Q442" i="58"/>
  <c r="U440" i="58"/>
  <c r="S440" i="58"/>
  <c r="Q440" i="58"/>
  <c r="U437" i="58"/>
  <c r="S437" i="58"/>
  <c r="Q437" i="58"/>
  <c r="U436" i="58"/>
  <c r="S436" i="58"/>
  <c r="Q436" i="58"/>
  <c r="U435" i="58"/>
  <c r="S435" i="58"/>
  <c r="Q435" i="58"/>
  <c r="U434" i="58"/>
  <c r="S434" i="58"/>
  <c r="Q434" i="58"/>
  <c r="U433" i="58"/>
  <c r="S433" i="58"/>
  <c r="Q433" i="58"/>
  <c r="U432" i="58"/>
  <c r="S432" i="58"/>
  <c r="Q432" i="58"/>
  <c r="U431" i="58"/>
  <c r="S431" i="58"/>
  <c r="Q431" i="58"/>
  <c r="U430" i="58"/>
  <c r="S430" i="58"/>
  <c r="Q430" i="58"/>
  <c r="U429" i="58"/>
  <c r="S429" i="58"/>
  <c r="Q429" i="58"/>
  <c r="U428" i="58"/>
  <c r="S428" i="58"/>
  <c r="Q428" i="58"/>
  <c r="U427" i="58"/>
  <c r="S427" i="58"/>
  <c r="Q427" i="58"/>
  <c r="U426" i="58"/>
  <c r="S426" i="58"/>
  <c r="Q426" i="58"/>
  <c r="U424" i="58"/>
  <c r="S424" i="58"/>
  <c r="Q424" i="58"/>
  <c r="U423" i="58"/>
  <c r="S423" i="58"/>
  <c r="Q423" i="58"/>
  <c r="U422" i="58"/>
  <c r="S422" i="58"/>
  <c r="Q422" i="58"/>
  <c r="U418" i="58"/>
  <c r="S418" i="58"/>
  <c r="Q418" i="58"/>
  <c r="U417" i="58"/>
  <c r="S417" i="58"/>
  <c r="Q417" i="58"/>
  <c r="U416" i="58"/>
  <c r="S416" i="58"/>
  <c r="Q416" i="58"/>
  <c r="U411" i="58"/>
  <c r="S411" i="58"/>
  <c r="Q411" i="58"/>
  <c r="U410" i="58"/>
  <c r="S410" i="58"/>
  <c r="Q410" i="58"/>
  <c r="U409" i="58"/>
  <c r="S409" i="58"/>
  <c r="Q409" i="58"/>
  <c r="U408" i="58"/>
  <c r="S408" i="58"/>
  <c r="Q408" i="58"/>
  <c r="U407" i="58"/>
  <c r="S407" i="58"/>
  <c r="Q407" i="58"/>
  <c r="U406" i="58"/>
  <c r="S406" i="58"/>
  <c r="Q406" i="58"/>
  <c r="U405" i="58"/>
  <c r="S405" i="58"/>
  <c r="Q405" i="58"/>
  <c r="U404" i="58"/>
  <c r="S404" i="58"/>
  <c r="Q404" i="58"/>
  <c r="U403" i="58"/>
  <c r="S403" i="58"/>
  <c r="Q403" i="58"/>
  <c r="U402" i="58"/>
  <c r="S402" i="58"/>
  <c r="Q402" i="58"/>
  <c r="U401" i="58"/>
  <c r="S401" i="58"/>
  <c r="Q401" i="58"/>
  <c r="U400" i="58"/>
  <c r="S400" i="58"/>
  <c r="Q400" i="58"/>
  <c r="U398" i="58"/>
  <c r="S398" i="58"/>
  <c r="Q398" i="58"/>
  <c r="U397" i="58"/>
  <c r="S397" i="58"/>
  <c r="Q397" i="58"/>
  <c r="U396" i="58"/>
  <c r="S396" i="58"/>
  <c r="Q396" i="58"/>
  <c r="U392" i="58"/>
  <c r="S392" i="58"/>
  <c r="Q392" i="58"/>
  <c r="U391" i="58"/>
  <c r="S391" i="58"/>
  <c r="Q391" i="58"/>
  <c r="U390" i="58"/>
  <c r="S390" i="58"/>
  <c r="Q390" i="58"/>
  <c r="U385" i="58"/>
  <c r="S385" i="58"/>
  <c r="Q385" i="58"/>
  <c r="U384" i="58"/>
  <c r="S384" i="58"/>
  <c r="Q384" i="58"/>
  <c r="U383" i="58"/>
  <c r="S383" i="58"/>
  <c r="Q383" i="58"/>
  <c r="U382" i="58"/>
  <c r="S382" i="58"/>
  <c r="Q382" i="58"/>
  <c r="U381" i="58"/>
  <c r="S381" i="58"/>
  <c r="Q381" i="58"/>
  <c r="U380" i="58"/>
  <c r="S380" i="58"/>
  <c r="Q380" i="58"/>
  <c r="U379" i="58"/>
  <c r="S379" i="58"/>
  <c r="Q379" i="58"/>
  <c r="U378" i="58"/>
  <c r="S378" i="58"/>
  <c r="Q378" i="58"/>
  <c r="U377" i="58"/>
  <c r="S377" i="58"/>
  <c r="Q377" i="58"/>
  <c r="U376" i="58"/>
  <c r="S376" i="58"/>
  <c r="Q376" i="58"/>
  <c r="U375" i="58"/>
  <c r="S375" i="58"/>
  <c r="Q375" i="58"/>
  <c r="U374" i="58"/>
  <c r="S374" i="58"/>
  <c r="Q374" i="58"/>
  <c r="U372" i="58"/>
  <c r="S372" i="58"/>
  <c r="Q372" i="58"/>
  <c r="U371" i="58"/>
  <c r="S371" i="58"/>
  <c r="Q371" i="58"/>
  <c r="U370" i="58"/>
  <c r="S370" i="58"/>
  <c r="Q370" i="58"/>
  <c r="U366" i="58"/>
  <c r="S366" i="58"/>
  <c r="Q366" i="58"/>
  <c r="U365" i="58"/>
  <c r="S365" i="58"/>
  <c r="Q365" i="58"/>
  <c r="U364" i="58"/>
  <c r="S364" i="58"/>
  <c r="Q364" i="58"/>
  <c r="U359" i="58"/>
  <c r="S359" i="58"/>
  <c r="Q359" i="58"/>
  <c r="U358" i="58"/>
  <c r="S358" i="58"/>
  <c r="Q358" i="58"/>
  <c r="U357" i="58"/>
  <c r="S357" i="58"/>
  <c r="Q357" i="58"/>
  <c r="U356" i="58"/>
  <c r="S356" i="58"/>
  <c r="Q356" i="58"/>
  <c r="AL9" i="53"/>
  <c r="Z9" i="53"/>
  <c r="N9" i="53"/>
  <c r="AB39" i="43"/>
  <c r="X39" i="43"/>
  <c r="S39" i="43"/>
  <c r="O39" i="43"/>
  <c r="J39" i="43"/>
  <c r="F39" i="43"/>
  <c r="AF35" i="46"/>
  <c r="AF27" i="46"/>
  <c r="AF23" i="46"/>
  <c r="T35" i="46"/>
  <c r="T27" i="46"/>
  <c r="H35" i="46"/>
  <c r="H27" i="46"/>
  <c r="I2" i="1" l="1"/>
  <c r="I7" i="2" l="1"/>
  <c r="I8" i="2" s="1"/>
  <c r="J10" i="2"/>
  <c r="I42" i="2"/>
  <c r="J42" i="2"/>
  <c r="M42" i="2" l="1"/>
  <c r="V42" i="2"/>
  <c r="S42" i="2"/>
  <c r="P42" i="2"/>
  <c r="B76" i="2"/>
  <c r="K42" i="2"/>
  <c r="X42" i="2"/>
  <c r="U42" i="2"/>
  <c r="D10" i="2"/>
  <c r="D30" i="2"/>
  <c r="D22" i="2"/>
  <c r="D14" i="2"/>
  <c r="D18" i="2"/>
  <c r="J55" i="2"/>
  <c r="J56" i="2"/>
  <c r="J57" i="2"/>
  <c r="J58" i="2"/>
  <c r="J54" i="2"/>
  <c r="J49" i="2"/>
  <c r="J50" i="2"/>
  <c r="J51" i="2"/>
  <c r="J52" i="2"/>
  <c r="J48" i="2"/>
  <c r="J43" i="2"/>
  <c r="J44" i="2"/>
  <c r="J45" i="2"/>
  <c r="J46" i="2"/>
  <c r="I58" i="2"/>
  <c r="X56" i="2" s="1"/>
  <c r="I57" i="2"/>
  <c r="X55" i="2" s="1"/>
  <c r="I56" i="2"/>
  <c r="I55" i="2"/>
  <c r="I54" i="2"/>
  <c r="I52" i="2"/>
  <c r="I51" i="2"/>
  <c r="I50" i="2"/>
  <c r="I49" i="2"/>
  <c r="I48" i="2"/>
  <c r="I46" i="2"/>
  <c r="I45" i="2"/>
  <c r="I44" i="2"/>
  <c r="I43" i="2"/>
  <c r="B27" i="2"/>
  <c r="B4" i="2"/>
  <c r="D3" i="2" s="1"/>
  <c r="D26" i="2" l="1"/>
  <c r="D66" i="2"/>
  <c r="X50" i="2"/>
  <c r="V51" i="2"/>
  <c r="S51" i="2"/>
  <c r="P51" i="2"/>
  <c r="M51" i="2"/>
  <c r="N51" i="2"/>
  <c r="V52" i="2"/>
  <c r="S52" i="2"/>
  <c r="P52" i="2"/>
  <c r="M52" i="2"/>
  <c r="X43" i="2"/>
  <c r="S43" i="2"/>
  <c r="P43" i="2"/>
  <c r="M43" i="2"/>
  <c r="V43" i="2"/>
  <c r="X45" i="2"/>
  <c r="S45" i="2"/>
  <c r="V45" i="2"/>
  <c r="P45" i="2"/>
  <c r="M45" i="2"/>
  <c r="N46" i="2"/>
  <c r="P46" i="2"/>
  <c r="M46" i="2"/>
  <c r="V46" i="2"/>
  <c r="S46" i="2"/>
  <c r="F48" i="2"/>
  <c r="S48" i="2"/>
  <c r="V48" i="2"/>
  <c r="P48" i="2"/>
  <c r="M48" i="2"/>
  <c r="F53" i="2"/>
  <c r="V54" i="2"/>
  <c r="S54" i="2"/>
  <c r="P54" i="2"/>
  <c r="M54" i="2"/>
  <c r="X53" i="2"/>
  <c r="V55" i="2"/>
  <c r="S55" i="2"/>
  <c r="P55" i="2"/>
  <c r="M55" i="2"/>
  <c r="X44" i="2"/>
  <c r="V44" i="2"/>
  <c r="S44" i="2"/>
  <c r="P44" i="2"/>
  <c r="M44" i="2"/>
  <c r="P49" i="2"/>
  <c r="V49" i="2"/>
  <c r="M49" i="2"/>
  <c r="S49" i="2"/>
  <c r="X49" i="2"/>
  <c r="S50" i="2"/>
  <c r="V50" i="2"/>
  <c r="P50" i="2"/>
  <c r="M50" i="2"/>
  <c r="X54" i="2"/>
  <c r="V56" i="2"/>
  <c r="S56" i="2"/>
  <c r="P56" i="2"/>
  <c r="M56" i="2"/>
  <c r="Q45" i="2"/>
  <c r="Q46" i="2"/>
  <c r="W51" i="2"/>
  <c r="O55" i="2"/>
  <c r="R46" i="2"/>
  <c r="N44" i="2"/>
  <c r="Q56" i="2"/>
  <c r="O44" i="2"/>
  <c r="O45" i="2"/>
  <c r="N54" i="2"/>
  <c r="Q44" i="2"/>
  <c r="R45" i="2"/>
  <c r="T46" i="2"/>
  <c r="U49" i="2"/>
  <c r="W50" i="2"/>
  <c r="N53" i="2"/>
  <c r="O54" i="2"/>
  <c r="Q55" i="2"/>
  <c r="R56" i="2"/>
  <c r="R44" i="2"/>
  <c r="T45" i="2"/>
  <c r="U46" i="2"/>
  <c r="W49" i="2"/>
  <c r="O53" i="2"/>
  <c r="Q54" i="2"/>
  <c r="R55" i="2"/>
  <c r="T56" i="2"/>
  <c r="X51" i="2"/>
  <c r="T44" i="2"/>
  <c r="U45" i="2"/>
  <c r="W46" i="2"/>
  <c r="N50" i="2"/>
  <c r="O51" i="2"/>
  <c r="Q53" i="2"/>
  <c r="R54" i="2"/>
  <c r="T55" i="2"/>
  <c r="U56" i="2"/>
  <c r="U44" i="2"/>
  <c r="W45" i="2"/>
  <c r="N49" i="2"/>
  <c r="O50" i="2"/>
  <c r="Q51" i="2"/>
  <c r="R53" i="2"/>
  <c r="T54" i="2"/>
  <c r="U55" i="2"/>
  <c r="W56" i="2"/>
  <c r="T49" i="2"/>
  <c r="W44" i="2"/>
  <c r="O49" i="2"/>
  <c r="Q50" i="2"/>
  <c r="R51" i="2"/>
  <c r="T53" i="2"/>
  <c r="U54" i="2"/>
  <c r="W55" i="2"/>
  <c r="U50" i="2"/>
  <c r="X46" i="2"/>
  <c r="N45" i="2"/>
  <c r="O46" i="2"/>
  <c r="Q49" i="2"/>
  <c r="R50" i="2"/>
  <c r="T51" i="2"/>
  <c r="U53" i="2"/>
  <c r="W54" i="2"/>
  <c r="N56" i="2"/>
  <c r="R49" i="2"/>
  <c r="T50" i="2"/>
  <c r="U51" i="2"/>
  <c r="W53" i="2"/>
  <c r="N55" i="2"/>
  <c r="O56" i="2"/>
  <c r="T43" i="2"/>
  <c r="U43" i="2"/>
  <c r="W43" i="2"/>
  <c r="N43" i="2"/>
  <c r="Q43" i="2"/>
  <c r="R43" i="2"/>
  <c r="O43" i="2"/>
  <c r="K54" i="2"/>
  <c r="K48" i="2"/>
  <c r="U52" i="2"/>
  <c r="R52" i="2"/>
  <c r="T52" i="2"/>
  <c r="X52" i="2"/>
  <c r="W52" i="2"/>
  <c r="O52" i="2"/>
  <c r="Q52" i="2"/>
  <c r="N52" i="2"/>
  <c r="W48" i="2"/>
  <c r="X48" i="2"/>
  <c r="U47" i="2"/>
  <c r="X47" i="2"/>
  <c r="N42" i="2"/>
  <c r="Q42" i="2"/>
  <c r="W42" i="2"/>
  <c r="R42" i="2"/>
  <c r="T42" i="2"/>
  <c r="O42" i="2"/>
  <c r="W47" i="2"/>
  <c r="N47" i="2"/>
  <c r="O47" i="2"/>
  <c r="Q47" i="2"/>
  <c r="R47" i="2"/>
  <c r="T47" i="2"/>
  <c r="U48" i="2"/>
  <c r="N48" i="2"/>
  <c r="O48" i="2"/>
  <c r="Q48" i="2"/>
  <c r="R48" i="2"/>
  <c r="T48" i="2"/>
  <c r="I10" i="2"/>
  <c r="I11" i="2"/>
  <c r="J11" i="2"/>
  <c r="I12" i="2"/>
  <c r="J12" i="2"/>
  <c r="I13" i="2"/>
  <c r="J13" i="2"/>
  <c r="I14" i="2"/>
  <c r="J14" i="2"/>
  <c r="I16" i="2"/>
  <c r="J16" i="2"/>
  <c r="I17" i="2"/>
  <c r="J17" i="2"/>
  <c r="I18" i="2"/>
  <c r="J18" i="2"/>
  <c r="I19" i="2"/>
  <c r="J19" i="2"/>
  <c r="I20" i="2"/>
  <c r="J20" i="2"/>
  <c r="I22" i="2"/>
  <c r="J22" i="2"/>
  <c r="I23" i="2"/>
  <c r="J23" i="2"/>
  <c r="I24" i="2"/>
  <c r="J24" i="2"/>
  <c r="I25" i="2"/>
  <c r="X23" i="2" s="1"/>
  <c r="J25" i="2"/>
  <c r="I26" i="2"/>
  <c r="X24" i="2" s="1"/>
  <c r="J26" i="2"/>
  <c r="F16" i="2" l="1"/>
  <c r="P16" i="2"/>
  <c r="X15" i="2"/>
  <c r="S16" i="2"/>
  <c r="M16" i="2"/>
  <c r="V16" i="2"/>
  <c r="X14" i="2"/>
  <c r="V14" i="2"/>
  <c r="S14" i="2"/>
  <c r="P14" i="2"/>
  <c r="M14" i="2"/>
  <c r="V23" i="2"/>
  <c r="S23" i="2"/>
  <c r="P23" i="2"/>
  <c r="M23" i="2"/>
  <c r="X21" i="2"/>
  <c r="F21" i="2"/>
  <c r="V22" i="2"/>
  <c r="S22" i="2"/>
  <c r="P22" i="2"/>
  <c r="M22" i="2"/>
  <c r="X20" i="2"/>
  <c r="X13" i="2"/>
  <c r="M13" i="2"/>
  <c r="V13" i="2"/>
  <c r="S13" i="2"/>
  <c r="P13" i="2"/>
  <c r="V24" i="2"/>
  <c r="S24" i="2"/>
  <c r="P24" i="2"/>
  <c r="M24" i="2"/>
  <c r="X22" i="2"/>
  <c r="V20" i="2"/>
  <c r="S20" i="2"/>
  <c r="P20" i="2"/>
  <c r="M20" i="2"/>
  <c r="X19" i="2"/>
  <c r="X12" i="2"/>
  <c r="V12" i="2"/>
  <c r="S12" i="2"/>
  <c r="P12" i="2"/>
  <c r="M12" i="2"/>
  <c r="X16" i="2"/>
  <c r="S17" i="2"/>
  <c r="V17" i="2"/>
  <c r="P17" i="2"/>
  <c r="M17" i="2"/>
  <c r="P19" i="2"/>
  <c r="M19" i="2"/>
  <c r="X18" i="2"/>
  <c r="V19" i="2"/>
  <c r="S19" i="2"/>
  <c r="W11" i="2"/>
  <c r="V11" i="2"/>
  <c r="S11" i="2"/>
  <c r="M11" i="2"/>
  <c r="X11" i="2"/>
  <c r="P11" i="2"/>
  <c r="V18" i="2"/>
  <c r="S18" i="2"/>
  <c r="P18" i="2"/>
  <c r="M18" i="2"/>
  <c r="X17" i="2"/>
  <c r="X10" i="2"/>
  <c r="S10" i="2"/>
  <c r="V10" i="2"/>
  <c r="P10" i="2"/>
  <c r="M10" i="2"/>
  <c r="W10" i="2"/>
  <c r="B70" i="2"/>
  <c r="W19" i="2"/>
  <c r="K16" i="2"/>
  <c r="W15" i="2"/>
  <c r="W18" i="2"/>
  <c r="W23" i="2"/>
  <c r="W17" i="2"/>
  <c r="W13" i="2"/>
  <c r="W14" i="2"/>
  <c r="W21" i="2"/>
  <c r="W16" i="2"/>
  <c r="W22" i="2"/>
  <c r="W24" i="2"/>
  <c r="W20" i="2"/>
  <c r="K22" i="2"/>
  <c r="W12" i="2"/>
  <c r="K10" i="2"/>
  <c r="P40" i="2"/>
  <c r="Q58" i="2"/>
  <c r="K41" i="2"/>
  <c r="D62" i="2" s="1"/>
  <c r="M40" i="2"/>
  <c r="U40" i="2"/>
  <c r="O40" i="2"/>
  <c r="O62" i="2" s="1"/>
  <c r="P61" i="2"/>
  <c r="O61" i="2"/>
  <c r="N40" i="2"/>
  <c r="N62" i="2" s="1"/>
  <c r="O38" i="2"/>
  <c r="P38" i="2"/>
  <c r="P58" i="2"/>
  <c r="S40" i="2"/>
  <c r="R40" i="2"/>
  <c r="N58" i="2"/>
  <c r="T40" i="2"/>
  <c r="O58" i="2"/>
  <c r="T21" i="2"/>
  <c r="R21" i="2"/>
  <c r="Q21" i="2"/>
  <c r="O21" i="2"/>
  <c r="N21" i="2"/>
  <c r="U21" i="2"/>
  <c r="T13" i="2"/>
  <c r="R13" i="2"/>
  <c r="Q13" i="2"/>
  <c r="O13" i="2"/>
  <c r="N13" i="2"/>
  <c r="U13" i="2"/>
  <c r="U24" i="2"/>
  <c r="T24" i="2"/>
  <c r="R24" i="2"/>
  <c r="Q24" i="2"/>
  <c r="N24" i="2"/>
  <c r="O24" i="2"/>
  <c r="U16" i="2"/>
  <c r="T16" i="2"/>
  <c r="R16" i="2"/>
  <c r="Q16" i="2"/>
  <c r="N16" i="2"/>
  <c r="O16" i="2"/>
  <c r="R12" i="2"/>
  <c r="T12" i="2"/>
  <c r="Q12" i="2"/>
  <c r="O12" i="2"/>
  <c r="N12" i="2"/>
  <c r="U12" i="2"/>
  <c r="N17" i="2"/>
  <c r="O17" i="2"/>
  <c r="U17" i="2"/>
  <c r="T17" i="2"/>
  <c r="R17" i="2"/>
  <c r="Q17" i="2"/>
  <c r="R20" i="2"/>
  <c r="Q20" i="2"/>
  <c r="O20" i="2"/>
  <c r="N20" i="2"/>
  <c r="T20" i="2"/>
  <c r="U20" i="2"/>
  <c r="U23" i="2"/>
  <c r="T23" i="2"/>
  <c r="R23" i="2"/>
  <c r="Q23" i="2"/>
  <c r="O23" i="2"/>
  <c r="N23" i="2"/>
  <c r="Q19" i="2"/>
  <c r="O19" i="2"/>
  <c r="N19" i="2"/>
  <c r="R19" i="2"/>
  <c r="U19" i="2"/>
  <c r="T19" i="2"/>
  <c r="U15" i="2"/>
  <c r="T15" i="2"/>
  <c r="R15" i="2"/>
  <c r="Q15" i="2"/>
  <c r="O15" i="2"/>
  <c r="N15" i="2"/>
  <c r="Q11" i="2"/>
  <c r="O11" i="2"/>
  <c r="R11" i="2"/>
  <c r="N11" i="2"/>
  <c r="U11" i="2"/>
  <c r="T11" i="2"/>
  <c r="U22" i="2"/>
  <c r="T22" i="2"/>
  <c r="R22" i="2"/>
  <c r="Q22" i="2"/>
  <c r="O22" i="2"/>
  <c r="N22" i="2"/>
  <c r="O18" i="2"/>
  <c r="Q18" i="2"/>
  <c r="N18" i="2"/>
  <c r="U18" i="2"/>
  <c r="T18" i="2"/>
  <c r="R18" i="2"/>
  <c r="U14" i="2"/>
  <c r="T14" i="2"/>
  <c r="R14" i="2"/>
  <c r="Q14" i="2"/>
  <c r="O14" i="2"/>
  <c r="N14" i="2"/>
  <c r="O10" i="2"/>
  <c r="N10" i="2"/>
  <c r="U10" i="2"/>
  <c r="R10" i="2"/>
  <c r="T10" i="2"/>
  <c r="Q10" i="2"/>
  <c r="F4" i="2"/>
  <c r="F3" i="2"/>
  <c r="F5" i="2" s="1"/>
  <c r="V42" i="65" l="1" a="1"/>
  <c r="V42" i="65" s="1"/>
  <c r="O748" i="58" s="1"/>
  <c r="V34" i="65" a="1"/>
  <c r="V34" i="65" s="1"/>
  <c r="O742" i="58" s="1"/>
  <c r="U28" i="65" a="1"/>
  <c r="U28" i="65" s="1"/>
  <c r="N736" i="58" s="1"/>
  <c r="V19" i="65" a="1"/>
  <c r="V19" i="65" s="1"/>
  <c r="O729" i="58" s="1"/>
  <c r="U13" i="65" a="1"/>
  <c r="U13" i="65" s="1"/>
  <c r="N723" i="58" s="1"/>
  <c r="U6" i="65" a="1"/>
  <c r="U6" i="65" s="1"/>
  <c r="N716" i="58" s="1"/>
  <c r="L34" i="65" a="1"/>
  <c r="L34" i="65" s="1"/>
  <c r="N709" i="58" s="1"/>
  <c r="L27" i="65" a="1"/>
  <c r="L27" i="65" s="1"/>
  <c r="N702" i="58" s="1"/>
  <c r="M12" i="65" a="1"/>
  <c r="M12" i="65" s="1"/>
  <c r="O689" i="58" s="1"/>
  <c r="D38" i="65" a="1"/>
  <c r="D38" i="65" s="1"/>
  <c r="O678" i="58" s="1"/>
  <c r="D31" i="65" a="1"/>
  <c r="D31" i="65" s="1"/>
  <c r="O673" i="58" s="1"/>
  <c r="U34" i="65" a="1"/>
  <c r="U34" i="65" s="1"/>
  <c r="N742" i="58" s="1"/>
  <c r="V27" i="65" a="1"/>
  <c r="V27" i="65" s="1"/>
  <c r="O735" i="58" s="1"/>
  <c r="V12" i="65" a="1"/>
  <c r="V12" i="65" s="1"/>
  <c r="O722" i="58" s="1"/>
  <c r="M26" i="65" a="1"/>
  <c r="M26" i="65" s="1"/>
  <c r="O701" i="58" s="1"/>
  <c r="D39" i="65" a="1"/>
  <c r="D39" i="65" s="1"/>
  <c r="O679" i="58" s="1"/>
  <c r="D40" i="65" a="1"/>
  <c r="D40" i="65" s="1"/>
  <c r="O680" i="58" s="1"/>
  <c r="C29" i="65" a="1"/>
  <c r="C29" i="65" s="1"/>
  <c r="N671" i="58" s="1"/>
  <c r="M37" i="65" a="1"/>
  <c r="M37" i="65" s="1"/>
  <c r="O710" i="58" s="1"/>
  <c r="U42" i="65" a="1"/>
  <c r="U42" i="65" s="1"/>
  <c r="N748" i="58" s="1"/>
  <c r="V41" i="65" a="1"/>
  <c r="V41" i="65" s="1"/>
  <c r="O747" i="58" s="1"/>
  <c r="V33" i="65" a="1"/>
  <c r="V33" i="65" s="1"/>
  <c r="O741" i="58" s="1"/>
  <c r="U27" i="65" a="1"/>
  <c r="U27" i="65" s="1"/>
  <c r="N735" i="58" s="1"/>
  <c r="V18" i="65" a="1"/>
  <c r="V18" i="65" s="1"/>
  <c r="O728" i="58" s="1"/>
  <c r="U12" i="65" a="1"/>
  <c r="U12" i="65" s="1"/>
  <c r="N722" i="58" s="1"/>
  <c r="L42" i="65" a="1"/>
  <c r="L42" i="65" s="1"/>
  <c r="N715" i="58" s="1"/>
  <c r="L33" i="65" a="1"/>
  <c r="L33" i="65" s="1"/>
  <c r="N708" i="58" s="1"/>
  <c r="L26" i="65" a="1"/>
  <c r="L26" i="65" s="1"/>
  <c r="N701" i="58" s="1"/>
  <c r="L18" i="65" a="1"/>
  <c r="L18" i="65" s="1"/>
  <c r="N695" i="58" s="1"/>
  <c r="D32" i="65" a="1"/>
  <c r="D32" i="65" s="1"/>
  <c r="O674" i="58" s="1"/>
  <c r="M20" i="65" a="1"/>
  <c r="M20" i="65" s="1"/>
  <c r="O697" i="58" s="1"/>
  <c r="M28" i="65" a="1"/>
  <c r="M28" i="65" s="1"/>
  <c r="O703" i="58" s="1"/>
  <c r="U41" i="65" a="1"/>
  <c r="U41" i="65" s="1"/>
  <c r="N747" i="58" s="1"/>
  <c r="U33" i="65" a="1"/>
  <c r="U33" i="65" s="1"/>
  <c r="N741" i="58" s="1"/>
  <c r="V26" i="65" a="1"/>
  <c r="V26" i="65" s="1"/>
  <c r="O734" i="58" s="1"/>
  <c r="U18" i="65" a="1"/>
  <c r="U18" i="65" s="1"/>
  <c r="N728" i="58" s="1"/>
  <c r="V11" i="65" a="1"/>
  <c r="V11" i="65" s="1"/>
  <c r="O721" i="58" s="1"/>
  <c r="M41" i="65" a="1"/>
  <c r="M41" i="65" s="1"/>
  <c r="O714" i="58" s="1"/>
  <c r="M32" i="65" a="1"/>
  <c r="M32" i="65" s="1"/>
  <c r="O707" i="58" s="1"/>
  <c r="M25" i="65" a="1"/>
  <c r="M25" i="65" s="1"/>
  <c r="O700" i="58" s="1"/>
  <c r="M17" i="65" a="1"/>
  <c r="M17" i="65" s="1"/>
  <c r="O694" i="58" s="1"/>
  <c r="D41" i="65" a="1"/>
  <c r="D41" i="65" s="1"/>
  <c r="O681" i="58" s="1"/>
  <c r="C37" i="65" a="1"/>
  <c r="C37" i="65" s="1"/>
  <c r="N677" i="58" s="1"/>
  <c r="C34" i="65" a="1"/>
  <c r="C34" i="65" s="1"/>
  <c r="N676" i="58" s="1"/>
  <c r="V40" i="65" a="1"/>
  <c r="V40" i="65" s="1"/>
  <c r="O746" i="58" s="1"/>
  <c r="V32" i="65" a="1"/>
  <c r="V32" i="65" s="1"/>
  <c r="O740" i="58" s="1"/>
  <c r="U26" i="65" a="1"/>
  <c r="U26" i="65" s="1"/>
  <c r="N734" i="58" s="1"/>
  <c r="V17" i="65" a="1"/>
  <c r="V17" i="65" s="1"/>
  <c r="O727" i="58" s="1"/>
  <c r="U11" i="65" a="1"/>
  <c r="U11" i="65" s="1"/>
  <c r="N721" i="58" s="1"/>
  <c r="L41" i="65" a="1"/>
  <c r="L41" i="65" s="1"/>
  <c r="N714" i="58" s="1"/>
  <c r="L32" i="65" a="1"/>
  <c r="L32" i="65" s="1"/>
  <c r="N707" i="58" s="1"/>
  <c r="L25" i="65" a="1"/>
  <c r="L25" i="65" s="1"/>
  <c r="N700" i="58" s="1"/>
  <c r="L17" i="65" a="1"/>
  <c r="L17" i="65" s="1"/>
  <c r="N694" i="58" s="1"/>
  <c r="M10" i="65" a="1"/>
  <c r="M10" i="65" s="1"/>
  <c r="O687" i="58" s="1"/>
  <c r="D42" i="65" a="1"/>
  <c r="D42" i="65" s="1"/>
  <c r="O682" i="58" s="1"/>
  <c r="D25" i="65" a="1"/>
  <c r="D25" i="65" s="1"/>
  <c r="O667" i="58" s="1"/>
  <c r="U25" i="65" a="1"/>
  <c r="U25" i="65" s="1"/>
  <c r="N733" i="58" s="1"/>
  <c r="U10" i="65" a="1"/>
  <c r="U10" i="65" s="1"/>
  <c r="N720" i="58" s="1"/>
  <c r="L31" i="65" a="1"/>
  <c r="L31" i="65" s="1"/>
  <c r="N706" i="58" s="1"/>
  <c r="M9" i="65" a="1"/>
  <c r="M9" i="65" s="1"/>
  <c r="O686" i="58" s="1"/>
  <c r="C39" i="65" a="1"/>
  <c r="C39" i="65" s="1"/>
  <c r="N679" i="58" s="1"/>
  <c r="U16" i="65" a="1"/>
  <c r="U16" i="65" s="1"/>
  <c r="N726" i="58" s="1"/>
  <c r="L30" i="65" a="1"/>
  <c r="L30" i="65" s="1"/>
  <c r="N705" i="58" s="1"/>
  <c r="C41" i="65" a="1"/>
  <c r="C41" i="65" s="1"/>
  <c r="N681" i="58" s="1"/>
  <c r="U30" i="65" a="1"/>
  <c r="U30" i="65" s="1"/>
  <c r="N738" i="58" s="1"/>
  <c r="L29" i="65" a="1"/>
  <c r="L29" i="65" s="1"/>
  <c r="N704" i="58" s="1"/>
  <c r="V7" i="65" a="1"/>
  <c r="V7" i="65" s="1"/>
  <c r="O717" i="58" s="1"/>
  <c r="U32" i="65" a="1"/>
  <c r="U32" i="65" s="1"/>
  <c r="N740" i="58" s="1"/>
  <c r="V25" i="65" a="1"/>
  <c r="V25" i="65" s="1"/>
  <c r="O733" i="58" s="1"/>
  <c r="V10" i="65" a="1"/>
  <c r="V10" i="65" s="1"/>
  <c r="O720" i="58" s="1"/>
  <c r="M40" i="65" a="1"/>
  <c r="M40" i="65" s="1"/>
  <c r="O713" i="58" s="1"/>
  <c r="M31" i="65" a="1"/>
  <c r="M31" i="65" s="1"/>
  <c r="O706" i="58" s="1"/>
  <c r="M22" i="65" a="1"/>
  <c r="M22" i="65" s="1"/>
  <c r="O699" i="58" s="1"/>
  <c r="M16" i="65" a="1"/>
  <c r="M16" i="65" s="1"/>
  <c r="O693" i="58" s="1"/>
  <c r="L10" i="65" a="1"/>
  <c r="L10" i="65" s="1"/>
  <c r="N687" i="58" s="1"/>
  <c r="D37" i="65" a="1"/>
  <c r="D37" i="65" s="1"/>
  <c r="O677" i="58" s="1"/>
  <c r="C38" i="65" a="1"/>
  <c r="C38" i="65" s="1"/>
  <c r="N678" i="58" s="1"/>
  <c r="C30" i="65" a="1"/>
  <c r="C30" i="65" s="1"/>
  <c r="N672" i="58" s="1"/>
  <c r="V31" i="65" a="1"/>
  <c r="V31" i="65" s="1"/>
  <c r="O739" i="58" s="1"/>
  <c r="U17" i="65" a="1"/>
  <c r="U17" i="65" s="1"/>
  <c r="N727" i="58" s="1"/>
  <c r="L40" i="65" a="1"/>
  <c r="L40" i="65" s="1"/>
  <c r="N713" i="58" s="1"/>
  <c r="L16" i="65" a="1"/>
  <c r="L16" i="65" s="1"/>
  <c r="N693" i="58" s="1"/>
  <c r="D34" i="65" a="1"/>
  <c r="D34" i="65" s="1"/>
  <c r="O676" i="58" s="1"/>
  <c r="C31" i="65" a="1"/>
  <c r="C31" i="65" s="1"/>
  <c r="N673" i="58" s="1"/>
  <c r="U9" i="65" a="1"/>
  <c r="U9" i="65" s="1"/>
  <c r="N719" i="58" s="1"/>
  <c r="M8" i="65" a="1"/>
  <c r="M8" i="65" s="1"/>
  <c r="O685" i="58" s="1"/>
  <c r="C33" i="65" a="1"/>
  <c r="C33" i="65" s="1"/>
  <c r="N675" i="58" s="1"/>
  <c r="U8" i="65" a="1"/>
  <c r="U8" i="65" s="1"/>
  <c r="N718" i="58" s="1"/>
  <c r="D29" i="65" a="1"/>
  <c r="D29" i="65" s="1"/>
  <c r="O671" i="58" s="1"/>
  <c r="L7" i="65" a="1"/>
  <c r="L7" i="65" s="1"/>
  <c r="N684" i="58" s="1"/>
  <c r="U40" i="65" a="1"/>
  <c r="U40" i="65" s="1"/>
  <c r="N746" i="58" s="1"/>
  <c r="V39" i="65" a="1"/>
  <c r="V39" i="65" s="1"/>
  <c r="O745" i="58" s="1"/>
  <c r="V22" i="65" a="1"/>
  <c r="V22" i="65" s="1"/>
  <c r="O732" i="58" s="1"/>
  <c r="V16" i="65" a="1"/>
  <c r="V16" i="65" s="1"/>
  <c r="O726" i="58" s="1"/>
  <c r="V9" i="65" a="1"/>
  <c r="V9" i="65" s="1"/>
  <c r="O719" i="58" s="1"/>
  <c r="M39" i="65" a="1"/>
  <c r="M39" i="65" s="1"/>
  <c r="O712" i="58" s="1"/>
  <c r="M30" i="65" a="1"/>
  <c r="M30" i="65" s="1"/>
  <c r="O705" i="58" s="1"/>
  <c r="L22" i="65" a="1"/>
  <c r="L22" i="65" s="1"/>
  <c r="N699" i="58" s="1"/>
  <c r="M15" i="65" a="1"/>
  <c r="M15" i="65" s="1"/>
  <c r="O692" i="58" s="1"/>
  <c r="L9" i="65" a="1"/>
  <c r="L9" i="65" s="1"/>
  <c r="N686" i="58" s="1"/>
  <c r="D26" i="65" a="1"/>
  <c r="D26" i="65" s="1"/>
  <c r="O668" i="58" s="1"/>
  <c r="C40" i="65" a="1"/>
  <c r="C40" i="65" s="1"/>
  <c r="N680" i="58" s="1"/>
  <c r="C32" i="65" a="1"/>
  <c r="C32" i="65" s="1"/>
  <c r="N674" i="58" s="1"/>
  <c r="U31" i="65" a="1"/>
  <c r="U31" i="65" s="1"/>
  <c r="N739" i="58" s="1"/>
  <c r="U22" i="65" a="1"/>
  <c r="U22" i="65" s="1"/>
  <c r="N732" i="58" s="1"/>
  <c r="L39" i="65" a="1"/>
  <c r="L39" i="65" s="1"/>
  <c r="N712" i="58" s="1"/>
  <c r="D27" i="65" a="1"/>
  <c r="D27" i="65" s="1"/>
  <c r="O669" i="58" s="1"/>
  <c r="U21" i="65" a="1"/>
  <c r="U21" i="65" s="1"/>
  <c r="N731" i="58" s="1"/>
  <c r="M14" i="65" a="1"/>
  <c r="M14" i="65" s="1"/>
  <c r="O691" i="58" s="1"/>
  <c r="L14" i="65" a="1"/>
  <c r="L14" i="65" s="1"/>
  <c r="N691" i="58" s="1"/>
  <c r="U39" i="65" a="1"/>
  <c r="U39" i="65" s="1"/>
  <c r="N745" i="58" s="1"/>
  <c r="M21" i="65" a="1"/>
  <c r="M21" i="65" s="1"/>
  <c r="O698" i="58" s="1"/>
  <c r="U15" i="65" a="1"/>
  <c r="U15" i="65" s="1"/>
  <c r="N725" i="58" s="1"/>
  <c r="V29" i="65" a="1"/>
  <c r="V29" i="65" s="1"/>
  <c r="O737" i="58" s="1"/>
  <c r="V38" i="65" a="1"/>
  <c r="V38" i="65" s="1"/>
  <c r="O744" i="58" s="1"/>
  <c r="V30" i="65" a="1"/>
  <c r="V30" i="65" s="1"/>
  <c r="O738" i="58" s="1"/>
  <c r="V21" i="65" a="1"/>
  <c r="V21" i="65" s="1"/>
  <c r="O731" i="58" s="1"/>
  <c r="V15" i="65" a="1"/>
  <c r="V15" i="65" s="1"/>
  <c r="O725" i="58" s="1"/>
  <c r="V8" i="65" a="1"/>
  <c r="V8" i="65" s="1"/>
  <c r="O718" i="58" s="1"/>
  <c r="M38" i="65" a="1"/>
  <c r="M38" i="65" s="1"/>
  <c r="O711" i="58" s="1"/>
  <c r="M29" i="65" a="1"/>
  <c r="M29" i="65" s="1"/>
  <c r="O704" i="58" s="1"/>
  <c r="L21" i="65" a="1"/>
  <c r="L21" i="65" s="1"/>
  <c r="N698" i="58" s="1"/>
  <c r="L15" i="65" a="1"/>
  <c r="L15" i="65" s="1"/>
  <c r="N692" i="58" s="1"/>
  <c r="L8" i="65" a="1"/>
  <c r="L8" i="65" s="1"/>
  <c r="N685" i="58" s="1"/>
  <c r="D28" i="65" a="1"/>
  <c r="D28" i="65" s="1"/>
  <c r="O670" i="58" s="1"/>
  <c r="C42" i="65" a="1"/>
  <c r="C42" i="65" s="1"/>
  <c r="N682" i="58" s="1"/>
  <c r="L38" i="65" a="1"/>
  <c r="L38" i="65" s="1"/>
  <c r="N711" i="58" s="1"/>
  <c r="V14" i="65" a="1"/>
  <c r="V14" i="65" s="1"/>
  <c r="O724" i="58" s="1"/>
  <c r="U38" i="65" a="1"/>
  <c r="U38" i="65" s="1"/>
  <c r="N744" i="58" s="1"/>
  <c r="V37" i="65" a="1"/>
  <c r="V37" i="65" s="1"/>
  <c r="O743" i="58" s="1"/>
  <c r="U37" i="65" a="1"/>
  <c r="U37" i="65" s="1"/>
  <c r="N743" i="58" s="1"/>
  <c r="U29" i="65" a="1"/>
  <c r="U29" i="65" s="1"/>
  <c r="N737" i="58" s="1"/>
  <c r="V20" i="65" a="1"/>
  <c r="V20" i="65" s="1"/>
  <c r="O730" i="58" s="1"/>
  <c r="U14" i="65" a="1"/>
  <c r="U14" i="65" s="1"/>
  <c r="N724" i="58" s="1"/>
  <c r="U7" i="65" a="1"/>
  <c r="U7" i="65" s="1"/>
  <c r="N717" i="58" s="1"/>
  <c r="L37" i="65" a="1"/>
  <c r="L37" i="65" s="1"/>
  <c r="N710" i="58" s="1"/>
  <c r="L28" i="65" a="1"/>
  <c r="L28" i="65" s="1"/>
  <c r="N703" i="58" s="1"/>
  <c r="M19" i="65" a="1"/>
  <c r="M19" i="65" s="1"/>
  <c r="O696" i="58" s="1"/>
  <c r="M13" i="65" a="1"/>
  <c r="M13" i="65" s="1"/>
  <c r="O690" i="58" s="1"/>
  <c r="M6" i="65" a="1"/>
  <c r="M6" i="65" s="1"/>
  <c r="O683" i="58" s="1"/>
  <c r="D30" i="65" a="1"/>
  <c r="D30" i="65" s="1"/>
  <c r="O672" i="58" s="1"/>
  <c r="C26" i="65" a="1"/>
  <c r="C26" i="65" s="1"/>
  <c r="N668" i="58" s="1"/>
  <c r="C27" i="65" a="1"/>
  <c r="C27" i="65" s="1"/>
  <c r="N669" i="58" s="1"/>
  <c r="M42" i="65" a="1"/>
  <c r="M42" i="65" s="1"/>
  <c r="O715" i="58" s="1"/>
  <c r="M18" i="65" a="1"/>
  <c r="M18" i="65" s="1"/>
  <c r="O695" i="58" s="1"/>
  <c r="C28" i="65" a="1"/>
  <c r="C28" i="65" s="1"/>
  <c r="N670" i="58" s="1"/>
  <c r="D33" i="65" a="1"/>
  <c r="D33" i="65" s="1"/>
  <c r="O675" i="58" s="1"/>
  <c r="C25" i="65" a="1"/>
  <c r="C25" i="65" s="1"/>
  <c r="N667" i="58" s="1"/>
  <c r="V28" i="65" a="1"/>
  <c r="V28" i="65" s="1"/>
  <c r="O736" i="58" s="1"/>
  <c r="U20" i="65" a="1"/>
  <c r="U20" i="65" s="1"/>
  <c r="N730" i="58" s="1"/>
  <c r="V13" i="65" a="1"/>
  <c r="V13" i="65" s="1"/>
  <c r="O723" i="58" s="1"/>
  <c r="V6" i="65" a="1"/>
  <c r="V6" i="65" s="1"/>
  <c r="O716" i="58" s="1"/>
  <c r="M34" i="65" a="1"/>
  <c r="M34" i="65" s="1"/>
  <c r="O709" i="58" s="1"/>
  <c r="M27" i="65" a="1"/>
  <c r="M27" i="65" s="1"/>
  <c r="O702" i="58" s="1"/>
  <c r="L19" i="65" a="1"/>
  <c r="L19" i="65" s="1"/>
  <c r="N696" i="58" s="1"/>
  <c r="L13" i="65" a="1"/>
  <c r="L13" i="65" s="1"/>
  <c r="N690" i="58" s="1"/>
  <c r="L6" i="65" a="1"/>
  <c r="L6" i="65" s="1"/>
  <c r="N683" i="58" s="1"/>
  <c r="U19" i="65" a="1"/>
  <c r="U19" i="65" s="1"/>
  <c r="N729" i="58" s="1"/>
  <c r="M33" i="65" a="1"/>
  <c r="M33" i="65" s="1"/>
  <c r="O708" i="58" s="1"/>
  <c r="L12" i="65" a="1"/>
  <c r="L12" i="65" s="1"/>
  <c r="N689" i="58" s="1"/>
  <c r="M11" i="65" a="1"/>
  <c r="M11" i="65" s="1"/>
  <c r="O688" i="58" s="1"/>
  <c r="L11" i="65" a="1"/>
  <c r="L11" i="65" s="1"/>
  <c r="N688" i="58" s="1"/>
  <c r="M7" i="65" a="1"/>
  <c r="M7" i="65" s="1"/>
  <c r="O684" i="58" s="1"/>
  <c r="L20" i="65" a="1"/>
  <c r="L20" i="65" s="1"/>
  <c r="N697" i="58" s="1"/>
  <c r="D22" i="65" a="1"/>
  <c r="D22" i="65" s="1"/>
  <c r="O666" i="58" s="1"/>
  <c r="D13" i="65" a="1"/>
  <c r="D13" i="65" s="1"/>
  <c r="O657" i="58" s="1"/>
  <c r="C19" i="65" a="1"/>
  <c r="C19" i="65" s="1"/>
  <c r="N663" i="58" s="1"/>
  <c r="C22" i="65" a="1"/>
  <c r="C22" i="65" s="1"/>
  <c r="N666" i="58" s="1"/>
  <c r="C8" i="65" a="1"/>
  <c r="C8" i="65" s="1"/>
  <c r="N652" i="58" s="1"/>
  <c r="D7" i="65" a="1"/>
  <c r="D7" i="65" s="1"/>
  <c r="O651" i="58" s="1"/>
  <c r="D14" i="65" a="1"/>
  <c r="D14" i="65" s="1"/>
  <c r="O658" i="58" s="1"/>
  <c r="C21" i="65" a="1"/>
  <c r="C21" i="65" s="1"/>
  <c r="N665" i="58" s="1"/>
  <c r="C9" i="65" a="1"/>
  <c r="C9" i="65" s="1"/>
  <c r="N653" i="58" s="1"/>
  <c r="D6" i="65" a="1"/>
  <c r="D6" i="65" s="1"/>
  <c r="O650" i="58" s="1"/>
  <c r="D8" i="65" a="1"/>
  <c r="D8" i="65" s="1"/>
  <c r="O652" i="58" s="1"/>
  <c r="D15" i="65" a="1"/>
  <c r="D15" i="65" s="1"/>
  <c r="O659" i="58" s="1"/>
  <c r="C6" i="65" a="1"/>
  <c r="C6" i="65" s="1"/>
  <c r="N650" i="58" s="1"/>
  <c r="D11" i="65" a="1"/>
  <c r="D11" i="65" s="1"/>
  <c r="O655" i="58" s="1"/>
  <c r="C10" i="65" a="1"/>
  <c r="C10" i="65" s="1"/>
  <c r="N654" i="58" s="1"/>
  <c r="D16" i="65" a="1"/>
  <c r="D16" i="65" s="1"/>
  <c r="O660" i="58" s="1"/>
  <c r="C11" i="65" a="1"/>
  <c r="C11" i="65" s="1"/>
  <c r="N655" i="58" s="1"/>
  <c r="C15" i="65" a="1"/>
  <c r="C15" i="65" s="1"/>
  <c r="N659" i="58" s="1"/>
  <c r="D9" i="65" a="1"/>
  <c r="D9" i="65" s="1"/>
  <c r="O653" i="58" s="1"/>
  <c r="D18" i="65" a="1"/>
  <c r="D18" i="65" s="1"/>
  <c r="O662" i="58" s="1"/>
  <c r="C12" i="65" a="1"/>
  <c r="C12" i="65" s="1"/>
  <c r="N656" i="58" s="1"/>
  <c r="D17" i="65" a="1"/>
  <c r="D17" i="65" s="1"/>
  <c r="O661" i="58" s="1"/>
  <c r="C14" i="65" a="1"/>
  <c r="C14" i="65" s="1"/>
  <c r="N658" i="58" s="1"/>
  <c r="D10" i="65" a="1"/>
  <c r="D10" i="65" s="1"/>
  <c r="O654" i="58" s="1"/>
  <c r="C13" i="65" a="1"/>
  <c r="C13" i="65" s="1"/>
  <c r="N657" i="58" s="1"/>
  <c r="D19" i="65" a="1"/>
  <c r="D19" i="65" s="1"/>
  <c r="O663" i="58" s="1"/>
  <c r="D20" i="65" a="1"/>
  <c r="D20" i="65" s="1"/>
  <c r="O664" i="58" s="1"/>
  <c r="C16" i="65" a="1"/>
  <c r="C16" i="65" s="1"/>
  <c r="N660" i="58" s="1"/>
  <c r="D12" i="65" a="1"/>
  <c r="D12" i="65" s="1"/>
  <c r="O656" i="58" s="1"/>
  <c r="D21" i="65" a="1"/>
  <c r="D21" i="65" s="1"/>
  <c r="O665" i="58" s="1"/>
  <c r="C17" i="65" a="1"/>
  <c r="C17" i="65" s="1"/>
  <c r="N661" i="58" s="1"/>
  <c r="C18" i="65" a="1"/>
  <c r="C18" i="65" s="1"/>
  <c r="N662" i="58" s="1"/>
  <c r="C7" i="65" a="1"/>
  <c r="C7" i="65" s="1"/>
  <c r="N651" i="58" s="1"/>
  <c r="C20" i="65" a="1"/>
  <c r="C20" i="65" s="1"/>
  <c r="N664" i="58" s="1"/>
  <c r="V17" i="43" a="1"/>
  <c r="V17" i="43" s="1"/>
  <c r="M15" i="43" a="1"/>
  <c r="M15" i="43" s="1"/>
  <c r="D13" i="43" a="1"/>
  <c r="D13" i="43" s="1"/>
  <c r="C13" i="43" a="1"/>
  <c r="C13" i="43" s="1"/>
  <c r="D16" i="43" a="1"/>
  <c r="D16" i="43" s="1"/>
  <c r="U17" i="43" a="1"/>
  <c r="U17" i="43" s="1"/>
  <c r="W17" i="43" s="1"/>
  <c r="L15" i="43" a="1"/>
  <c r="L15" i="43" s="1"/>
  <c r="M5" i="40" a="1"/>
  <c r="M5" i="40" s="1"/>
  <c r="M17" i="43" a="1"/>
  <c r="M17" i="43" s="1"/>
  <c r="M14" i="43" a="1"/>
  <c r="M14" i="43" s="1"/>
  <c r="L17" i="43" a="1"/>
  <c r="L17" i="43" s="1"/>
  <c r="L14" i="43" a="1"/>
  <c r="L14" i="43" s="1"/>
  <c r="U5" i="40" a="1"/>
  <c r="U5" i="40" s="1"/>
  <c r="W5" i="40" s="1"/>
  <c r="M13" i="43" a="1"/>
  <c r="M13" i="43" s="1"/>
  <c r="V16" i="43" a="1"/>
  <c r="V16" i="43" s="1"/>
  <c r="U16" i="43" a="1"/>
  <c r="U16" i="43" s="1"/>
  <c r="W16" i="43" s="1"/>
  <c r="L13" i="43" a="1"/>
  <c r="L13" i="43" s="1"/>
  <c r="L5" i="40" a="1"/>
  <c r="L5" i="40" s="1"/>
  <c r="N5" i="40" s="1"/>
  <c r="C17" i="43" a="1"/>
  <c r="C17" i="43" s="1"/>
  <c r="M16" i="43" a="1"/>
  <c r="M16" i="43" s="1"/>
  <c r="D17" i="43" a="1"/>
  <c r="D17" i="43" s="1"/>
  <c r="C5" i="40" a="1"/>
  <c r="C5" i="40" s="1"/>
  <c r="E5" i="40" s="1"/>
  <c r="D15" i="43" a="1"/>
  <c r="D15" i="43" s="1"/>
  <c r="L16" i="43" a="1"/>
  <c r="L16" i="43" s="1"/>
  <c r="V15" i="43" a="1"/>
  <c r="V15" i="43" s="1"/>
  <c r="V14" i="43" a="1"/>
  <c r="V14" i="43" s="1"/>
  <c r="V13" i="43" a="1"/>
  <c r="V13" i="43" s="1"/>
  <c r="U15" i="43" a="1"/>
  <c r="U15" i="43" s="1"/>
  <c r="W15" i="43" s="1"/>
  <c r="C15" i="43" a="1"/>
  <c r="C15" i="43" s="1"/>
  <c r="D14" i="43" a="1"/>
  <c r="D14" i="43" s="1"/>
  <c r="D5" i="40" a="1"/>
  <c r="D5" i="40" s="1"/>
  <c r="U14" i="43" a="1"/>
  <c r="U14" i="43" s="1"/>
  <c r="W14" i="43" s="1"/>
  <c r="C14" i="43" a="1"/>
  <c r="C14" i="43" s="1"/>
  <c r="C16" i="43" a="1"/>
  <c r="C16" i="43" s="1"/>
  <c r="U13" i="43" a="1"/>
  <c r="U13" i="43" s="1"/>
  <c r="W13" i="43" s="1"/>
  <c r="V5" i="40" a="1"/>
  <c r="V5" i="40" s="1"/>
  <c r="O649" i="58"/>
  <c r="O648" i="58"/>
  <c r="O615" i="58"/>
  <c r="O626" i="58"/>
  <c r="O605" i="58"/>
  <c r="O584" i="58"/>
  <c r="O601" i="58"/>
  <c r="O616" i="58"/>
  <c r="O630" i="58"/>
  <c r="O597" i="58"/>
  <c r="O644" i="58"/>
  <c r="O623" i="58"/>
  <c r="O617" i="58"/>
  <c r="O606" i="58"/>
  <c r="O631" i="58"/>
  <c r="O598" i="58"/>
  <c r="O612" i="58"/>
  <c r="O602" i="58"/>
  <c r="O646" i="58"/>
  <c r="O613" i="58"/>
  <c r="O645" i="58"/>
  <c r="O627" i="58"/>
  <c r="O641" i="58"/>
  <c r="O624" i="58"/>
  <c r="O596" i="58"/>
  <c r="O628" i="58"/>
  <c r="O594" i="58"/>
  <c r="O620" i="58"/>
  <c r="O599" i="58"/>
  <c r="O591" i="58"/>
  <c r="O592" i="58"/>
  <c r="O635" i="58"/>
  <c r="O634" i="58"/>
  <c r="O643" i="58"/>
  <c r="O595" i="58"/>
  <c r="O642" i="58"/>
  <c r="O609" i="58"/>
  <c r="O638" i="58"/>
  <c r="O610" i="58"/>
  <c r="O625" i="58"/>
  <c r="O640" i="58"/>
  <c r="O607" i="58"/>
  <c r="O639" i="58"/>
  <c r="O621" i="58"/>
  <c r="O614" i="58"/>
  <c r="O593" i="58"/>
  <c r="O622" i="58"/>
  <c r="O588" i="58"/>
  <c r="O589" i="58"/>
  <c r="O636" i="58"/>
  <c r="O611" i="58"/>
  <c r="O647" i="58"/>
  <c r="O603" i="58"/>
  <c r="O632" i="58"/>
  <c r="O590" i="58"/>
  <c r="O637" i="58"/>
  <c r="O604" i="58"/>
  <c r="O618" i="58"/>
  <c r="O585" i="58"/>
  <c r="O619" i="58"/>
  <c r="O586" i="58"/>
  <c r="O633" i="58"/>
  <c r="O600" i="58"/>
  <c r="O629" i="58"/>
  <c r="O608" i="58"/>
  <c r="O587" i="58"/>
  <c r="E20" i="46" a="1"/>
  <c r="E20" i="46" s="1"/>
  <c r="Q22" i="53" a="1"/>
  <c r="Q22" i="53" s="1"/>
  <c r="P32" i="46" a="1"/>
  <c r="P32" i="46" s="1"/>
  <c r="R32" i="46" s="1"/>
  <c r="P25" i="44" a="1"/>
  <c r="P25" i="44" s="1"/>
  <c r="R25" i="44" s="1"/>
  <c r="U45" i="43" a="1"/>
  <c r="U45" i="43" s="1"/>
  <c r="W45" i="43" s="1"/>
  <c r="L30" i="40" a="1"/>
  <c r="L30" i="40" s="1"/>
  <c r="N30" i="40" s="1"/>
  <c r="C28" i="40" a="1"/>
  <c r="C28" i="40" s="1"/>
  <c r="E28" i="40" s="1"/>
  <c r="P22" i="53" a="1"/>
  <c r="P22" i="53" s="1"/>
  <c r="R22" i="53" s="1"/>
  <c r="E32" i="46" a="1"/>
  <c r="E32" i="46" s="1"/>
  <c r="E25" i="44" a="1"/>
  <c r="E25" i="44" s="1"/>
  <c r="M45" i="43" a="1"/>
  <c r="M45" i="43" s="1"/>
  <c r="V30" i="40" a="1"/>
  <c r="V30" i="40" s="1"/>
  <c r="E22" i="53" a="1"/>
  <c r="E22" i="53" s="1"/>
  <c r="D32" i="46" a="1"/>
  <c r="D32" i="46" s="1"/>
  <c r="D25" i="44" a="1"/>
  <c r="D25" i="44" s="1"/>
  <c r="F25" i="44" s="1"/>
  <c r="L45" i="43" a="1"/>
  <c r="L45" i="43" s="1"/>
  <c r="N45" i="43" s="1"/>
  <c r="U30" i="40" a="1"/>
  <c r="U30" i="40" s="1"/>
  <c r="W30" i="40" s="1"/>
  <c r="D22" i="53" a="1"/>
  <c r="D22" i="53" s="1"/>
  <c r="F22" i="53" s="1"/>
  <c r="V49" i="43" a="1"/>
  <c r="V49" i="43" s="1"/>
  <c r="D45" i="43" a="1"/>
  <c r="D45" i="43" s="1"/>
  <c r="M30" i="40" a="1"/>
  <c r="M30" i="40" s="1"/>
  <c r="C45" i="43" a="1"/>
  <c r="C45" i="43" s="1"/>
  <c r="Q32" i="46" a="1"/>
  <c r="Q32" i="46" s="1"/>
  <c r="U49" i="43" a="1"/>
  <c r="U49" i="43" s="1"/>
  <c r="AC32" i="46" a="1"/>
  <c r="AC32" i="46" s="1"/>
  <c r="AC25" i="44" a="1"/>
  <c r="AC25" i="44" s="1"/>
  <c r="M49" i="43" a="1"/>
  <c r="M49" i="43" s="1"/>
  <c r="D49" i="43" a="1"/>
  <c r="D49" i="43" s="1"/>
  <c r="D30" i="40" a="1"/>
  <c r="D30" i="40" s="1"/>
  <c r="C30" i="40" a="1"/>
  <c r="C30" i="40" s="1"/>
  <c r="E30" i="40" s="1"/>
  <c r="Q25" i="44" a="1"/>
  <c r="Q25" i="44" s="1"/>
  <c r="AC22" i="53" a="1"/>
  <c r="AC22" i="53" s="1"/>
  <c r="AB32" i="46" a="1"/>
  <c r="AB32" i="46" s="1"/>
  <c r="AD32" i="46" s="1"/>
  <c r="AB25" i="44" a="1"/>
  <c r="AB25" i="44" s="1"/>
  <c r="AD25" i="44" s="1"/>
  <c r="L49" i="43" a="1"/>
  <c r="L49" i="43" s="1"/>
  <c r="C49" i="43" a="1"/>
  <c r="C49" i="43" s="1"/>
  <c r="AB22" i="53" a="1"/>
  <c r="AB22" i="53" s="1"/>
  <c r="AD22" i="53" s="1"/>
  <c r="V45" i="43" a="1"/>
  <c r="V45" i="43" s="1"/>
  <c r="AC24" i="53" a="1"/>
  <c r="AC24" i="53" s="1"/>
  <c r="P34" i="46" a="1"/>
  <c r="P34" i="46" s="1"/>
  <c r="C53" i="43" a="1"/>
  <c r="C53" i="43" s="1"/>
  <c r="AB24" i="53" a="1"/>
  <c r="AB24" i="53" s="1"/>
  <c r="E34" i="46" a="1"/>
  <c r="E34" i="46" s="1"/>
  <c r="V53" i="43" a="1"/>
  <c r="V53" i="43" s="1"/>
  <c r="M53" i="43" a="1"/>
  <c r="M53" i="43" s="1"/>
  <c r="P22" i="46" a="1"/>
  <c r="P22" i="46" s="1"/>
  <c r="Q24" i="53" a="1"/>
  <c r="Q24" i="53" s="1"/>
  <c r="D34" i="46" a="1"/>
  <c r="D34" i="46" s="1"/>
  <c r="U53" i="43" a="1"/>
  <c r="U53" i="43" s="1"/>
  <c r="Q34" i="46" a="1"/>
  <c r="Q34" i="46" s="1"/>
  <c r="D53" i="43" a="1"/>
  <c r="D53" i="43" s="1"/>
  <c r="P24" i="53" a="1"/>
  <c r="P24" i="53" s="1"/>
  <c r="AC22" i="46" a="1"/>
  <c r="AC22" i="46" s="1"/>
  <c r="E22" i="46" a="1"/>
  <c r="E22" i="46" s="1"/>
  <c r="E24" i="53" a="1"/>
  <c r="E24" i="53" s="1"/>
  <c r="AB22" i="46" a="1"/>
  <c r="AB22" i="46" s="1"/>
  <c r="D22" i="46" a="1"/>
  <c r="D22" i="46" s="1"/>
  <c r="D24" i="53" a="1"/>
  <c r="D24" i="53" s="1"/>
  <c r="AC34" i="46" a="1"/>
  <c r="AC34" i="46" s="1"/>
  <c r="L53" i="43" a="1"/>
  <c r="L53" i="43" s="1"/>
  <c r="AB34" i="46" a="1"/>
  <c r="AB34" i="46" s="1"/>
  <c r="Q22" i="46" a="1"/>
  <c r="Q22" i="46" s="1"/>
  <c r="D6" i="43" a="1"/>
  <c r="D6" i="43" s="1"/>
  <c r="C8" i="43" a="1"/>
  <c r="C8" i="43" s="1"/>
  <c r="E8" i="43" s="1"/>
  <c r="C7" i="43" a="1"/>
  <c r="C7" i="43" s="1"/>
  <c r="E7" i="43" s="1"/>
  <c r="C6" i="43" a="1"/>
  <c r="C6" i="43" s="1"/>
  <c r="E6" i="43" s="1"/>
  <c r="D48" i="43" a="1"/>
  <c r="D48" i="43" s="1"/>
  <c r="C48" i="43" a="1"/>
  <c r="C48" i="43" s="1"/>
  <c r="E48" i="43" s="1"/>
  <c r="D8" i="43" a="1"/>
  <c r="D8" i="43" s="1"/>
  <c r="D7" i="43" a="1"/>
  <c r="D7" i="43" s="1"/>
  <c r="B75" i="2"/>
  <c r="V8" i="43" a="1"/>
  <c r="V8" i="43" s="1"/>
  <c r="U8" i="43" a="1"/>
  <c r="U8" i="43" s="1"/>
  <c r="W8" i="43" s="1"/>
  <c r="M8" i="43" a="1"/>
  <c r="M8" i="43" s="1"/>
  <c r="L8" i="43" a="1"/>
  <c r="L8" i="43" s="1"/>
  <c r="N8" i="43" s="1"/>
  <c r="V7" i="43" a="1"/>
  <c r="V7" i="43" s="1"/>
  <c r="U7" i="43" a="1"/>
  <c r="U7" i="43" s="1"/>
  <c r="W7" i="43" s="1"/>
  <c r="M7" i="43" a="1"/>
  <c r="M7" i="43" s="1"/>
  <c r="L7" i="43" a="1"/>
  <c r="L7" i="43" s="1"/>
  <c r="N7" i="43" s="1"/>
  <c r="C4" i="40" a="1"/>
  <c r="C4" i="40" s="1"/>
  <c r="E4" i="40" s="1"/>
  <c r="E30" i="46" a="1"/>
  <c r="E30" i="46" s="1"/>
  <c r="O453" i="58" s="1"/>
  <c r="E19" i="46" a="1"/>
  <c r="E19" i="46" s="1"/>
  <c r="O445" i="58" s="1"/>
  <c r="E11" i="46" a="1"/>
  <c r="E11" i="46" s="1"/>
  <c r="O438" i="58" s="1"/>
  <c r="E9" i="46" a="1"/>
  <c r="E9" i="46" s="1"/>
  <c r="E26" i="46" a="1"/>
  <c r="E26" i="46" s="1"/>
  <c r="O450" i="58" s="1"/>
  <c r="E7" i="46" a="1"/>
  <c r="E7" i="46" s="1"/>
  <c r="E16" i="46" a="1"/>
  <c r="E16" i="46" s="1"/>
  <c r="E14" i="46" a="1"/>
  <c r="E14" i="46" s="1"/>
  <c r="O441" i="58" s="1"/>
  <c r="E13" i="46" a="1"/>
  <c r="E13" i="46" s="1"/>
  <c r="E39" i="46" a="1"/>
  <c r="E39" i="46" s="1"/>
  <c r="E29" i="46" a="1"/>
  <c r="E29" i="46" s="1"/>
  <c r="O452" i="58" s="1"/>
  <c r="E8" i="46" a="1"/>
  <c r="E8" i="46" s="1"/>
  <c r="E17" i="46" a="1"/>
  <c r="E17" i="46" s="1"/>
  <c r="E36" i="46" a="1"/>
  <c r="E36" i="46" s="1"/>
  <c r="E6" i="46" a="1"/>
  <c r="E6" i="46" s="1"/>
  <c r="E21" i="46" a="1"/>
  <c r="E21" i="46" s="1"/>
  <c r="E12" i="46" a="1"/>
  <c r="E12" i="46" s="1"/>
  <c r="O439" i="58" s="1"/>
  <c r="E38" i="46" a="1"/>
  <c r="E38" i="46" s="1"/>
  <c r="E28" i="46" a="1"/>
  <c r="E28" i="46" s="1"/>
  <c r="E18" i="46" a="1"/>
  <c r="E18" i="46" s="1"/>
  <c r="E37" i="46" a="1"/>
  <c r="E37" i="46" s="1"/>
  <c r="E25" i="46" a="1"/>
  <c r="E25" i="46" s="1"/>
  <c r="O449" i="58" s="1"/>
  <c r="E33" i="46" a="1"/>
  <c r="E33" i="46" s="1"/>
  <c r="E31" i="46" a="1"/>
  <c r="E31" i="46" s="1"/>
  <c r="E24" i="46" a="1"/>
  <c r="E24" i="46" s="1"/>
  <c r="O448" i="58" s="1"/>
  <c r="AC20" i="53" a="1"/>
  <c r="AC20" i="53" s="1"/>
  <c r="Q20" i="46" a="1"/>
  <c r="Q20" i="46" s="1"/>
  <c r="E23" i="44" a="1"/>
  <c r="E23" i="44" s="1"/>
  <c r="AB20" i="53" a="1"/>
  <c r="AB20" i="53" s="1"/>
  <c r="AD20" i="53" s="1"/>
  <c r="P20" i="46" a="1"/>
  <c r="P20" i="46" s="1"/>
  <c r="R20" i="46" s="1"/>
  <c r="D23" i="44" a="1"/>
  <c r="D23" i="44" s="1"/>
  <c r="F23" i="44" s="1"/>
  <c r="V28" i="40" a="1"/>
  <c r="V28" i="40" s="1"/>
  <c r="Q20" i="53" a="1"/>
  <c r="Q20" i="53" s="1"/>
  <c r="P23" i="44" a="1"/>
  <c r="P23" i="44" s="1"/>
  <c r="R23" i="44" s="1"/>
  <c r="P20" i="53" a="1"/>
  <c r="P20" i="53" s="1"/>
  <c r="R20" i="53" s="1"/>
  <c r="D20" i="46" a="1"/>
  <c r="D20" i="46" s="1"/>
  <c r="F20" i="46" s="1"/>
  <c r="U28" i="40" a="1"/>
  <c r="U28" i="40" s="1"/>
  <c r="W28" i="40" s="1"/>
  <c r="D20" i="53" a="1"/>
  <c r="D20" i="53" s="1"/>
  <c r="L28" i="40" a="1"/>
  <c r="L28" i="40" s="1"/>
  <c r="N28" i="40" s="1"/>
  <c r="E20" i="53" a="1"/>
  <c r="E20" i="53" s="1"/>
  <c r="AC23" i="44" a="1"/>
  <c r="AC23" i="44" s="1"/>
  <c r="M28" i="40" a="1"/>
  <c r="M28" i="40" s="1"/>
  <c r="AB23" i="44" a="1"/>
  <c r="AB23" i="44" s="1"/>
  <c r="AD23" i="44" s="1"/>
  <c r="AC20" i="46" a="1"/>
  <c r="AC20" i="46" s="1"/>
  <c r="Q23" i="44" a="1"/>
  <c r="Q23" i="44" s="1"/>
  <c r="D28" i="40" a="1"/>
  <c r="D28" i="40" s="1"/>
  <c r="AB20" i="46" a="1"/>
  <c r="AB20" i="46" s="1"/>
  <c r="AD20" i="46" s="1"/>
  <c r="D48" i="2"/>
  <c r="AC8" i="44" a="1"/>
  <c r="AC8" i="44" s="1"/>
  <c r="M4" i="40" a="1"/>
  <c r="M4" i="40" s="1"/>
  <c r="AB8" i="44" a="1"/>
  <c r="AB8" i="44" s="1"/>
  <c r="AD8" i="44" s="1"/>
  <c r="Q8" i="44" a="1"/>
  <c r="Q8" i="44" s="1"/>
  <c r="P8" i="44" a="1"/>
  <c r="P8" i="44" s="1"/>
  <c r="R8" i="44" s="1"/>
  <c r="E8" i="44" a="1"/>
  <c r="E8" i="44" s="1"/>
  <c r="D8" i="44" a="1"/>
  <c r="D8" i="44" s="1"/>
  <c r="F8" i="44" s="1"/>
  <c r="V4" i="40" a="1"/>
  <c r="V4" i="40" s="1"/>
  <c r="L4" i="40" a="1"/>
  <c r="L4" i="40" s="1"/>
  <c r="N4" i="40" s="1"/>
  <c r="U4" i="40" a="1"/>
  <c r="U4" i="40" s="1"/>
  <c r="W4" i="40" s="1"/>
  <c r="D4" i="40" a="1"/>
  <c r="D4" i="40" s="1"/>
  <c r="G4" i="40" s="1"/>
  <c r="V44" i="43" a="1"/>
  <c r="V44" i="43" s="1"/>
  <c r="M44" i="43" a="1"/>
  <c r="M44" i="43" s="1"/>
  <c r="D44" i="43" a="1"/>
  <c r="D44" i="43" s="1"/>
  <c r="V29" i="40" a="1"/>
  <c r="V29" i="40" s="1"/>
  <c r="D29" i="40" a="1"/>
  <c r="D29" i="40" s="1"/>
  <c r="U44" i="43" a="1"/>
  <c r="U44" i="43" s="1"/>
  <c r="W44" i="43" s="1"/>
  <c r="L44" i="43" a="1"/>
  <c r="L44" i="43" s="1"/>
  <c r="C44" i="43" a="1"/>
  <c r="C44" i="43" s="1"/>
  <c r="E44" i="43" s="1"/>
  <c r="M29" i="40" a="1"/>
  <c r="M29" i="40" s="1"/>
  <c r="U29" i="40" a="1"/>
  <c r="U29" i="40" s="1"/>
  <c r="W29" i="40" s="1"/>
  <c r="L29" i="40" a="1"/>
  <c r="L29" i="40" s="1"/>
  <c r="N29" i="40" s="1"/>
  <c r="C29" i="40" a="1"/>
  <c r="C29" i="40" s="1"/>
  <c r="E29" i="40" s="1"/>
  <c r="V6" i="47" a="1"/>
  <c r="V6" i="47" s="1"/>
  <c r="M7" i="47" a="1"/>
  <c r="M7" i="47" s="1"/>
  <c r="V12" i="47" a="1"/>
  <c r="V12" i="47" s="1"/>
  <c r="V4" i="47" a="1"/>
  <c r="V4" i="47" s="1"/>
  <c r="V11" i="47" a="1"/>
  <c r="V11" i="47" s="1"/>
  <c r="M12" i="47" a="1"/>
  <c r="M12" i="47" s="1"/>
  <c r="M4" i="47" a="1"/>
  <c r="M4" i="47" s="1"/>
  <c r="V10" i="47" a="1"/>
  <c r="V10" i="47" s="1"/>
  <c r="O353" i="58" s="1"/>
  <c r="M11" i="47" a="1"/>
  <c r="M11" i="47" s="1"/>
  <c r="D12" i="47" a="1"/>
  <c r="D12" i="47" s="1"/>
  <c r="V9" i="47" a="1"/>
  <c r="V9" i="47" s="1"/>
  <c r="M10" i="47" a="1"/>
  <c r="M10" i="47" s="1"/>
  <c r="O345" i="58" s="1"/>
  <c r="V8" i="47" a="1"/>
  <c r="V8" i="47" s="1"/>
  <c r="M9" i="47" a="1"/>
  <c r="M9" i="47" s="1"/>
  <c r="D10" i="47" a="1"/>
  <c r="D10" i="47" s="1"/>
  <c r="O337" i="58" s="1"/>
  <c r="M8" i="47" a="1"/>
  <c r="M8" i="47" s="1"/>
  <c r="D9" i="47" a="1"/>
  <c r="D9" i="47" s="1"/>
  <c r="V7" i="47" a="1"/>
  <c r="V7" i="47" s="1"/>
  <c r="D6" i="47" a="1"/>
  <c r="D6" i="47" s="1"/>
  <c r="D41" i="43" a="1"/>
  <c r="D41" i="43" s="1"/>
  <c r="D32" i="43" a="1"/>
  <c r="D32" i="43" s="1"/>
  <c r="D24" i="43" a="1"/>
  <c r="D24" i="43" s="1"/>
  <c r="M57" i="43" a="1"/>
  <c r="M57" i="43" s="1"/>
  <c r="M38" i="43" a="1"/>
  <c r="M38" i="43" s="1"/>
  <c r="M30" i="43" a="1"/>
  <c r="M30" i="43" s="1"/>
  <c r="M21" i="43" a="1"/>
  <c r="M21" i="43" s="1"/>
  <c r="M11" i="43" a="1"/>
  <c r="M11" i="43" s="1"/>
  <c r="V55" i="43" a="1"/>
  <c r="V55" i="43" s="1"/>
  <c r="V36" i="43" a="1"/>
  <c r="V36" i="43" s="1"/>
  <c r="V28" i="43" a="1"/>
  <c r="V28" i="43" s="1"/>
  <c r="V19" i="43" a="1"/>
  <c r="V19" i="43" s="1"/>
  <c r="V9" i="43" a="1"/>
  <c r="V9" i="43" s="1"/>
  <c r="E23" i="53" a="1"/>
  <c r="E23" i="53" s="1"/>
  <c r="E15" i="53" a="1"/>
  <c r="E15" i="53" s="1"/>
  <c r="O522" i="58" s="1"/>
  <c r="E6" i="53" a="1"/>
  <c r="E6" i="53" s="1"/>
  <c r="Q12" i="53" a="1"/>
  <c r="Q12" i="53" s="1"/>
  <c r="O539" i="58" s="1"/>
  <c r="AC27" i="53" a="1"/>
  <c r="AC27" i="53" s="1"/>
  <c r="AC8" i="53" a="1"/>
  <c r="AC8" i="53" s="1"/>
  <c r="Q38" i="46" a="1"/>
  <c r="Q38" i="46" s="1"/>
  <c r="Q28" i="46" a="1"/>
  <c r="Q28" i="46" s="1"/>
  <c r="Q18" i="46" a="1"/>
  <c r="Q18" i="46" s="1"/>
  <c r="Q8" i="46" a="1"/>
  <c r="Q8" i="46" s="1"/>
  <c r="AC21" i="46" a="1"/>
  <c r="AC21" i="46" s="1"/>
  <c r="O583" i="58" s="1"/>
  <c r="AC13" i="46" a="1"/>
  <c r="AC13" i="46" s="1"/>
  <c r="E32" i="44" a="1"/>
  <c r="E32" i="44" s="1"/>
  <c r="E15" i="44" a="1"/>
  <c r="E15" i="44" s="1"/>
  <c r="E6" i="44" a="1"/>
  <c r="E6" i="44" s="1"/>
  <c r="Q17" i="44" a="1"/>
  <c r="Q17" i="44" s="1"/>
  <c r="AC27" i="44" a="1"/>
  <c r="AC27" i="44" s="1"/>
  <c r="AC19" i="44" a="1"/>
  <c r="AC19" i="44" s="1"/>
  <c r="O420" i="58" s="1"/>
  <c r="AC11" i="44" a="1"/>
  <c r="AC11" i="44" s="1"/>
  <c r="O412" i="58" s="1"/>
  <c r="E19" i="44" a="1"/>
  <c r="E19" i="44" s="1"/>
  <c r="O368" i="58" s="1"/>
  <c r="AC15" i="44" a="1"/>
  <c r="AC15" i="44" s="1"/>
  <c r="E28" i="53" a="1"/>
  <c r="E28" i="53" s="1"/>
  <c r="AC26" i="46" a="1"/>
  <c r="AC26" i="46" s="1"/>
  <c r="O504" i="58" s="1"/>
  <c r="Q12" i="44" a="1"/>
  <c r="Q12" i="44" s="1"/>
  <c r="O387" i="58" s="1"/>
  <c r="D4" i="47" a="1"/>
  <c r="D4" i="47" s="1"/>
  <c r="D40" i="43" a="1"/>
  <c r="D40" i="43" s="1"/>
  <c r="D31" i="43" a="1"/>
  <c r="D31" i="43" s="1"/>
  <c r="D22" i="43" a="1"/>
  <c r="D22" i="43" s="1"/>
  <c r="M56" i="43" a="1"/>
  <c r="M56" i="43" s="1"/>
  <c r="M37" i="43" a="1"/>
  <c r="M37" i="43" s="1"/>
  <c r="M29" i="43" a="1"/>
  <c r="M29" i="43" s="1"/>
  <c r="M20" i="43" a="1"/>
  <c r="M20" i="43" s="1"/>
  <c r="M10" i="43" a="1"/>
  <c r="M10" i="43" s="1"/>
  <c r="V52" i="43" a="1"/>
  <c r="V52" i="43" s="1"/>
  <c r="V35" i="43" a="1"/>
  <c r="V35" i="43" s="1"/>
  <c r="V27" i="43" a="1"/>
  <c r="V27" i="43" s="1"/>
  <c r="Q29" i="53" a="1"/>
  <c r="Q29" i="53" s="1"/>
  <c r="Q19" i="53" a="1"/>
  <c r="Q19" i="53" s="1"/>
  <c r="O544" i="58" s="1"/>
  <c r="Q11" i="53" a="1"/>
  <c r="Q11" i="53" s="1"/>
  <c r="O538" i="58" s="1"/>
  <c r="AC26" i="53" a="1"/>
  <c r="AC26" i="53" s="1"/>
  <c r="AC16" i="53" a="1"/>
  <c r="AC16" i="53" s="1"/>
  <c r="O561" i="58" s="1"/>
  <c r="AC7" i="53" a="1"/>
  <c r="AC7" i="53" s="1"/>
  <c r="Q37" i="46" a="1"/>
  <c r="Q37" i="46" s="1"/>
  <c r="Q26" i="46" a="1"/>
  <c r="Q26" i="46" s="1"/>
  <c r="O477" i="58" s="1"/>
  <c r="Q17" i="46" a="1"/>
  <c r="Q17" i="46" s="1"/>
  <c r="Q7" i="46" a="1"/>
  <c r="Q7" i="46" s="1"/>
  <c r="AC31" i="46" a="1"/>
  <c r="AC31" i="46" s="1"/>
  <c r="AC12" i="46" a="1"/>
  <c r="AC12" i="46" s="1"/>
  <c r="O493" i="58" s="1"/>
  <c r="E31" i="44" a="1"/>
  <c r="E31" i="44" s="1"/>
  <c r="E22" i="44" a="1"/>
  <c r="E22" i="44" s="1"/>
  <c r="E14" i="44" a="1"/>
  <c r="E14" i="44" s="1"/>
  <c r="O363" i="58" s="1"/>
  <c r="Q33" i="44" a="1"/>
  <c r="Q33" i="44" s="1"/>
  <c r="Q24" i="44" a="1"/>
  <c r="Q24" i="44" s="1"/>
  <c r="O399" i="58" s="1"/>
  <c r="Q16" i="44" a="1"/>
  <c r="Q16" i="44" s="1"/>
  <c r="Q7" i="44" a="1"/>
  <c r="Q7" i="44" s="1"/>
  <c r="AC26" i="44" a="1"/>
  <c r="AC26" i="44" s="1"/>
  <c r="AC18" i="44" a="1"/>
  <c r="AC18" i="44" s="1"/>
  <c r="O419" i="58" s="1"/>
  <c r="AC9" i="44" a="1"/>
  <c r="AC9" i="44" s="1"/>
  <c r="E27" i="44" a="1"/>
  <c r="E27" i="44" s="1"/>
  <c r="E18" i="53" a="1"/>
  <c r="E18" i="53" s="1"/>
  <c r="O524" i="58" s="1"/>
  <c r="AC17" i="46" a="1"/>
  <c r="AC17" i="46" s="1"/>
  <c r="AC31" i="44" a="1"/>
  <c r="AC31" i="44" s="1"/>
  <c r="D57" i="43" a="1"/>
  <c r="D57" i="43" s="1"/>
  <c r="D38" i="43" a="1"/>
  <c r="D38" i="43" s="1"/>
  <c r="D30" i="43" a="1"/>
  <c r="D30" i="43" s="1"/>
  <c r="D21" i="43" a="1"/>
  <c r="D21" i="43" s="1"/>
  <c r="D11" i="43" a="1"/>
  <c r="D11" i="43" s="1"/>
  <c r="M55" i="43" a="1"/>
  <c r="M55" i="43" s="1"/>
  <c r="M36" i="43" a="1"/>
  <c r="M36" i="43" s="1"/>
  <c r="M28" i="43" a="1"/>
  <c r="M28" i="43" s="1"/>
  <c r="M19" i="43" a="1"/>
  <c r="M19" i="43" s="1"/>
  <c r="M9" i="43" a="1"/>
  <c r="M9" i="43" s="1"/>
  <c r="V51" i="43" a="1"/>
  <c r="V51" i="43" s="1"/>
  <c r="V43" i="43" a="1"/>
  <c r="V43" i="43" s="1"/>
  <c r="O322" i="58" s="1"/>
  <c r="V34" i="43" a="1"/>
  <c r="V34" i="43" s="1"/>
  <c r="V26" i="43" a="1"/>
  <c r="V26" i="43" s="1"/>
  <c r="E21" i="53" a="1"/>
  <c r="E21" i="53" s="1"/>
  <c r="O527" i="58" s="1"/>
  <c r="E13" i="53" a="1"/>
  <c r="E13" i="53" s="1"/>
  <c r="O521" i="58" s="1"/>
  <c r="Q28" i="53" a="1"/>
  <c r="Q28" i="53" s="1"/>
  <c r="Q18" i="53" a="1"/>
  <c r="Q18" i="53" s="1"/>
  <c r="O543" i="58" s="1"/>
  <c r="Q10" i="53" a="1"/>
  <c r="Q10" i="53" s="1"/>
  <c r="O537" i="58" s="1"/>
  <c r="AC23" i="53" a="1"/>
  <c r="AC23" i="53" s="1"/>
  <c r="AC15" i="53" a="1"/>
  <c r="AC15" i="53" s="1"/>
  <c r="O560" i="58" s="1"/>
  <c r="AC6" i="53" a="1"/>
  <c r="AC6" i="53" s="1"/>
  <c r="Q36" i="46" a="1"/>
  <c r="Q36" i="46" s="1"/>
  <c r="Q25" i="46" a="1"/>
  <c r="Q25" i="46" s="1"/>
  <c r="O476" i="58" s="1"/>
  <c r="Q16" i="46" a="1"/>
  <c r="Q16" i="46" s="1"/>
  <c r="Q6" i="46" a="1"/>
  <c r="Q6" i="46" s="1"/>
  <c r="AC30" i="46" a="1"/>
  <c r="AC30" i="46" s="1"/>
  <c r="O507" i="58" s="1"/>
  <c r="AC19" i="46" a="1"/>
  <c r="AC19" i="46" s="1"/>
  <c r="O499" i="58" s="1"/>
  <c r="AC11" i="46" a="1"/>
  <c r="AC11" i="46" s="1"/>
  <c r="O492" i="58" s="1"/>
  <c r="E30" i="44" a="1"/>
  <c r="E30" i="44" s="1"/>
  <c r="E21" i="44" a="1"/>
  <c r="E21" i="44" s="1"/>
  <c r="E13" i="44" a="1"/>
  <c r="E13" i="44" s="1"/>
  <c r="O362" i="58" s="1"/>
  <c r="Q32" i="44" a="1"/>
  <c r="Q32" i="44" s="1"/>
  <c r="Q15" i="44" a="1"/>
  <c r="Q15" i="44" s="1"/>
  <c r="Q6" i="44" a="1"/>
  <c r="Q6" i="44" s="1"/>
  <c r="AC17" i="44" a="1"/>
  <c r="AC17" i="44" s="1"/>
  <c r="AC32" i="44" a="1"/>
  <c r="AC32" i="44" s="1"/>
  <c r="AC12" i="53" a="1"/>
  <c r="AC12" i="53" s="1"/>
  <c r="O558" i="58" s="1"/>
  <c r="AC37" i="46" a="1"/>
  <c r="AC37" i="46" s="1"/>
  <c r="Q20" i="44" a="1"/>
  <c r="Q20" i="44" s="1"/>
  <c r="O395" i="58" s="1"/>
  <c r="M6" i="47" a="1"/>
  <c r="M6" i="47" s="1"/>
  <c r="D56" i="43" a="1"/>
  <c r="D56" i="43" s="1"/>
  <c r="D37" i="43" a="1"/>
  <c r="D37" i="43" s="1"/>
  <c r="D29" i="43" a="1"/>
  <c r="D29" i="43" s="1"/>
  <c r="D20" i="43" a="1"/>
  <c r="D20" i="43" s="1"/>
  <c r="D10" i="43" a="1"/>
  <c r="D10" i="43" s="1"/>
  <c r="M52" i="43" a="1"/>
  <c r="M52" i="43" s="1"/>
  <c r="M35" i="43" a="1"/>
  <c r="M35" i="43" s="1"/>
  <c r="M27" i="43" a="1"/>
  <c r="M27" i="43" s="1"/>
  <c r="V48" i="43" a="1"/>
  <c r="V48" i="43" s="1"/>
  <c r="V42" i="43" a="1"/>
  <c r="V42" i="43" s="1"/>
  <c r="V33" i="43" a="1"/>
  <c r="V33" i="43" s="1"/>
  <c r="V25" i="43" a="1"/>
  <c r="V25" i="43" s="1"/>
  <c r="V6" i="43" a="1"/>
  <c r="V6" i="43" s="1"/>
  <c r="E12" i="53" a="1"/>
  <c r="E12" i="53" s="1"/>
  <c r="O520" i="58" s="1"/>
  <c r="Q27" i="53" a="1"/>
  <c r="Q27" i="53" s="1"/>
  <c r="Q8" i="53" a="1"/>
  <c r="Q8" i="53" s="1"/>
  <c r="Q33" i="46" a="1"/>
  <c r="Q33" i="46" s="1"/>
  <c r="Q24" i="46" a="1"/>
  <c r="Q24" i="46" s="1"/>
  <c r="O475" i="58" s="1"/>
  <c r="Q14" i="46" a="1"/>
  <c r="Q14" i="46" s="1"/>
  <c r="O468" i="58" s="1"/>
  <c r="AC39" i="46" a="1"/>
  <c r="AC39" i="46" s="1"/>
  <c r="AC29" i="46" a="1"/>
  <c r="AC29" i="46" s="1"/>
  <c r="O506" i="58" s="1"/>
  <c r="AC9" i="46" a="1"/>
  <c r="AC9" i="46" s="1"/>
  <c r="E28" i="44" a="1"/>
  <c r="E28" i="44" s="1"/>
  <c r="E20" i="44" a="1"/>
  <c r="E20" i="44" s="1"/>
  <c r="O369" i="58" s="1"/>
  <c r="E12" i="44" a="1"/>
  <c r="E12" i="44" s="1"/>
  <c r="O361" i="58" s="1"/>
  <c r="Q31" i="44" a="1"/>
  <c r="Q31" i="44" s="1"/>
  <c r="Q22" i="44" a="1"/>
  <c r="Q22" i="44" s="1"/>
  <c r="Q14" i="44" a="1"/>
  <c r="Q14" i="44" s="1"/>
  <c r="O389" i="58" s="1"/>
  <c r="AC33" i="44" a="1"/>
  <c r="AC33" i="44" s="1"/>
  <c r="AC24" i="44" a="1"/>
  <c r="AC24" i="44" s="1"/>
  <c r="O425" i="58" s="1"/>
  <c r="AC16" i="44" a="1"/>
  <c r="AC16" i="44" s="1"/>
  <c r="AC7" i="44" a="1"/>
  <c r="AC7" i="44" s="1"/>
  <c r="E11" i="44" a="1"/>
  <c r="E11" i="44" s="1"/>
  <c r="O360" i="58" s="1"/>
  <c r="AC6" i="44" a="1"/>
  <c r="AC6" i="44" s="1"/>
  <c r="Q6" i="53" a="1"/>
  <c r="Q6" i="53" s="1"/>
  <c r="E9" i="44" a="1"/>
  <c r="E9" i="44" s="1"/>
  <c r="D11" i="47" a="1"/>
  <c r="D11" i="47" s="1"/>
  <c r="D55" i="43" a="1"/>
  <c r="D55" i="43" s="1"/>
  <c r="D36" i="43" a="1"/>
  <c r="D36" i="43" s="1"/>
  <c r="D28" i="43" a="1"/>
  <c r="D28" i="43" s="1"/>
  <c r="D19" i="43" a="1"/>
  <c r="D19" i="43" s="1"/>
  <c r="D9" i="43" a="1"/>
  <c r="D9" i="43" s="1"/>
  <c r="M51" i="43" a="1"/>
  <c r="M51" i="43" s="1"/>
  <c r="M43" i="43" a="1"/>
  <c r="M43" i="43" s="1"/>
  <c r="O279" i="58" s="1"/>
  <c r="M34" i="43" a="1"/>
  <c r="M34" i="43" s="1"/>
  <c r="M26" i="43" a="1"/>
  <c r="M26" i="43" s="1"/>
  <c r="V41" i="43" a="1"/>
  <c r="V41" i="43" s="1"/>
  <c r="V32" i="43" a="1"/>
  <c r="V32" i="43" s="1"/>
  <c r="V24" i="43" a="1"/>
  <c r="V24" i="43" s="1"/>
  <c r="E29" i="53" a="1"/>
  <c r="E29" i="53" s="1"/>
  <c r="E19" i="53" a="1"/>
  <c r="E19" i="53" s="1"/>
  <c r="O525" i="58" s="1"/>
  <c r="E11" i="53" a="1"/>
  <c r="E11" i="53" s="1"/>
  <c r="O519" i="58" s="1"/>
  <c r="Q26" i="53" a="1"/>
  <c r="Q26" i="53" s="1"/>
  <c r="Q16" i="53" a="1"/>
  <c r="Q16" i="53" s="1"/>
  <c r="O542" i="58" s="1"/>
  <c r="Q7" i="53" a="1"/>
  <c r="Q7" i="53" s="1"/>
  <c r="AC21" i="53" a="1"/>
  <c r="AC21" i="53" s="1"/>
  <c r="O565" i="58" s="1"/>
  <c r="AC13" i="53" a="1"/>
  <c r="AC13" i="53" s="1"/>
  <c r="O559" i="58" s="1"/>
  <c r="Q21" i="46" a="1"/>
  <c r="Q21" i="46" s="1"/>
  <c r="O582" i="58" s="1"/>
  <c r="Q13" i="46" a="1"/>
  <c r="Q13" i="46" s="1"/>
  <c r="AC38" i="46" a="1"/>
  <c r="AC38" i="46" s="1"/>
  <c r="AC28" i="46" a="1"/>
  <c r="AC28" i="46" s="1"/>
  <c r="AC18" i="46" a="1"/>
  <c r="AC18" i="46" s="1"/>
  <c r="Q13" i="44" a="1"/>
  <c r="Q13" i="44" s="1"/>
  <c r="O388" i="58" s="1"/>
  <c r="V22" i="43" a="1"/>
  <c r="V22" i="43" s="1"/>
  <c r="Q12" i="46" a="1"/>
  <c r="Q12" i="46" s="1"/>
  <c r="O466" i="58" s="1"/>
  <c r="Q28" i="44" a="1"/>
  <c r="Q28" i="44" s="1"/>
  <c r="D8" i="47" a="1"/>
  <c r="D8" i="47" s="1"/>
  <c r="D52" i="43" a="1"/>
  <c r="D52" i="43" s="1"/>
  <c r="D35" i="43" a="1"/>
  <c r="D35" i="43" s="1"/>
  <c r="D27" i="43" a="1"/>
  <c r="D27" i="43" s="1"/>
  <c r="M48" i="43" a="1"/>
  <c r="M48" i="43" s="1"/>
  <c r="M42" i="43" a="1"/>
  <c r="M42" i="43" s="1"/>
  <c r="M33" i="43" a="1"/>
  <c r="M33" i="43" s="1"/>
  <c r="M25" i="43" a="1"/>
  <c r="M25" i="43" s="1"/>
  <c r="M6" i="43" a="1"/>
  <c r="M6" i="43" s="1"/>
  <c r="E10" i="53" a="1"/>
  <c r="E10" i="53" s="1"/>
  <c r="O518" i="58" s="1"/>
  <c r="AC7" i="46" a="1"/>
  <c r="AC7" i="46" s="1"/>
  <c r="AC22" i="44" a="1"/>
  <c r="AC22" i="44" s="1"/>
  <c r="D51" i="43" a="1"/>
  <c r="D51" i="43" s="1"/>
  <c r="D43" i="43" a="1"/>
  <c r="D43" i="43" s="1"/>
  <c r="O236" i="58" s="1"/>
  <c r="D34" i="43" a="1"/>
  <c r="D34" i="43" s="1"/>
  <c r="D26" i="43" a="1"/>
  <c r="D26" i="43" s="1"/>
  <c r="M41" i="43" a="1"/>
  <c r="M41" i="43" s="1"/>
  <c r="M32" i="43" a="1"/>
  <c r="M32" i="43" s="1"/>
  <c r="M24" i="43" a="1"/>
  <c r="M24" i="43" s="1"/>
  <c r="V57" i="43" a="1"/>
  <c r="V57" i="43" s="1"/>
  <c r="V38" i="43" a="1"/>
  <c r="V38" i="43" s="1"/>
  <c r="V30" i="43" a="1"/>
  <c r="V30" i="43" s="1"/>
  <c r="V21" i="43" a="1"/>
  <c r="V21" i="43" s="1"/>
  <c r="V11" i="43" a="1"/>
  <c r="V11" i="43" s="1"/>
  <c r="E27" i="53" a="1"/>
  <c r="E27" i="53" s="1"/>
  <c r="E8" i="53" a="1"/>
  <c r="E8" i="53" s="1"/>
  <c r="AC29" i="53" a="1"/>
  <c r="AC29" i="53" s="1"/>
  <c r="AC19" i="53" a="1"/>
  <c r="AC19" i="53" s="1"/>
  <c r="O563" i="58" s="1"/>
  <c r="AC11" i="53" a="1"/>
  <c r="AC11" i="53" s="1"/>
  <c r="O557" i="58" s="1"/>
  <c r="Q30" i="46" a="1"/>
  <c r="Q30" i="46" s="1"/>
  <c r="O480" i="58" s="1"/>
  <c r="Q19" i="46" a="1"/>
  <c r="Q19" i="46" s="1"/>
  <c r="O472" i="58" s="1"/>
  <c r="Q11" i="46" a="1"/>
  <c r="Q11" i="46" s="1"/>
  <c r="O465" i="58" s="1"/>
  <c r="AC36" i="46" a="1"/>
  <c r="AC36" i="46" s="1"/>
  <c r="AC25" i="46" a="1"/>
  <c r="AC25" i="46" s="1"/>
  <c r="O503" i="58" s="1"/>
  <c r="AC16" i="46" a="1"/>
  <c r="AC16" i="46" s="1"/>
  <c r="AC6" i="46" a="1"/>
  <c r="AC6" i="46" s="1"/>
  <c r="E17" i="44" a="1"/>
  <c r="E17" i="44" s="1"/>
  <c r="Q27" i="44" a="1"/>
  <c r="Q27" i="44" s="1"/>
  <c r="Q19" i="44" a="1"/>
  <c r="Q19" i="44" s="1"/>
  <c r="O394" i="58" s="1"/>
  <c r="Q11" i="44" a="1"/>
  <c r="Q11" i="44" s="1"/>
  <c r="O386" i="58" s="1"/>
  <c r="AC30" i="44" a="1"/>
  <c r="AC30" i="44" s="1"/>
  <c r="AC21" i="44" a="1"/>
  <c r="AC21" i="44" s="1"/>
  <c r="AC13" i="44" a="1"/>
  <c r="AC13" i="44" s="1"/>
  <c r="O414" i="58" s="1"/>
  <c r="AC8" i="46" a="1"/>
  <c r="AC8" i="46" s="1"/>
  <c r="Q21" i="44" a="1"/>
  <c r="Q21" i="44" s="1"/>
  <c r="V31" i="43" a="1"/>
  <c r="V31" i="43" s="1"/>
  <c r="Q15" i="53" a="1"/>
  <c r="Q15" i="53" s="1"/>
  <c r="O541" i="58" s="1"/>
  <c r="Q31" i="46" a="1"/>
  <c r="Q31" i="46" s="1"/>
  <c r="E18" i="44" a="1"/>
  <c r="E18" i="44" s="1"/>
  <c r="O367" i="58" s="1"/>
  <c r="D7" i="47" a="1"/>
  <c r="D7" i="47" s="1"/>
  <c r="D42" i="43" a="1"/>
  <c r="D42" i="43" s="1"/>
  <c r="D33" i="43" a="1"/>
  <c r="D33" i="43" s="1"/>
  <c r="D25" i="43" a="1"/>
  <c r="D25" i="43" s="1"/>
  <c r="M40" i="43" a="1"/>
  <c r="M40" i="43" s="1"/>
  <c r="M31" i="43" a="1"/>
  <c r="M31" i="43" s="1"/>
  <c r="M22" i="43" a="1"/>
  <c r="M22" i="43" s="1"/>
  <c r="V56" i="43" a="1"/>
  <c r="V56" i="43" s="1"/>
  <c r="V37" i="43" a="1"/>
  <c r="V37" i="43" s="1"/>
  <c r="V29" i="43" a="1"/>
  <c r="V29" i="43" s="1"/>
  <c r="V20" i="43" a="1"/>
  <c r="V20" i="43" s="1"/>
  <c r="V10" i="43" a="1"/>
  <c r="V10" i="43" s="1"/>
  <c r="E26" i="53" a="1"/>
  <c r="E26" i="53" s="1"/>
  <c r="E16" i="53" a="1"/>
  <c r="E16" i="53" s="1"/>
  <c r="O523" i="58" s="1"/>
  <c r="E7" i="53" a="1"/>
  <c r="E7" i="53" s="1"/>
  <c r="Q21" i="53" a="1"/>
  <c r="Q21" i="53" s="1"/>
  <c r="O546" i="58" s="1"/>
  <c r="Q13" i="53" a="1"/>
  <c r="Q13" i="53" s="1"/>
  <c r="O540" i="58" s="1"/>
  <c r="AC28" i="53" a="1"/>
  <c r="AC28" i="53" s="1"/>
  <c r="AC18" i="53" a="1"/>
  <c r="AC18" i="53" s="1"/>
  <c r="O562" i="58" s="1"/>
  <c r="AC10" i="53" a="1"/>
  <c r="AC10" i="53" s="1"/>
  <c r="O556" i="58" s="1"/>
  <c r="Q39" i="46" a="1"/>
  <c r="Q39" i="46" s="1"/>
  <c r="Q29" i="46" a="1"/>
  <c r="Q29" i="46" s="1"/>
  <c r="O479" i="58" s="1"/>
  <c r="Q9" i="46" a="1"/>
  <c r="Q9" i="46" s="1"/>
  <c r="AC33" i="46" a="1"/>
  <c r="AC33" i="46" s="1"/>
  <c r="AC24" i="46" a="1"/>
  <c r="AC24" i="46" s="1"/>
  <c r="O502" i="58" s="1"/>
  <c r="AC14" i="46" a="1"/>
  <c r="AC14" i="46" s="1"/>
  <c r="O495" i="58" s="1"/>
  <c r="E33" i="44" a="1"/>
  <c r="E33" i="44" s="1"/>
  <c r="E24" i="44" a="1"/>
  <c r="E24" i="44" s="1"/>
  <c r="O373" i="58" s="1"/>
  <c r="E16" i="44" a="1"/>
  <c r="E16" i="44" s="1"/>
  <c r="E7" i="44" a="1"/>
  <c r="E7" i="44" s="1"/>
  <c r="Q26" i="44" a="1"/>
  <c r="Q26" i="44" s="1"/>
  <c r="Q18" i="44" a="1"/>
  <c r="Q18" i="44" s="1"/>
  <c r="O393" i="58" s="1"/>
  <c r="Q9" i="44" a="1"/>
  <c r="Q9" i="44" s="1"/>
  <c r="AC28" i="44" a="1"/>
  <c r="AC28" i="44" s="1"/>
  <c r="AC20" i="44" a="1"/>
  <c r="AC20" i="44" s="1"/>
  <c r="O421" i="58" s="1"/>
  <c r="AC12" i="44" a="1"/>
  <c r="AC12" i="44" s="1"/>
  <c r="O413" i="58" s="1"/>
  <c r="Q30" i="44" a="1"/>
  <c r="Q30" i="44" s="1"/>
  <c r="V40" i="43" a="1"/>
  <c r="V40" i="43" s="1"/>
  <c r="Q23" i="53" a="1"/>
  <c r="Q23" i="53" s="1"/>
  <c r="E26" i="44" a="1"/>
  <c r="E26" i="44" s="1"/>
  <c r="AC14" i="44" a="1"/>
  <c r="AC14" i="44" s="1"/>
  <c r="O415" i="58" s="1"/>
  <c r="D38" i="40" a="1"/>
  <c r="D38" i="40" s="1"/>
  <c r="D25" i="40" a="1"/>
  <c r="D25" i="40" s="1"/>
  <c r="D16" i="40" a="1"/>
  <c r="D16" i="40" s="1"/>
  <c r="D7" i="40" a="1"/>
  <c r="D7" i="40" s="1"/>
  <c r="M32" i="40" a="1"/>
  <c r="M32" i="40" s="1"/>
  <c r="M19" i="40" a="1"/>
  <c r="M19" i="40" s="1"/>
  <c r="M10" i="40" a="1"/>
  <c r="M10" i="40" s="1"/>
  <c r="V36" i="40" a="1"/>
  <c r="V36" i="40" s="1"/>
  <c r="V23" i="40" a="1"/>
  <c r="V23" i="40" s="1"/>
  <c r="V14" i="40" a="1"/>
  <c r="V14" i="40" s="1"/>
  <c r="V40" i="51" a="1"/>
  <c r="V40" i="51" s="1"/>
  <c r="V30" i="51" a="1"/>
  <c r="V30" i="51" s="1"/>
  <c r="V20" i="51" a="1"/>
  <c r="V20" i="51" s="1"/>
  <c r="V10" i="51" a="1"/>
  <c r="V10" i="51" s="1"/>
  <c r="M43" i="51" a="1"/>
  <c r="M43" i="51" s="1"/>
  <c r="M33" i="51" a="1"/>
  <c r="M33" i="51" s="1"/>
  <c r="M23" i="51" a="1"/>
  <c r="M23" i="51" s="1"/>
  <c r="M13" i="51" a="1"/>
  <c r="M13" i="51" s="1"/>
  <c r="M48" i="51" a="1"/>
  <c r="M48" i="51" s="1"/>
  <c r="D41" i="51" a="1"/>
  <c r="D41" i="51" s="1"/>
  <c r="D31" i="51" a="1"/>
  <c r="D31" i="51" s="1"/>
  <c r="D21" i="51" a="1"/>
  <c r="D21" i="51" s="1"/>
  <c r="D11" i="51" a="1"/>
  <c r="D11" i="51" s="1"/>
  <c r="C12" i="47" a="1"/>
  <c r="C12" i="47" s="1"/>
  <c r="E12" i="47" s="1"/>
  <c r="L9" i="47" a="1"/>
  <c r="L9" i="47" s="1"/>
  <c r="N9" i="47" s="1"/>
  <c r="U7" i="47" a="1"/>
  <c r="U7" i="47" s="1"/>
  <c r="W7" i="47" s="1"/>
  <c r="C4" i="47" a="1"/>
  <c r="C4" i="47" s="1"/>
  <c r="E4" i="47" s="1"/>
  <c r="L55" i="43" a="1"/>
  <c r="L55" i="43" s="1"/>
  <c r="U48" i="43" a="1"/>
  <c r="U48" i="43" s="1"/>
  <c r="W48" i="43" s="1"/>
  <c r="U42" i="43" a="1"/>
  <c r="U42" i="43" s="1"/>
  <c r="W42" i="43" s="1"/>
  <c r="C40" i="43" a="1"/>
  <c r="C40" i="43" s="1"/>
  <c r="L36" i="43" a="1"/>
  <c r="L36" i="43" s="1"/>
  <c r="U33" i="43" a="1"/>
  <c r="U33" i="43" s="1"/>
  <c r="W33" i="43" s="1"/>
  <c r="C31" i="43" a="1"/>
  <c r="C31" i="43" s="1"/>
  <c r="L28" i="43" a="1"/>
  <c r="L28" i="43" s="1"/>
  <c r="U25" i="43" a="1"/>
  <c r="U25" i="43" s="1"/>
  <c r="W25" i="43" s="1"/>
  <c r="C22" i="43" a="1"/>
  <c r="C22" i="43" s="1"/>
  <c r="L19" i="43" a="1"/>
  <c r="L19" i="43" s="1"/>
  <c r="L9" i="43" a="1"/>
  <c r="L9" i="43" s="1"/>
  <c r="U6" i="43" a="1"/>
  <c r="U6" i="43" s="1"/>
  <c r="W6" i="43" s="1"/>
  <c r="D28" i="53" a="1"/>
  <c r="D28" i="53" s="1"/>
  <c r="F28" i="53" s="1"/>
  <c r="P23" i="53" a="1"/>
  <c r="P23" i="53" s="1"/>
  <c r="R23" i="53" s="1"/>
  <c r="D18" i="53" a="1"/>
  <c r="D18" i="53" s="1"/>
  <c r="P15" i="53" a="1"/>
  <c r="P15" i="53" s="1"/>
  <c r="AB12" i="53" a="1"/>
  <c r="AB12" i="53" s="1"/>
  <c r="D10" i="53" a="1"/>
  <c r="D10" i="53" s="1"/>
  <c r="P6" i="53" a="1"/>
  <c r="P6" i="53" s="1"/>
  <c r="AB37" i="46" a="1"/>
  <c r="AB37" i="46" s="1"/>
  <c r="AD37" i="46" s="1"/>
  <c r="D33" i="46" a="1"/>
  <c r="D33" i="46" s="1"/>
  <c r="P30" i="46" a="1"/>
  <c r="P30" i="46" s="1"/>
  <c r="AB26" i="46" a="1"/>
  <c r="AB26" i="46" s="1"/>
  <c r="D24" i="46" a="1"/>
  <c r="D24" i="46" s="1"/>
  <c r="N448" i="58" s="1"/>
  <c r="P19" i="46" a="1"/>
  <c r="P19" i="46" s="1"/>
  <c r="N472" i="58" s="1"/>
  <c r="AB17" i="46" a="1"/>
  <c r="AB17" i="46" s="1"/>
  <c r="AD17" i="46" s="1"/>
  <c r="D14" i="46" a="1"/>
  <c r="D14" i="46" s="1"/>
  <c r="P11" i="46" a="1"/>
  <c r="P11" i="46" s="1"/>
  <c r="AB7" i="46" a="1"/>
  <c r="AB7" i="46" s="1"/>
  <c r="AD7" i="46" s="1"/>
  <c r="D33" i="44" a="1"/>
  <c r="D33" i="44" s="1"/>
  <c r="F33" i="44" s="1"/>
  <c r="P30" i="44" a="1"/>
  <c r="P30" i="44" s="1"/>
  <c r="R30" i="44" s="1"/>
  <c r="AB26" i="44" a="1"/>
  <c r="AB26" i="44" s="1"/>
  <c r="AD26" i="44" s="1"/>
  <c r="D24" i="44" a="1"/>
  <c r="D24" i="44" s="1"/>
  <c r="P21" i="44" a="1"/>
  <c r="P21" i="44" s="1"/>
  <c r="R21" i="44" s="1"/>
  <c r="AB18" i="44" a="1"/>
  <c r="AB18" i="44" s="1"/>
  <c r="N419" i="58" s="1"/>
  <c r="D16" i="44" a="1"/>
  <c r="D16" i="44" s="1"/>
  <c r="F16" i="44" s="1"/>
  <c r="P13" i="44" a="1"/>
  <c r="P13" i="44" s="1"/>
  <c r="AB9" i="44" a="1"/>
  <c r="AB9" i="44" s="1"/>
  <c r="AD9" i="44" s="1"/>
  <c r="D7" i="44" a="1"/>
  <c r="D7" i="44" s="1"/>
  <c r="F7" i="44" s="1"/>
  <c r="D37" i="40" a="1"/>
  <c r="D37" i="40" s="1"/>
  <c r="D24" i="40" a="1"/>
  <c r="D24" i="40" s="1"/>
  <c r="D15" i="40" a="1"/>
  <c r="D15" i="40" s="1"/>
  <c r="M31" i="40" a="1"/>
  <c r="M31" i="40" s="1"/>
  <c r="M27" i="40" a="1"/>
  <c r="M27" i="40" s="1"/>
  <c r="O161" i="58" s="1"/>
  <c r="M18" i="40" a="1"/>
  <c r="M18" i="40" s="1"/>
  <c r="M9" i="40" a="1"/>
  <c r="M9" i="40" s="1"/>
  <c r="V35" i="40" a="1"/>
  <c r="V35" i="40" s="1"/>
  <c r="V21" i="40" a="1"/>
  <c r="V21" i="40" s="1"/>
  <c r="V13" i="40" a="1"/>
  <c r="V13" i="40" s="1"/>
  <c r="V48" i="51" a="1"/>
  <c r="V48" i="51" s="1"/>
  <c r="V38" i="51" a="1"/>
  <c r="V38" i="51" s="1"/>
  <c r="V28" i="51" a="1"/>
  <c r="V28" i="51" s="1"/>
  <c r="V18" i="51" a="1"/>
  <c r="V18" i="51" s="1"/>
  <c r="V8" i="51" a="1"/>
  <c r="V8" i="51" s="1"/>
  <c r="M42" i="51" a="1"/>
  <c r="M42" i="51" s="1"/>
  <c r="M32" i="51" a="1"/>
  <c r="M32" i="51" s="1"/>
  <c r="M22" i="51" a="1"/>
  <c r="M22" i="51" s="1"/>
  <c r="M12" i="51" a="1"/>
  <c r="M12" i="51" s="1"/>
  <c r="L5" i="51" a="1"/>
  <c r="L5" i="51" s="1"/>
  <c r="N5" i="51" s="1"/>
  <c r="D40" i="51" a="1"/>
  <c r="D40" i="51" s="1"/>
  <c r="D30" i="51" a="1"/>
  <c r="D30" i="51" s="1"/>
  <c r="D20" i="51" a="1"/>
  <c r="D20" i="51" s="1"/>
  <c r="D10" i="51" a="1"/>
  <c r="D10" i="51" s="1"/>
  <c r="U11" i="47" a="1"/>
  <c r="U11" i="47" s="1"/>
  <c r="W11" i="47" s="1"/>
  <c r="C9" i="47" a="1"/>
  <c r="C9" i="47" s="1"/>
  <c r="E9" i="47" s="1"/>
  <c r="L7" i="47" a="1"/>
  <c r="L7" i="47" s="1"/>
  <c r="N7" i="47" s="1"/>
  <c r="U57" i="43" a="1"/>
  <c r="U57" i="43" s="1"/>
  <c r="W57" i="43" s="1"/>
  <c r="C55" i="43" a="1"/>
  <c r="C55" i="43" s="1"/>
  <c r="L48" i="43" a="1"/>
  <c r="L48" i="43" s="1"/>
  <c r="L42" i="43" a="1"/>
  <c r="L42" i="43" s="1"/>
  <c r="U38" i="43" a="1"/>
  <c r="U38" i="43" s="1"/>
  <c r="W38" i="43" s="1"/>
  <c r="C36" i="43" a="1"/>
  <c r="C36" i="43" s="1"/>
  <c r="L33" i="43" a="1"/>
  <c r="L33" i="43" s="1"/>
  <c r="U30" i="43" a="1"/>
  <c r="U30" i="43" s="1"/>
  <c r="W30" i="43" s="1"/>
  <c r="C28" i="43" a="1"/>
  <c r="C28" i="43" s="1"/>
  <c r="L25" i="43" a="1"/>
  <c r="L25" i="43" s="1"/>
  <c r="U21" i="43" a="1"/>
  <c r="U21" i="43" s="1"/>
  <c r="W21" i="43" s="1"/>
  <c r="C19" i="43" a="1"/>
  <c r="C19" i="43" s="1"/>
  <c r="U11" i="43" a="1"/>
  <c r="U11" i="43" s="1"/>
  <c r="W11" i="43" s="1"/>
  <c r="C9" i="43" a="1"/>
  <c r="C9" i="43" s="1"/>
  <c r="L6" i="43" a="1"/>
  <c r="L6" i="43" s="1"/>
  <c r="N6" i="43" s="1"/>
  <c r="AB27" i="53" a="1"/>
  <c r="AB27" i="53" s="1"/>
  <c r="AD27" i="53" s="1"/>
  <c r="D23" i="53" a="1"/>
  <c r="D23" i="53" s="1"/>
  <c r="F23" i="53" s="1"/>
  <c r="D15" i="53" a="1"/>
  <c r="D15" i="53" s="1"/>
  <c r="P12" i="53" a="1"/>
  <c r="P12" i="53" s="1"/>
  <c r="AB8" i="53" a="1"/>
  <c r="AB8" i="53" s="1"/>
  <c r="AD8" i="53" s="1"/>
  <c r="D6" i="53" a="1"/>
  <c r="D6" i="53" s="1"/>
  <c r="F6" i="53" s="1"/>
  <c r="P37" i="46" a="1"/>
  <c r="P37" i="46" s="1"/>
  <c r="R37" i="46" s="1"/>
  <c r="D30" i="46" a="1"/>
  <c r="D30" i="46" s="1"/>
  <c r="P26" i="46" a="1"/>
  <c r="P26" i="46" s="1"/>
  <c r="AB21" i="46" a="1"/>
  <c r="AB21" i="46" s="1"/>
  <c r="N583" i="58" s="1"/>
  <c r="D19" i="46" a="1"/>
  <c r="D19" i="46" s="1"/>
  <c r="N445" i="58" s="1"/>
  <c r="P17" i="46" a="1"/>
  <c r="P17" i="46" s="1"/>
  <c r="R17" i="46" s="1"/>
  <c r="AB13" i="46" a="1"/>
  <c r="AB13" i="46" s="1"/>
  <c r="AD13" i="46" s="1"/>
  <c r="D11" i="46" a="1"/>
  <c r="D11" i="46" s="1"/>
  <c r="P7" i="46" a="1"/>
  <c r="P7" i="46" s="1"/>
  <c r="R7" i="46" s="1"/>
  <c r="AB32" i="44" a="1"/>
  <c r="AB32" i="44" s="1"/>
  <c r="AD32" i="44" s="1"/>
  <c r="D30" i="44" a="1"/>
  <c r="D30" i="44" s="1"/>
  <c r="F30" i="44" s="1"/>
  <c r="P26" i="44" a="1"/>
  <c r="P26" i="44" s="1"/>
  <c r="R26" i="44" s="1"/>
  <c r="D21" i="44" a="1"/>
  <c r="D21" i="44" s="1"/>
  <c r="F21" i="44" s="1"/>
  <c r="P18" i="44" a="1"/>
  <c r="P18" i="44" s="1"/>
  <c r="N393" i="58" s="1"/>
  <c r="AB15" i="44" a="1"/>
  <c r="AB15" i="44" s="1"/>
  <c r="AD15" i="44" s="1"/>
  <c r="D36" i="40" a="1"/>
  <c r="D36" i="40" s="1"/>
  <c r="D23" i="40" a="1"/>
  <c r="D23" i="40" s="1"/>
  <c r="D14" i="40" a="1"/>
  <c r="D14" i="40" s="1"/>
  <c r="M26" i="40" a="1"/>
  <c r="M26" i="40" s="1"/>
  <c r="M17" i="40" a="1"/>
  <c r="M17" i="40" s="1"/>
  <c r="M8" i="40" a="1"/>
  <c r="M8" i="40" s="1"/>
  <c r="V34" i="40" a="1"/>
  <c r="V34" i="40" s="1"/>
  <c r="V20" i="40" a="1"/>
  <c r="V20" i="40" s="1"/>
  <c r="V12" i="40" a="1"/>
  <c r="V12" i="40" s="1"/>
  <c r="V47" i="51" a="1"/>
  <c r="V47" i="51" s="1"/>
  <c r="V37" i="51" a="1"/>
  <c r="V37" i="51" s="1"/>
  <c r="V27" i="51" a="1"/>
  <c r="V27" i="51" s="1"/>
  <c r="V17" i="51" a="1"/>
  <c r="V17" i="51" s="1"/>
  <c r="V7" i="51" a="1"/>
  <c r="V7" i="51" s="1"/>
  <c r="M41" i="51" a="1"/>
  <c r="M41" i="51" s="1"/>
  <c r="M31" i="51" a="1"/>
  <c r="M31" i="51" s="1"/>
  <c r="M21" i="51" a="1"/>
  <c r="M21" i="51" s="1"/>
  <c r="M11" i="51" a="1"/>
  <c r="M11" i="51" s="1"/>
  <c r="D48" i="51" a="1"/>
  <c r="D48" i="51" s="1"/>
  <c r="D38" i="51" a="1"/>
  <c r="D38" i="51" s="1"/>
  <c r="D28" i="51" a="1"/>
  <c r="D28" i="51" s="1"/>
  <c r="D18" i="51" a="1"/>
  <c r="D18" i="51" s="1"/>
  <c r="D8" i="51" a="1"/>
  <c r="D8" i="51" s="1"/>
  <c r="L11" i="47" a="1"/>
  <c r="L11" i="47" s="1"/>
  <c r="N11" i="47" s="1"/>
  <c r="U8" i="47" a="1"/>
  <c r="U8" i="47" s="1"/>
  <c r="W8" i="47" s="1"/>
  <c r="C7" i="47" a="1"/>
  <c r="C7" i="47" s="1"/>
  <c r="E7" i="47" s="1"/>
  <c r="L57" i="43" a="1"/>
  <c r="L57" i="43" s="1"/>
  <c r="U52" i="43" a="1"/>
  <c r="U52" i="43" s="1"/>
  <c r="W52" i="43" s="1"/>
  <c r="C42" i="43" a="1"/>
  <c r="C42" i="43" s="1"/>
  <c r="L38" i="43" a="1"/>
  <c r="L38" i="43" s="1"/>
  <c r="U35" i="43" a="1"/>
  <c r="U35" i="43" s="1"/>
  <c r="W35" i="43" s="1"/>
  <c r="C33" i="43" a="1"/>
  <c r="C33" i="43" s="1"/>
  <c r="L30" i="43" a="1"/>
  <c r="L30" i="43" s="1"/>
  <c r="U27" i="43" a="1"/>
  <c r="U27" i="43" s="1"/>
  <c r="W27" i="43" s="1"/>
  <c r="C25" i="43" a="1"/>
  <c r="C25" i="43" s="1"/>
  <c r="L21" i="43" a="1"/>
  <c r="L21" i="43" s="1"/>
  <c r="L11" i="43" a="1"/>
  <c r="L11" i="43" s="1"/>
  <c r="P27" i="53" a="1"/>
  <c r="P27" i="53" s="1"/>
  <c r="R27" i="53" s="1"/>
  <c r="D12" i="53" a="1"/>
  <c r="D12" i="53" s="1"/>
  <c r="P8" i="53" a="1"/>
  <c r="P8" i="53" s="1"/>
  <c r="R8" i="53" s="1"/>
  <c r="AB39" i="46" a="1"/>
  <c r="AB39" i="46" s="1"/>
  <c r="AD39" i="46" s="1"/>
  <c r="D37" i="46" a="1"/>
  <c r="D37" i="46" s="1"/>
  <c r="AB29" i="46" a="1"/>
  <c r="AB29" i="46" s="1"/>
  <c r="D26" i="46" a="1"/>
  <c r="D26" i="46" s="1"/>
  <c r="P21" i="46" a="1"/>
  <c r="P21" i="46" s="1"/>
  <c r="N582" i="58" s="1"/>
  <c r="D17" i="46" a="1"/>
  <c r="D17" i="46" s="1"/>
  <c r="P13" i="46" a="1"/>
  <c r="P13" i="46" s="1"/>
  <c r="R13" i="46" s="1"/>
  <c r="AB9" i="46" a="1"/>
  <c r="AB9" i="46" s="1"/>
  <c r="AD9" i="46" s="1"/>
  <c r="D7" i="46" a="1"/>
  <c r="D7" i="46" s="1"/>
  <c r="P32" i="44" a="1"/>
  <c r="P32" i="44" s="1"/>
  <c r="R32" i="44" s="1"/>
  <c r="AB28" i="44" a="1"/>
  <c r="AB28" i="44" s="1"/>
  <c r="AD28" i="44" s="1"/>
  <c r="D26" i="44" a="1"/>
  <c r="D26" i="44" s="1"/>
  <c r="F26" i="44" s="1"/>
  <c r="AB20" i="44" a="1"/>
  <c r="AB20" i="44" s="1"/>
  <c r="D18" i="44" a="1"/>
  <c r="D18" i="44" s="1"/>
  <c r="N367" i="58" s="1"/>
  <c r="P15" i="44" a="1"/>
  <c r="P15" i="44" s="1"/>
  <c r="R15" i="44" s="1"/>
  <c r="AB12" i="44" a="1"/>
  <c r="AB12" i="44" s="1"/>
  <c r="D35" i="40" a="1"/>
  <c r="D35" i="40" s="1"/>
  <c r="D21" i="40" a="1"/>
  <c r="D21" i="40" s="1"/>
  <c r="D13" i="40" a="1"/>
  <c r="D13" i="40" s="1"/>
  <c r="M38" i="40" a="1"/>
  <c r="M38" i="40" s="1"/>
  <c r="M25" i="40" a="1"/>
  <c r="M25" i="40" s="1"/>
  <c r="M16" i="40" a="1"/>
  <c r="M16" i="40" s="1"/>
  <c r="M7" i="40" a="1"/>
  <c r="M7" i="40" s="1"/>
  <c r="V32" i="40" a="1"/>
  <c r="V32" i="40" s="1"/>
  <c r="V19" i="40" a="1"/>
  <c r="V19" i="40" s="1"/>
  <c r="V10" i="40" a="1"/>
  <c r="V10" i="40" s="1"/>
  <c r="V46" i="51" a="1"/>
  <c r="V46" i="51" s="1"/>
  <c r="V36" i="51" a="1"/>
  <c r="V36" i="51" s="1"/>
  <c r="V26" i="51" a="1"/>
  <c r="V26" i="51" s="1"/>
  <c r="V16" i="51" a="1"/>
  <c r="V16" i="51" s="1"/>
  <c r="V6" i="51" a="1"/>
  <c r="V6" i="51" s="1"/>
  <c r="M40" i="51" a="1"/>
  <c r="M40" i="51" s="1"/>
  <c r="M30" i="51" a="1"/>
  <c r="M30" i="51" s="1"/>
  <c r="M20" i="51" a="1"/>
  <c r="M20" i="51" s="1"/>
  <c r="M10" i="51" a="1"/>
  <c r="M10" i="51" s="1"/>
  <c r="D47" i="51" a="1"/>
  <c r="D47" i="51" s="1"/>
  <c r="D37" i="51" a="1"/>
  <c r="D37" i="51" s="1"/>
  <c r="D27" i="51" a="1"/>
  <c r="D27" i="51" s="1"/>
  <c r="D17" i="51" a="1"/>
  <c r="D17" i="51" s="1"/>
  <c r="D7" i="51" a="1"/>
  <c r="D7" i="51" s="1"/>
  <c r="C11" i="47" a="1"/>
  <c r="C11" i="47" s="1"/>
  <c r="E11" i="47" s="1"/>
  <c r="L8" i="47" a="1"/>
  <c r="L8" i="47" s="1"/>
  <c r="N8" i="47" s="1"/>
  <c r="U6" i="47" a="1"/>
  <c r="U6" i="47" s="1"/>
  <c r="W6" i="47" s="1"/>
  <c r="C57" i="43" a="1"/>
  <c r="C57" i="43" s="1"/>
  <c r="L52" i="43" a="1"/>
  <c r="L52" i="43" s="1"/>
  <c r="U41" i="43" a="1"/>
  <c r="U41" i="43" s="1"/>
  <c r="W41" i="43" s="1"/>
  <c r="C38" i="43" a="1"/>
  <c r="C38" i="43" s="1"/>
  <c r="L35" i="43" a="1"/>
  <c r="L35" i="43" s="1"/>
  <c r="U32" i="43" a="1"/>
  <c r="U32" i="43" s="1"/>
  <c r="W32" i="43" s="1"/>
  <c r="C30" i="43" a="1"/>
  <c r="C30" i="43" s="1"/>
  <c r="L27" i="43" a="1"/>
  <c r="L27" i="43" s="1"/>
  <c r="U24" i="43" a="1"/>
  <c r="U24" i="43" s="1"/>
  <c r="W24" i="43" s="1"/>
  <c r="C21" i="43" a="1"/>
  <c r="C21" i="43" s="1"/>
  <c r="C11" i="43" a="1"/>
  <c r="C11" i="43" s="1"/>
  <c r="AB29" i="53" a="1"/>
  <c r="AB29" i="53" s="1"/>
  <c r="AD29" i="53" s="1"/>
  <c r="D27" i="53" a="1"/>
  <c r="D27" i="53" s="1"/>
  <c r="F27" i="53" s="1"/>
  <c r="AB19" i="53" a="1"/>
  <c r="AB19" i="53" s="1"/>
  <c r="AB11" i="53" a="1"/>
  <c r="AB11" i="53" s="1"/>
  <c r="D8" i="53" a="1"/>
  <c r="D8" i="53" s="1"/>
  <c r="F8" i="53" s="1"/>
  <c r="P39" i="46" a="1"/>
  <c r="P39" i="46" s="1"/>
  <c r="R39" i="46" s="1"/>
  <c r="AB36" i="46" a="1"/>
  <c r="AB36" i="46" s="1"/>
  <c r="AD36" i="46" s="1"/>
  <c r="P29" i="46" a="1"/>
  <c r="P29" i="46" s="1"/>
  <c r="AB25" i="46" a="1"/>
  <c r="AB25" i="46" s="1"/>
  <c r="D21" i="46" a="1"/>
  <c r="D21" i="46" s="1"/>
  <c r="AB16" i="46" a="1"/>
  <c r="AB16" i="46" s="1"/>
  <c r="AD16" i="46" s="1"/>
  <c r="D13" i="46" a="1"/>
  <c r="D13" i="46" s="1"/>
  <c r="P9" i="46" a="1"/>
  <c r="P9" i="46" s="1"/>
  <c r="R9" i="46" s="1"/>
  <c r="AB6" i="46" a="1"/>
  <c r="AB6" i="46" s="1"/>
  <c r="AD6" i="46" s="1"/>
  <c r="D32" i="44" a="1"/>
  <c r="D32" i="44" s="1"/>
  <c r="F32" i="44" s="1"/>
  <c r="P28" i="44" a="1"/>
  <c r="P28" i="44" s="1"/>
  <c r="R28" i="44" s="1"/>
  <c r="P20" i="44" a="1"/>
  <c r="P20" i="44" s="1"/>
  <c r="AB17" i="44" a="1"/>
  <c r="AB17" i="44" s="1"/>
  <c r="AD17" i="44" s="1"/>
  <c r="D15" i="44" a="1"/>
  <c r="D15" i="44" s="1"/>
  <c r="F15" i="44" s="1"/>
  <c r="P12" i="44" a="1"/>
  <c r="P12" i="44" s="1"/>
  <c r="D6" i="44" a="1"/>
  <c r="D6" i="44" s="1"/>
  <c r="F6" i="44" s="1"/>
  <c r="D34" i="40" a="1"/>
  <c r="D34" i="40" s="1"/>
  <c r="D20" i="40" a="1"/>
  <c r="D20" i="40" s="1"/>
  <c r="D12" i="40" a="1"/>
  <c r="D12" i="40" s="1"/>
  <c r="M37" i="40" a="1"/>
  <c r="M37" i="40" s="1"/>
  <c r="M24" i="40" a="1"/>
  <c r="M24" i="40" s="1"/>
  <c r="M15" i="40" a="1"/>
  <c r="M15" i="40" s="1"/>
  <c r="V31" i="40" a="1"/>
  <c r="V31" i="40" s="1"/>
  <c r="V27" i="40" a="1"/>
  <c r="V27" i="40" s="1"/>
  <c r="O192" i="58" s="1"/>
  <c r="V18" i="40" a="1"/>
  <c r="V18" i="40" s="1"/>
  <c r="V9" i="40" a="1"/>
  <c r="V9" i="40" s="1"/>
  <c r="V45" i="51" a="1"/>
  <c r="V45" i="51" s="1"/>
  <c r="V35" i="51" a="1"/>
  <c r="V35" i="51" s="1"/>
  <c r="V25" i="51" a="1"/>
  <c r="V25" i="51" s="1"/>
  <c r="V15" i="51" a="1"/>
  <c r="V15" i="51" s="1"/>
  <c r="V5" i="51" a="1"/>
  <c r="V5" i="51" s="1"/>
  <c r="M38" i="51" a="1"/>
  <c r="M38" i="51" s="1"/>
  <c r="M28" i="51" a="1"/>
  <c r="M28" i="51" s="1"/>
  <c r="M18" i="51" a="1"/>
  <c r="M18" i="51" s="1"/>
  <c r="M8" i="51" a="1"/>
  <c r="M8" i="51" s="1"/>
  <c r="D46" i="51" a="1"/>
  <c r="D46" i="51" s="1"/>
  <c r="D36" i="51" a="1"/>
  <c r="D36" i="51" s="1"/>
  <c r="D26" i="51" a="1"/>
  <c r="D26" i="51" s="1"/>
  <c r="D16" i="51" a="1"/>
  <c r="D16" i="51" s="1"/>
  <c r="D6" i="51" a="1"/>
  <c r="D6" i="51" s="1"/>
  <c r="U10" i="47" a="1"/>
  <c r="U10" i="47" s="1"/>
  <c r="N353" i="58" s="1"/>
  <c r="C8" i="47" a="1"/>
  <c r="C8" i="47" s="1"/>
  <c r="E8" i="47" s="1"/>
  <c r="L6" i="47" a="1"/>
  <c r="L6" i="47" s="1"/>
  <c r="N6" i="47" s="1"/>
  <c r="U56" i="43" a="1"/>
  <c r="U56" i="43" s="1"/>
  <c r="W56" i="43" s="1"/>
  <c r="C52" i="43" a="1"/>
  <c r="C52" i="43" s="1"/>
  <c r="L41" i="43" a="1"/>
  <c r="L41" i="43" s="1"/>
  <c r="U37" i="43" a="1"/>
  <c r="U37" i="43" s="1"/>
  <c r="W37" i="43" s="1"/>
  <c r="C35" i="43" a="1"/>
  <c r="C35" i="43" s="1"/>
  <c r="L32" i="43" a="1"/>
  <c r="L32" i="43" s="1"/>
  <c r="U29" i="43" a="1"/>
  <c r="U29" i="43" s="1"/>
  <c r="W29" i="43" s="1"/>
  <c r="C27" i="43" a="1"/>
  <c r="C27" i="43" s="1"/>
  <c r="L24" i="43" a="1"/>
  <c r="L24" i="43" s="1"/>
  <c r="U20" i="43" a="1"/>
  <c r="U20" i="43" s="1"/>
  <c r="W20" i="43" s="1"/>
  <c r="U10" i="43" a="1"/>
  <c r="U10" i="43" s="1"/>
  <c r="W10" i="43" s="1"/>
  <c r="P29" i="53" a="1"/>
  <c r="P29" i="53" s="1"/>
  <c r="R29" i="53" s="1"/>
  <c r="AB26" i="53" a="1"/>
  <c r="AB26" i="53" s="1"/>
  <c r="AD26" i="53" s="1"/>
  <c r="P19" i="53" a="1"/>
  <c r="P19" i="53" s="1"/>
  <c r="AB16" i="53" a="1"/>
  <c r="AB16" i="53" s="1"/>
  <c r="P11" i="53" a="1"/>
  <c r="P11" i="53" s="1"/>
  <c r="AB7" i="53" a="1"/>
  <c r="AB7" i="53" s="1"/>
  <c r="AD7" i="53" s="1"/>
  <c r="D39" i="46" a="1"/>
  <c r="D39" i="46" s="1"/>
  <c r="P36" i="46" a="1"/>
  <c r="P36" i="46" s="1"/>
  <c r="R36" i="46" s="1"/>
  <c r="AB31" i="46" a="1"/>
  <c r="AB31" i="46" s="1"/>
  <c r="AD31" i="46" s="1"/>
  <c r="D29" i="46" a="1"/>
  <c r="D29" i="46" s="1"/>
  <c r="P25" i="46" a="1"/>
  <c r="P25" i="46" s="1"/>
  <c r="P16" i="46" a="1"/>
  <c r="P16" i="46" s="1"/>
  <c r="R16" i="46" s="1"/>
  <c r="AB12" i="46" a="1"/>
  <c r="AB12" i="46" s="1"/>
  <c r="D9" i="46" a="1"/>
  <c r="D9" i="46" s="1"/>
  <c r="P6" i="46" a="1"/>
  <c r="P6" i="46" s="1"/>
  <c r="R6" i="46" s="1"/>
  <c r="AB31" i="44" a="1"/>
  <c r="AB31" i="44" s="1"/>
  <c r="AD31" i="44" s="1"/>
  <c r="D28" i="44" a="1"/>
  <c r="D28" i="44" s="1"/>
  <c r="F28" i="44" s="1"/>
  <c r="AB22" i="44" a="1"/>
  <c r="AB22" i="44" s="1"/>
  <c r="AD22" i="44" s="1"/>
  <c r="D20" i="44" a="1"/>
  <c r="D20" i="44" s="1"/>
  <c r="P17" i="44" a="1"/>
  <c r="P17" i="44" s="1"/>
  <c r="R17" i="44" s="1"/>
  <c r="AB14" i="44" a="1"/>
  <c r="AB14" i="44" s="1"/>
  <c r="D12" i="44" a="1"/>
  <c r="D12" i="44" s="1"/>
  <c r="D32" i="40" a="1"/>
  <c r="D32" i="40" s="1"/>
  <c r="D19" i="40" a="1"/>
  <c r="D19" i="40" s="1"/>
  <c r="D10" i="40" a="1"/>
  <c r="D10" i="40" s="1"/>
  <c r="M36" i="40" a="1"/>
  <c r="M36" i="40" s="1"/>
  <c r="M23" i="40" a="1"/>
  <c r="M23" i="40" s="1"/>
  <c r="M14" i="40" a="1"/>
  <c r="M14" i="40" s="1"/>
  <c r="V26" i="40" a="1"/>
  <c r="V26" i="40" s="1"/>
  <c r="V17" i="40" a="1"/>
  <c r="V17" i="40" s="1"/>
  <c r="V8" i="40" a="1"/>
  <c r="V8" i="40" s="1"/>
  <c r="V43" i="51" a="1"/>
  <c r="V43" i="51" s="1"/>
  <c r="V33" i="51" a="1"/>
  <c r="V33" i="51" s="1"/>
  <c r="V23" i="51" a="1"/>
  <c r="V23" i="51" s="1"/>
  <c r="V13" i="51" a="1"/>
  <c r="V13" i="51" s="1"/>
  <c r="M47" i="51" a="1"/>
  <c r="M47" i="51" s="1"/>
  <c r="M37" i="51" a="1"/>
  <c r="M37" i="51" s="1"/>
  <c r="M27" i="51" a="1"/>
  <c r="M27" i="51" s="1"/>
  <c r="M17" i="51" a="1"/>
  <c r="M17" i="51" s="1"/>
  <c r="M7" i="51" a="1"/>
  <c r="M7" i="51" s="1"/>
  <c r="D45" i="51" a="1"/>
  <c r="D45" i="51" s="1"/>
  <c r="D35" i="51" a="1"/>
  <c r="D35" i="51" s="1"/>
  <c r="D25" i="51" a="1"/>
  <c r="D25" i="51" s="1"/>
  <c r="D15" i="51" a="1"/>
  <c r="D15" i="51" s="1"/>
  <c r="D5" i="51" a="1"/>
  <c r="D5" i="51" s="1"/>
  <c r="L10" i="47" a="1"/>
  <c r="L10" i="47" s="1"/>
  <c r="N345" i="58" s="1"/>
  <c r="C6" i="47" a="1"/>
  <c r="C6" i="47" s="1"/>
  <c r="E6" i="47" s="1"/>
  <c r="L56" i="43" a="1"/>
  <c r="L56" i="43" s="1"/>
  <c r="U51" i="43" a="1"/>
  <c r="U51" i="43" s="1"/>
  <c r="W51" i="43" s="1"/>
  <c r="U43" i="43" a="1"/>
  <c r="U43" i="43" s="1"/>
  <c r="N322" i="58" s="1"/>
  <c r="C41" i="43" a="1"/>
  <c r="C41" i="43" s="1"/>
  <c r="L37" i="43" a="1"/>
  <c r="L37" i="43" s="1"/>
  <c r="U34" i="43" a="1"/>
  <c r="U34" i="43" s="1"/>
  <c r="W34" i="43" s="1"/>
  <c r="C32" i="43" a="1"/>
  <c r="C32" i="43" s="1"/>
  <c r="L29" i="43" a="1"/>
  <c r="L29" i="43" s="1"/>
  <c r="U26" i="43" a="1"/>
  <c r="U26" i="43" s="1"/>
  <c r="W26" i="43" s="1"/>
  <c r="C24" i="43" a="1"/>
  <c r="C24" i="43" s="1"/>
  <c r="L20" i="43" a="1"/>
  <c r="L20" i="43" s="1"/>
  <c r="L10" i="43" a="1"/>
  <c r="L10" i="43" s="1"/>
  <c r="D29" i="53" a="1"/>
  <c r="D29" i="53" s="1"/>
  <c r="F29" i="53" s="1"/>
  <c r="P26" i="53" a="1"/>
  <c r="P26" i="53" s="1"/>
  <c r="R26" i="53" s="1"/>
  <c r="AB21" i="53" a="1"/>
  <c r="AB21" i="53" s="1"/>
  <c r="D19" i="53" a="1"/>
  <c r="D19" i="53" s="1"/>
  <c r="P16" i="53" a="1"/>
  <c r="P16" i="53" s="1"/>
  <c r="AB13" i="53" a="1"/>
  <c r="AB13" i="53" s="1"/>
  <c r="N559" i="58" s="1"/>
  <c r="D11" i="53" a="1"/>
  <c r="D11" i="53" s="1"/>
  <c r="P7" i="53" a="1"/>
  <c r="P7" i="53" s="1"/>
  <c r="R7" i="53" s="1"/>
  <c r="AB38" i="46" a="1"/>
  <c r="AB38" i="46" s="1"/>
  <c r="AD38" i="46" s="1"/>
  <c r="D36" i="46" a="1"/>
  <c r="D36" i="46" s="1"/>
  <c r="P31" i="46" a="1"/>
  <c r="P31" i="46" s="1"/>
  <c r="R31" i="46" s="1"/>
  <c r="AB28" i="46" a="1"/>
  <c r="AB28" i="46" s="1"/>
  <c r="AD28" i="46" s="1"/>
  <c r="D25" i="46" a="1"/>
  <c r="D25" i="46" s="1"/>
  <c r="D31" i="40" a="1"/>
  <c r="D31" i="40" s="1"/>
  <c r="D27" i="40" a="1"/>
  <c r="D27" i="40" s="1"/>
  <c r="O130" i="58" s="1"/>
  <c r="D18" i="40" a="1"/>
  <c r="D18" i="40" s="1"/>
  <c r="D9" i="40" a="1"/>
  <c r="D9" i="40" s="1"/>
  <c r="M35" i="40" a="1"/>
  <c r="M35" i="40" s="1"/>
  <c r="M21" i="40" a="1"/>
  <c r="M21" i="40" s="1"/>
  <c r="M13" i="40" a="1"/>
  <c r="M13" i="40" s="1"/>
  <c r="V38" i="40" a="1"/>
  <c r="V38" i="40" s="1"/>
  <c r="V25" i="40" a="1"/>
  <c r="V25" i="40" s="1"/>
  <c r="V16" i="40" a="1"/>
  <c r="V16" i="40" s="1"/>
  <c r="V7" i="40" a="1"/>
  <c r="V7" i="40" s="1"/>
  <c r="V42" i="51" a="1"/>
  <c r="V42" i="51" s="1"/>
  <c r="V32" i="51" a="1"/>
  <c r="V32" i="51" s="1"/>
  <c r="V22" i="51" a="1"/>
  <c r="V22" i="51" s="1"/>
  <c r="V12" i="51" a="1"/>
  <c r="V12" i="51" s="1"/>
  <c r="M46" i="51" a="1"/>
  <c r="M46" i="51" s="1"/>
  <c r="M36" i="51" a="1"/>
  <c r="M36" i="51" s="1"/>
  <c r="M26" i="51" a="1"/>
  <c r="M26" i="51" s="1"/>
  <c r="M16" i="51" a="1"/>
  <c r="M16" i="51" s="1"/>
  <c r="M6" i="51" a="1"/>
  <c r="M6" i="51" s="1"/>
  <c r="D43" i="51" a="1"/>
  <c r="D43" i="51" s="1"/>
  <c r="D33" i="51" a="1"/>
  <c r="D33" i="51" s="1"/>
  <c r="D23" i="51" a="1"/>
  <c r="D23" i="51" s="1"/>
  <c r="D13" i="51" a="1"/>
  <c r="D13" i="51" s="1"/>
  <c r="U12" i="47" a="1"/>
  <c r="U12" i="47" s="1"/>
  <c r="W12" i="47" s="1"/>
  <c r="C10" i="47" a="1"/>
  <c r="C10" i="47" s="1"/>
  <c r="N337" i="58" s="1"/>
  <c r="U4" i="47" a="1"/>
  <c r="U4" i="47" s="1"/>
  <c r="W4" i="47" s="1"/>
  <c r="C56" i="43" a="1"/>
  <c r="C56" i="43" s="1"/>
  <c r="L51" i="43" a="1"/>
  <c r="L51" i="43" s="1"/>
  <c r="L43" i="43" a="1"/>
  <c r="L43" i="43" s="1"/>
  <c r="N279" i="58" s="1"/>
  <c r="U40" i="43" a="1"/>
  <c r="U40" i="43" s="1"/>
  <c r="W40" i="43" s="1"/>
  <c r="C37" i="43" a="1"/>
  <c r="C37" i="43" s="1"/>
  <c r="L34" i="43" a="1"/>
  <c r="L34" i="43" s="1"/>
  <c r="U31" i="43" a="1"/>
  <c r="U31" i="43" s="1"/>
  <c r="W31" i="43" s="1"/>
  <c r="C29" i="43" a="1"/>
  <c r="C29" i="43" s="1"/>
  <c r="L26" i="43" a="1"/>
  <c r="L26" i="43" s="1"/>
  <c r="U22" i="43" a="1"/>
  <c r="U22" i="43" s="1"/>
  <c r="W22" i="43" s="1"/>
  <c r="C20" i="43" a="1"/>
  <c r="C20" i="43" s="1"/>
  <c r="C10" i="43" a="1"/>
  <c r="C10" i="43" s="1"/>
  <c r="AB28" i="53" a="1"/>
  <c r="AB28" i="53" s="1"/>
  <c r="AD28" i="53" s="1"/>
  <c r="D26" i="53" a="1"/>
  <c r="D26" i="53" s="1"/>
  <c r="F26" i="53" s="1"/>
  <c r="P21" i="53" a="1"/>
  <c r="P21" i="53" s="1"/>
  <c r="AB18" i="53" a="1"/>
  <c r="AB18" i="53" s="1"/>
  <c r="D16" i="53" a="1"/>
  <c r="D16" i="53" s="1"/>
  <c r="P13" i="53" a="1"/>
  <c r="P13" i="53" s="1"/>
  <c r="N540" i="58" s="1"/>
  <c r="AB10" i="53" a="1"/>
  <c r="AB10" i="53" s="1"/>
  <c r="D7" i="53" a="1"/>
  <c r="D7" i="53" s="1"/>
  <c r="F7" i="53" s="1"/>
  <c r="P38" i="46" a="1"/>
  <c r="P38" i="46" s="1"/>
  <c r="R38" i="46" s="1"/>
  <c r="AB33" i="46" a="1"/>
  <c r="AB33" i="46" s="1"/>
  <c r="AD33" i="46" s="1"/>
  <c r="D31" i="46" a="1"/>
  <c r="D31" i="46" s="1"/>
  <c r="P28" i="46" a="1"/>
  <c r="P28" i="46" s="1"/>
  <c r="R28" i="46" s="1"/>
  <c r="AB24" i="46" a="1"/>
  <c r="AB24" i="46" s="1"/>
  <c r="P18" i="46" a="1"/>
  <c r="P18" i="46" s="1"/>
  <c r="R18" i="46" s="1"/>
  <c r="AB14" i="46" a="1"/>
  <c r="AB14" i="46" s="1"/>
  <c r="D12" i="46" a="1"/>
  <c r="D12" i="46" s="1"/>
  <c r="P8" i="46" a="1"/>
  <c r="P8" i="46" s="1"/>
  <c r="R8" i="46" s="1"/>
  <c r="AB33" i="44" a="1"/>
  <c r="AB33" i="44" s="1"/>
  <c r="AD33" i="44" s="1"/>
  <c r="D31" i="44" a="1"/>
  <c r="D31" i="44" s="1"/>
  <c r="F31" i="44" s="1"/>
  <c r="P27" i="44" a="1"/>
  <c r="P27" i="44" s="1"/>
  <c r="R27" i="44" s="1"/>
  <c r="AB24" i="44" a="1"/>
  <c r="AB24" i="44" s="1"/>
  <c r="D22" i="44" a="1"/>
  <c r="D22" i="44" s="1"/>
  <c r="F22" i="44" s="1"/>
  <c r="P19" i="44" a="1"/>
  <c r="P19" i="44" s="1"/>
  <c r="AB16" i="44" a="1"/>
  <c r="AB16" i="44" s="1"/>
  <c r="AD16" i="44" s="1"/>
  <c r="D14" i="44" a="1"/>
  <c r="D14" i="44" s="1"/>
  <c r="P11" i="44" a="1"/>
  <c r="P11" i="44" s="1"/>
  <c r="AB7" i="44" a="1"/>
  <c r="AB7" i="44" s="1"/>
  <c r="AD7" i="44" s="1"/>
  <c r="C38" i="40" a="1"/>
  <c r="C38" i="40" s="1"/>
  <c r="E38" i="40" s="1"/>
  <c r="D26" i="40" a="1"/>
  <c r="D26" i="40" s="1"/>
  <c r="D17" i="40" a="1"/>
  <c r="D17" i="40" s="1"/>
  <c r="D8" i="40" a="1"/>
  <c r="D8" i="40" s="1"/>
  <c r="M34" i="40" a="1"/>
  <c r="M34" i="40" s="1"/>
  <c r="M20" i="40" a="1"/>
  <c r="M20" i="40" s="1"/>
  <c r="M12" i="40" a="1"/>
  <c r="M12" i="40" s="1"/>
  <c r="V37" i="40" a="1"/>
  <c r="V37" i="40" s="1"/>
  <c r="V24" i="40" a="1"/>
  <c r="V24" i="40" s="1"/>
  <c r="V15" i="40" a="1"/>
  <c r="V15" i="40" s="1"/>
  <c r="V41" i="51" a="1"/>
  <c r="V41" i="51" s="1"/>
  <c r="V31" i="51" a="1"/>
  <c r="V31" i="51" s="1"/>
  <c r="V21" i="51" a="1"/>
  <c r="V21" i="51" s="1"/>
  <c r="V11" i="51" a="1"/>
  <c r="V11" i="51" s="1"/>
  <c r="M45" i="51" a="1"/>
  <c r="M45" i="51" s="1"/>
  <c r="M35" i="51" a="1"/>
  <c r="M35" i="51" s="1"/>
  <c r="M25" i="51" a="1"/>
  <c r="M25" i="51" s="1"/>
  <c r="M15" i="51" a="1"/>
  <c r="M15" i="51" s="1"/>
  <c r="M5" i="51" a="1"/>
  <c r="M5" i="51" s="1"/>
  <c r="D42" i="51" a="1"/>
  <c r="D42" i="51" s="1"/>
  <c r="D32" i="51" a="1"/>
  <c r="D32" i="51" s="1"/>
  <c r="D22" i="51" a="1"/>
  <c r="D22" i="51" s="1"/>
  <c r="D12" i="51" a="1"/>
  <c r="D12" i="51" s="1"/>
  <c r="L12" i="47" a="1"/>
  <c r="L12" i="47" s="1"/>
  <c r="N12" i="47" s="1"/>
  <c r="U9" i="47" a="1"/>
  <c r="U9" i="47" s="1"/>
  <c r="W9" i="47" s="1"/>
  <c r="L4" i="47" a="1"/>
  <c r="L4" i="47" s="1"/>
  <c r="N4" i="47" s="1"/>
  <c r="U55" i="43" a="1"/>
  <c r="U55" i="43" s="1"/>
  <c r="W55" i="43" s="1"/>
  <c r="C51" i="43" a="1"/>
  <c r="C51" i="43" s="1"/>
  <c r="C43" i="43" a="1"/>
  <c r="C43" i="43" s="1"/>
  <c r="N236" i="58" s="1"/>
  <c r="L40" i="43" a="1"/>
  <c r="L40" i="43" s="1"/>
  <c r="U36" i="43" a="1"/>
  <c r="U36" i="43" s="1"/>
  <c r="W36" i="43" s="1"/>
  <c r="C34" i="43" a="1"/>
  <c r="C34" i="43" s="1"/>
  <c r="L31" i="43" a="1"/>
  <c r="L31" i="43" s="1"/>
  <c r="U28" i="43" a="1"/>
  <c r="U28" i="43" s="1"/>
  <c r="W28" i="43" s="1"/>
  <c r="C26" i="43" a="1"/>
  <c r="C26" i="43" s="1"/>
  <c r="L22" i="43" a="1"/>
  <c r="L22" i="43" s="1"/>
  <c r="U19" i="43" a="1"/>
  <c r="U19" i="43" s="1"/>
  <c r="W19" i="43" s="1"/>
  <c r="U9" i="43" a="1"/>
  <c r="U9" i="43" s="1"/>
  <c r="W9" i="43" s="1"/>
  <c r="P28" i="53" a="1"/>
  <c r="P28" i="53" s="1"/>
  <c r="R28" i="53" s="1"/>
  <c r="AB23" i="53" a="1"/>
  <c r="AB23" i="53" s="1"/>
  <c r="AD23" i="53" s="1"/>
  <c r="D21" i="53" a="1"/>
  <c r="D21" i="53" s="1"/>
  <c r="P18" i="53" a="1"/>
  <c r="P18" i="53" s="1"/>
  <c r="AB15" i="53" a="1"/>
  <c r="AB15" i="53" s="1"/>
  <c r="D13" i="53" a="1"/>
  <c r="D13" i="53" s="1"/>
  <c r="N521" i="58" s="1"/>
  <c r="P10" i="53" a="1"/>
  <c r="P10" i="53" s="1"/>
  <c r="AB6" i="53" a="1"/>
  <c r="AB6" i="53" s="1"/>
  <c r="AD6" i="53" s="1"/>
  <c r="D38" i="46" a="1"/>
  <c r="D38" i="46" s="1"/>
  <c r="P33" i="46" a="1"/>
  <c r="P33" i="46" s="1"/>
  <c r="R33" i="46" s="1"/>
  <c r="AB30" i="46" a="1"/>
  <c r="AB30" i="46" s="1"/>
  <c r="D28" i="46" a="1"/>
  <c r="D28" i="46" s="1"/>
  <c r="P24" i="46" a="1"/>
  <c r="P24" i="46" s="1"/>
  <c r="AB19" i="46" a="1"/>
  <c r="AB19" i="46" s="1"/>
  <c r="N499" i="58" s="1"/>
  <c r="D18" i="46" a="1"/>
  <c r="D18" i="46" s="1"/>
  <c r="P14" i="46" a="1"/>
  <c r="P14" i="46" s="1"/>
  <c r="AB11" i="46" a="1"/>
  <c r="AB11" i="46" s="1"/>
  <c r="D8" i="46" a="1"/>
  <c r="D8" i="46" s="1"/>
  <c r="P33" i="44" a="1"/>
  <c r="P33" i="44" s="1"/>
  <c r="R33" i="44" s="1"/>
  <c r="AB30" i="44" a="1"/>
  <c r="AB30" i="44" s="1"/>
  <c r="AD30" i="44" s="1"/>
  <c r="D27" i="44" a="1"/>
  <c r="D27" i="44" s="1"/>
  <c r="F27" i="44" s="1"/>
  <c r="P24" i="44" a="1"/>
  <c r="P24" i="44" s="1"/>
  <c r="AB21" i="44" a="1"/>
  <c r="AB21" i="44" s="1"/>
  <c r="AD21" i="44" s="1"/>
  <c r="D19" i="44" a="1"/>
  <c r="D19" i="44" s="1"/>
  <c r="P16" i="44" a="1"/>
  <c r="P16" i="44" s="1"/>
  <c r="R16" i="44" s="1"/>
  <c r="AB13" i="44" a="1"/>
  <c r="AB13" i="44" s="1"/>
  <c r="D11" i="44" a="1"/>
  <c r="D11" i="44" s="1"/>
  <c r="P7" i="44" a="1"/>
  <c r="P7" i="44" s="1"/>
  <c r="R7" i="44" s="1"/>
  <c r="AB18" i="46" a="1"/>
  <c r="AB18" i="46" s="1"/>
  <c r="AD18" i="46" s="1"/>
  <c r="P22" i="44" a="1"/>
  <c r="P22" i="44" s="1"/>
  <c r="R22" i="44" s="1"/>
  <c r="U36" i="40" a="1"/>
  <c r="U36" i="40" s="1"/>
  <c r="W36" i="40" s="1"/>
  <c r="C34" i="40" a="1"/>
  <c r="C34" i="40" s="1"/>
  <c r="E34" i="40" s="1"/>
  <c r="L26" i="40" a="1"/>
  <c r="L26" i="40" s="1"/>
  <c r="N26" i="40" s="1"/>
  <c r="U23" i="40" a="1"/>
  <c r="U23" i="40" s="1"/>
  <c r="W23" i="40" s="1"/>
  <c r="C20" i="40" a="1"/>
  <c r="C20" i="40" s="1"/>
  <c r="E20" i="40" s="1"/>
  <c r="L17" i="40" a="1"/>
  <c r="L17" i="40" s="1"/>
  <c r="N17" i="40" s="1"/>
  <c r="U14" i="40" a="1"/>
  <c r="U14" i="40" s="1"/>
  <c r="W14" i="40" s="1"/>
  <c r="C12" i="40" a="1"/>
  <c r="C12" i="40" s="1"/>
  <c r="E12" i="40" s="1"/>
  <c r="L8" i="40" a="1"/>
  <c r="L8" i="40" s="1"/>
  <c r="N8" i="40" s="1"/>
  <c r="C47" i="51" a="1"/>
  <c r="C47" i="51" s="1"/>
  <c r="E47" i="51" s="1"/>
  <c r="L43" i="51" a="1"/>
  <c r="L43" i="51" s="1"/>
  <c r="N43" i="51" s="1"/>
  <c r="U40" i="51" a="1"/>
  <c r="U40" i="51" s="1"/>
  <c r="W40" i="51" s="1"/>
  <c r="C37" i="51" a="1"/>
  <c r="C37" i="51" s="1"/>
  <c r="E37" i="51" s="1"/>
  <c r="L33" i="51" a="1"/>
  <c r="L33" i="51" s="1"/>
  <c r="N33" i="51" s="1"/>
  <c r="U30" i="51" a="1"/>
  <c r="U30" i="51" s="1"/>
  <c r="W30" i="51" s="1"/>
  <c r="C27" i="51" a="1"/>
  <c r="C27" i="51" s="1"/>
  <c r="E27" i="51" s="1"/>
  <c r="L23" i="51" a="1"/>
  <c r="L23" i="51" s="1"/>
  <c r="N23" i="51" s="1"/>
  <c r="U20" i="51" a="1"/>
  <c r="U20" i="51" s="1"/>
  <c r="W20" i="51" s="1"/>
  <c r="C17" i="51" a="1"/>
  <c r="C17" i="51" s="1"/>
  <c r="E17" i="51" s="1"/>
  <c r="D16" i="46" a="1"/>
  <c r="D16" i="46" s="1"/>
  <c r="AB19" i="44" a="1"/>
  <c r="AB19" i="44" s="1"/>
  <c r="AB6" i="44" a="1"/>
  <c r="AB6" i="44" s="1"/>
  <c r="AD6" i="44" s="1"/>
  <c r="L36" i="40" a="1"/>
  <c r="L36" i="40" s="1"/>
  <c r="N36" i="40" s="1"/>
  <c r="U32" i="40" a="1"/>
  <c r="U32" i="40" s="1"/>
  <c r="W32" i="40" s="1"/>
  <c r="C26" i="40" a="1"/>
  <c r="C26" i="40" s="1"/>
  <c r="E26" i="40" s="1"/>
  <c r="L23" i="40" a="1"/>
  <c r="L23" i="40" s="1"/>
  <c r="N23" i="40" s="1"/>
  <c r="U19" i="40" a="1"/>
  <c r="U19" i="40" s="1"/>
  <c r="W19" i="40" s="1"/>
  <c r="C17" i="40" a="1"/>
  <c r="C17" i="40" s="1"/>
  <c r="E17" i="40" s="1"/>
  <c r="L14" i="40" a="1"/>
  <c r="L14" i="40" s="1"/>
  <c r="N14" i="40" s="1"/>
  <c r="U10" i="40" a="1"/>
  <c r="U10" i="40" s="1"/>
  <c r="W10" i="40" s="1"/>
  <c r="C8" i="40" a="1"/>
  <c r="C8" i="40" s="1"/>
  <c r="E8" i="40" s="1"/>
  <c r="U46" i="51" a="1"/>
  <c r="U46" i="51" s="1"/>
  <c r="W46" i="51" s="1"/>
  <c r="C43" i="51" a="1"/>
  <c r="C43" i="51" s="1"/>
  <c r="E43" i="51" s="1"/>
  <c r="L40" i="51" a="1"/>
  <c r="L40" i="51" s="1"/>
  <c r="N40" i="51" s="1"/>
  <c r="U36" i="51" a="1"/>
  <c r="U36" i="51" s="1"/>
  <c r="W36" i="51" s="1"/>
  <c r="C33" i="51" a="1"/>
  <c r="C33" i="51" s="1"/>
  <c r="E33" i="51" s="1"/>
  <c r="L30" i="51" a="1"/>
  <c r="L30" i="51" s="1"/>
  <c r="N30" i="51" s="1"/>
  <c r="U26" i="51" a="1"/>
  <c r="U26" i="51" s="1"/>
  <c r="W26" i="51" s="1"/>
  <c r="C23" i="51" a="1"/>
  <c r="C23" i="51" s="1"/>
  <c r="E23" i="51" s="1"/>
  <c r="L20" i="51" a="1"/>
  <c r="L20" i="51" s="1"/>
  <c r="N20" i="51" s="1"/>
  <c r="U16" i="51" a="1"/>
  <c r="U16" i="51" s="1"/>
  <c r="W16" i="51" s="1"/>
  <c r="C13" i="51" a="1"/>
  <c r="C13" i="51" s="1"/>
  <c r="E13" i="51" s="1"/>
  <c r="L10" i="51" a="1"/>
  <c r="L10" i="51" s="1"/>
  <c r="N10" i="51" s="1"/>
  <c r="U6" i="51" a="1"/>
  <c r="U6" i="51" s="1"/>
  <c r="W6" i="51" s="1"/>
  <c r="L13" i="51" a="1"/>
  <c r="L13" i="51" s="1"/>
  <c r="N13" i="51" s="1"/>
  <c r="P12" i="46" a="1"/>
  <c r="P12" i="46" s="1"/>
  <c r="D17" i="44" a="1"/>
  <c r="D17" i="44" s="1"/>
  <c r="F17" i="44" s="1"/>
  <c r="P6" i="44" a="1"/>
  <c r="P6" i="44" s="1"/>
  <c r="R6" i="44" s="1"/>
  <c r="C36" i="40" a="1"/>
  <c r="C36" i="40" s="1"/>
  <c r="E36" i="40" s="1"/>
  <c r="L32" i="40" a="1"/>
  <c r="L32" i="40" s="1"/>
  <c r="N32" i="40" s="1"/>
  <c r="U25" i="40" a="1"/>
  <c r="U25" i="40" s="1"/>
  <c r="W25" i="40" s="1"/>
  <c r="C23" i="40" a="1"/>
  <c r="C23" i="40" s="1"/>
  <c r="E23" i="40" s="1"/>
  <c r="L19" i="40" a="1"/>
  <c r="L19" i="40" s="1"/>
  <c r="N19" i="40" s="1"/>
  <c r="U16" i="40" a="1"/>
  <c r="U16" i="40" s="1"/>
  <c r="W16" i="40" s="1"/>
  <c r="C14" i="40" a="1"/>
  <c r="C14" i="40" s="1"/>
  <c r="E14" i="40" s="1"/>
  <c r="L10" i="40" a="1"/>
  <c r="L10" i="40" s="1"/>
  <c r="N10" i="40" s="1"/>
  <c r="U7" i="40" a="1"/>
  <c r="U7" i="40" s="1"/>
  <c r="W7" i="40" s="1"/>
  <c r="L46" i="51" a="1"/>
  <c r="L46" i="51" s="1"/>
  <c r="N46" i="51" s="1"/>
  <c r="U42" i="51" a="1"/>
  <c r="U42" i="51" s="1"/>
  <c r="W42" i="51" s="1"/>
  <c r="C40" i="51" a="1"/>
  <c r="C40" i="51" s="1"/>
  <c r="E40" i="51" s="1"/>
  <c r="L36" i="51" a="1"/>
  <c r="L36" i="51" s="1"/>
  <c r="N36" i="51" s="1"/>
  <c r="U32" i="51" a="1"/>
  <c r="U32" i="51" s="1"/>
  <c r="W32" i="51" s="1"/>
  <c r="C30" i="51" a="1"/>
  <c r="C30" i="51" s="1"/>
  <c r="E30" i="51" s="1"/>
  <c r="L26" i="51" a="1"/>
  <c r="L26" i="51" s="1"/>
  <c r="N26" i="51" s="1"/>
  <c r="U22" i="51" a="1"/>
  <c r="U22" i="51" s="1"/>
  <c r="W22" i="51" s="1"/>
  <c r="C20" i="51" a="1"/>
  <c r="C20" i="51" s="1"/>
  <c r="E20" i="51" s="1"/>
  <c r="L16" i="51" a="1"/>
  <c r="L16" i="51" s="1"/>
  <c r="N16" i="51" s="1"/>
  <c r="U12" i="51" a="1"/>
  <c r="U12" i="51" s="1"/>
  <c r="W12" i="51" s="1"/>
  <c r="C10" i="51" a="1"/>
  <c r="C10" i="51" s="1"/>
  <c r="E10" i="51" s="1"/>
  <c r="L6" i="51" a="1"/>
  <c r="L6" i="51" s="1"/>
  <c r="N6" i="51" s="1"/>
  <c r="AB8" i="46" a="1"/>
  <c r="AB8" i="46" s="1"/>
  <c r="AD8" i="46" s="1"/>
  <c r="P14" i="44" a="1"/>
  <c r="P14" i="44" s="1"/>
  <c r="U38" i="40" a="1"/>
  <c r="U38" i="40" s="1"/>
  <c r="W38" i="40" s="1"/>
  <c r="U35" i="40" a="1"/>
  <c r="U35" i="40" s="1"/>
  <c r="W35" i="40" s="1"/>
  <c r="C32" i="40" a="1"/>
  <c r="C32" i="40" s="1"/>
  <c r="E32" i="40" s="1"/>
  <c r="L25" i="40" a="1"/>
  <c r="L25" i="40" s="1"/>
  <c r="N25" i="40" s="1"/>
  <c r="U21" i="40" a="1"/>
  <c r="U21" i="40" s="1"/>
  <c r="W21" i="40" s="1"/>
  <c r="C19" i="40" a="1"/>
  <c r="C19" i="40" s="1"/>
  <c r="E19" i="40" s="1"/>
  <c r="L16" i="40" a="1"/>
  <c r="L16" i="40" s="1"/>
  <c r="N16" i="40" s="1"/>
  <c r="U13" i="40" a="1"/>
  <c r="U13" i="40" s="1"/>
  <c r="W13" i="40" s="1"/>
  <c r="C10" i="40" a="1"/>
  <c r="C10" i="40" s="1"/>
  <c r="E10" i="40" s="1"/>
  <c r="L7" i="40" a="1"/>
  <c r="L7" i="40" s="1"/>
  <c r="N7" i="40" s="1"/>
  <c r="U48" i="51" a="1"/>
  <c r="U48" i="51" s="1"/>
  <c r="W48" i="51" s="1"/>
  <c r="C46" i="51" a="1"/>
  <c r="C46" i="51" s="1"/>
  <c r="E46" i="51" s="1"/>
  <c r="L42" i="51" a="1"/>
  <c r="L42" i="51" s="1"/>
  <c r="N42" i="51" s="1"/>
  <c r="U38" i="51" a="1"/>
  <c r="U38" i="51" s="1"/>
  <c r="W38" i="51" s="1"/>
  <c r="C36" i="51" a="1"/>
  <c r="C36" i="51" s="1"/>
  <c r="E36" i="51" s="1"/>
  <c r="L32" i="51" a="1"/>
  <c r="L32" i="51" s="1"/>
  <c r="N32" i="51" s="1"/>
  <c r="U28" i="51" a="1"/>
  <c r="U28" i="51" s="1"/>
  <c r="W28" i="51" s="1"/>
  <c r="C26" i="51" a="1"/>
  <c r="C26" i="51" s="1"/>
  <c r="E26" i="51" s="1"/>
  <c r="L22" i="51" a="1"/>
  <c r="L22" i="51" s="1"/>
  <c r="N22" i="51" s="1"/>
  <c r="U18" i="51" a="1"/>
  <c r="U18" i="51" s="1"/>
  <c r="W18" i="51" s="1"/>
  <c r="C16" i="51" a="1"/>
  <c r="C16" i="51" s="1"/>
  <c r="E16" i="51" s="1"/>
  <c r="L12" i="51" a="1"/>
  <c r="L12" i="51" s="1"/>
  <c r="N12" i="51" s="1"/>
  <c r="U8" i="51" a="1"/>
  <c r="U8" i="51" s="1"/>
  <c r="W8" i="51" s="1"/>
  <c r="C6" i="51" a="1"/>
  <c r="C6" i="51" s="1"/>
  <c r="E6" i="51" s="1"/>
  <c r="D6" i="46" a="1"/>
  <c r="D6" i="46" s="1"/>
  <c r="D13" i="44" a="1"/>
  <c r="D13" i="44" s="1"/>
  <c r="L38" i="40" a="1"/>
  <c r="L38" i="40" s="1"/>
  <c r="N38" i="40" s="1"/>
  <c r="L35" i="40" a="1"/>
  <c r="L35" i="40" s="1"/>
  <c r="N35" i="40" s="1"/>
  <c r="U31" i="40" a="1"/>
  <c r="U31" i="40" s="1"/>
  <c r="W31" i="40" s="1"/>
  <c r="U27" i="40" a="1"/>
  <c r="U27" i="40" s="1"/>
  <c r="N192" i="58" s="1"/>
  <c r="C25" i="40" a="1"/>
  <c r="C25" i="40" s="1"/>
  <c r="E25" i="40" s="1"/>
  <c r="L21" i="40" a="1"/>
  <c r="L21" i="40" s="1"/>
  <c r="N21" i="40" s="1"/>
  <c r="U18" i="40" a="1"/>
  <c r="U18" i="40" s="1"/>
  <c r="W18" i="40" s="1"/>
  <c r="C16" i="40" a="1"/>
  <c r="C16" i="40" s="1"/>
  <c r="E16" i="40" s="1"/>
  <c r="L13" i="40" a="1"/>
  <c r="L13" i="40" s="1"/>
  <c r="N13" i="40" s="1"/>
  <c r="U9" i="40" a="1"/>
  <c r="U9" i="40" s="1"/>
  <c r="W9" i="40" s="1"/>
  <c r="C7" i="40" a="1"/>
  <c r="C7" i="40" s="1"/>
  <c r="E7" i="40" s="1"/>
  <c r="L48" i="51" a="1"/>
  <c r="L48" i="51" s="1"/>
  <c r="N48" i="51" s="1"/>
  <c r="U45" i="51" a="1"/>
  <c r="U45" i="51" s="1"/>
  <c r="W45" i="51" s="1"/>
  <c r="C42" i="51" a="1"/>
  <c r="C42" i="51" s="1"/>
  <c r="E42" i="51" s="1"/>
  <c r="L38" i="51" a="1"/>
  <c r="L38" i="51" s="1"/>
  <c r="N38" i="51" s="1"/>
  <c r="U35" i="51" a="1"/>
  <c r="U35" i="51" s="1"/>
  <c r="W35" i="51" s="1"/>
  <c r="C32" i="51" a="1"/>
  <c r="C32" i="51" s="1"/>
  <c r="E32" i="51" s="1"/>
  <c r="L28" i="51" a="1"/>
  <c r="L28" i="51" s="1"/>
  <c r="N28" i="51" s="1"/>
  <c r="U25" i="51" a="1"/>
  <c r="U25" i="51" s="1"/>
  <c r="W25" i="51" s="1"/>
  <c r="C22" i="51" a="1"/>
  <c r="C22" i="51" s="1"/>
  <c r="E22" i="51" s="1"/>
  <c r="L18" i="51" a="1"/>
  <c r="L18" i="51" s="1"/>
  <c r="N18" i="51" s="1"/>
  <c r="U15" i="51" a="1"/>
  <c r="U15" i="51" s="1"/>
  <c r="W15" i="51" s="1"/>
  <c r="C12" i="51" a="1"/>
  <c r="C12" i="51" s="1"/>
  <c r="E12" i="51" s="1"/>
  <c r="L8" i="51" a="1"/>
  <c r="L8" i="51" s="1"/>
  <c r="N8" i="51" s="1"/>
  <c r="U5" i="51" a="1"/>
  <c r="U5" i="51" s="1"/>
  <c r="W5" i="51" s="1"/>
  <c r="P31" i="44" a="1"/>
  <c r="P31" i="44" s="1"/>
  <c r="R31" i="44" s="1"/>
  <c r="AB11" i="44" a="1"/>
  <c r="AB11" i="44" s="1"/>
  <c r="U37" i="40" a="1"/>
  <c r="U37" i="40" s="1"/>
  <c r="W37" i="40" s="1"/>
  <c r="C35" i="40" a="1"/>
  <c r="C35" i="40" s="1"/>
  <c r="E35" i="40" s="1"/>
  <c r="L31" i="40" a="1"/>
  <c r="L31" i="40" s="1"/>
  <c r="N31" i="40" s="1"/>
  <c r="L27" i="40" a="1"/>
  <c r="L27" i="40" s="1"/>
  <c r="N161" i="58" s="1"/>
  <c r="U24" i="40" a="1"/>
  <c r="U24" i="40" s="1"/>
  <c r="W24" i="40" s="1"/>
  <c r="C21" i="40" a="1"/>
  <c r="C21" i="40" s="1"/>
  <c r="E21" i="40" s="1"/>
  <c r="L18" i="40" a="1"/>
  <c r="L18" i="40" s="1"/>
  <c r="N18" i="40" s="1"/>
  <c r="U15" i="40" a="1"/>
  <c r="U15" i="40" s="1"/>
  <c r="W15" i="40" s="1"/>
  <c r="C13" i="40" a="1"/>
  <c r="C13" i="40" s="1"/>
  <c r="E13" i="40" s="1"/>
  <c r="L9" i="40" a="1"/>
  <c r="L9" i="40" s="1"/>
  <c r="N9" i="40" s="1"/>
  <c r="C48" i="51" a="1"/>
  <c r="C48" i="51" s="1"/>
  <c r="E48" i="51" s="1"/>
  <c r="L45" i="51" a="1"/>
  <c r="L45" i="51" s="1"/>
  <c r="N45" i="51" s="1"/>
  <c r="U41" i="51" a="1"/>
  <c r="U41" i="51" s="1"/>
  <c r="W41" i="51" s="1"/>
  <c r="C38" i="51" a="1"/>
  <c r="C38" i="51" s="1"/>
  <c r="E38" i="51" s="1"/>
  <c r="L35" i="51" a="1"/>
  <c r="L35" i="51" s="1"/>
  <c r="N35" i="51" s="1"/>
  <c r="U31" i="51" a="1"/>
  <c r="U31" i="51" s="1"/>
  <c r="W31" i="51" s="1"/>
  <c r="C28" i="51" a="1"/>
  <c r="C28" i="51" s="1"/>
  <c r="E28" i="51" s="1"/>
  <c r="L25" i="51" a="1"/>
  <c r="L25" i="51" s="1"/>
  <c r="N25" i="51" s="1"/>
  <c r="U21" i="51" a="1"/>
  <c r="U21" i="51" s="1"/>
  <c r="W21" i="51" s="1"/>
  <c r="C18" i="51" a="1"/>
  <c r="C18" i="51" s="1"/>
  <c r="E18" i="51" s="1"/>
  <c r="L15" i="51" a="1"/>
  <c r="L15" i="51" s="1"/>
  <c r="N15" i="51" s="1"/>
  <c r="U11" i="51" a="1"/>
  <c r="U11" i="51" s="1"/>
  <c r="W11" i="51" s="1"/>
  <c r="C8" i="51" a="1"/>
  <c r="C8" i="51" s="1"/>
  <c r="E8" i="51" s="1"/>
  <c r="C5" i="51" a="1"/>
  <c r="C5" i="51" s="1"/>
  <c r="E5" i="51" s="1"/>
  <c r="AB27" i="44" a="1"/>
  <c r="AB27" i="44" s="1"/>
  <c r="AD27" i="44" s="1"/>
  <c r="P9" i="44" a="1"/>
  <c r="P9" i="44" s="1"/>
  <c r="R9" i="44" s="1"/>
  <c r="L37" i="40" a="1"/>
  <c r="L37" i="40" s="1"/>
  <c r="N37" i="40" s="1"/>
  <c r="U34" i="40" a="1"/>
  <c r="U34" i="40" s="1"/>
  <c r="W34" i="40" s="1"/>
  <c r="C31" i="40" a="1"/>
  <c r="C31" i="40" s="1"/>
  <c r="E31" i="40" s="1"/>
  <c r="C27" i="40" a="1"/>
  <c r="C27" i="40" s="1"/>
  <c r="N130" i="58" s="1"/>
  <c r="L24" i="40" a="1"/>
  <c r="L24" i="40" s="1"/>
  <c r="N24" i="40" s="1"/>
  <c r="U20" i="40" a="1"/>
  <c r="U20" i="40" s="1"/>
  <c r="W20" i="40" s="1"/>
  <c r="C18" i="40" a="1"/>
  <c r="C18" i="40" s="1"/>
  <c r="E18" i="40" s="1"/>
  <c r="L15" i="40" a="1"/>
  <c r="L15" i="40" s="1"/>
  <c r="N15" i="40" s="1"/>
  <c r="U12" i="40" a="1"/>
  <c r="U12" i="40" s="1"/>
  <c r="W12" i="40" s="1"/>
  <c r="C9" i="40" a="1"/>
  <c r="C9" i="40" s="1"/>
  <c r="E9" i="40" s="1"/>
  <c r="U47" i="51" a="1"/>
  <c r="U47" i="51" s="1"/>
  <c r="W47" i="51" s="1"/>
  <c r="C45" i="51" a="1"/>
  <c r="C45" i="51" s="1"/>
  <c r="E45" i="51" s="1"/>
  <c r="L41" i="51" a="1"/>
  <c r="L41" i="51" s="1"/>
  <c r="N41" i="51" s="1"/>
  <c r="U37" i="51" a="1"/>
  <c r="U37" i="51" s="1"/>
  <c r="W37" i="51" s="1"/>
  <c r="C35" i="51" a="1"/>
  <c r="C35" i="51" s="1"/>
  <c r="E35" i="51" s="1"/>
  <c r="L31" i="51" a="1"/>
  <c r="L31" i="51" s="1"/>
  <c r="N31" i="51" s="1"/>
  <c r="U27" i="51" a="1"/>
  <c r="U27" i="51" s="1"/>
  <c r="W27" i="51" s="1"/>
  <c r="C25" i="51" a="1"/>
  <c r="C25" i="51" s="1"/>
  <c r="E25" i="51" s="1"/>
  <c r="L21" i="51" a="1"/>
  <c r="L21" i="51" s="1"/>
  <c r="N21" i="51" s="1"/>
  <c r="U17" i="51" a="1"/>
  <c r="U17" i="51" s="1"/>
  <c r="W17" i="51" s="1"/>
  <c r="C15" i="51" a="1"/>
  <c r="C15" i="51" s="1"/>
  <c r="E15" i="51" s="1"/>
  <c r="L11" i="51" a="1"/>
  <c r="L11" i="51" s="1"/>
  <c r="N11" i="51" s="1"/>
  <c r="U7" i="51" a="1"/>
  <c r="U7" i="51" s="1"/>
  <c r="W7" i="51" s="1"/>
  <c r="C7" i="51" a="1"/>
  <c r="C7" i="51" s="1"/>
  <c r="E7" i="51" s="1"/>
  <c r="D9" i="44" a="1"/>
  <c r="D9" i="44" s="1"/>
  <c r="F9" i="44" s="1"/>
  <c r="C37" i="40" a="1"/>
  <c r="C37" i="40" s="1"/>
  <c r="E37" i="40" s="1"/>
  <c r="L34" i="40" a="1"/>
  <c r="L34" i="40" s="1"/>
  <c r="N34" i="40" s="1"/>
  <c r="U26" i="40" a="1"/>
  <c r="U26" i="40" s="1"/>
  <c r="W26" i="40" s="1"/>
  <c r="C24" i="40" a="1"/>
  <c r="C24" i="40" s="1"/>
  <c r="E24" i="40" s="1"/>
  <c r="L20" i="40" a="1"/>
  <c r="L20" i="40" s="1"/>
  <c r="N20" i="40" s="1"/>
  <c r="U17" i="40" a="1"/>
  <c r="U17" i="40" s="1"/>
  <c r="W17" i="40" s="1"/>
  <c r="C15" i="40" a="1"/>
  <c r="C15" i="40" s="1"/>
  <c r="E15" i="40" s="1"/>
  <c r="L12" i="40" a="1"/>
  <c r="L12" i="40" s="1"/>
  <c r="N12" i="40" s="1"/>
  <c r="U8" i="40" a="1"/>
  <c r="U8" i="40" s="1"/>
  <c r="W8" i="40" s="1"/>
  <c r="L47" i="51" a="1"/>
  <c r="L47" i="51" s="1"/>
  <c r="N47" i="51" s="1"/>
  <c r="U43" i="51" a="1"/>
  <c r="U43" i="51" s="1"/>
  <c r="W43" i="51" s="1"/>
  <c r="C41" i="51" a="1"/>
  <c r="C41" i="51" s="1"/>
  <c r="E41" i="51" s="1"/>
  <c r="L37" i="51" a="1"/>
  <c r="L37" i="51" s="1"/>
  <c r="N37" i="51" s="1"/>
  <c r="U33" i="51" a="1"/>
  <c r="U33" i="51" s="1"/>
  <c r="W33" i="51" s="1"/>
  <c r="C31" i="51" a="1"/>
  <c r="C31" i="51" s="1"/>
  <c r="E31" i="51" s="1"/>
  <c r="L27" i="51" a="1"/>
  <c r="L27" i="51" s="1"/>
  <c r="N27" i="51" s="1"/>
  <c r="U23" i="51" a="1"/>
  <c r="U23" i="51" s="1"/>
  <c r="W23" i="51" s="1"/>
  <c r="C21" i="51" a="1"/>
  <c r="C21" i="51" s="1"/>
  <c r="E21" i="51" s="1"/>
  <c r="L17" i="51" a="1"/>
  <c r="L17" i="51" s="1"/>
  <c r="N17" i="51" s="1"/>
  <c r="U13" i="51" a="1"/>
  <c r="U13" i="51" s="1"/>
  <c r="W13" i="51" s="1"/>
  <c r="C11" i="51" a="1"/>
  <c r="C11" i="51" s="1"/>
  <c r="L7" i="51" a="1"/>
  <c r="L7" i="51" s="1"/>
  <c r="N7" i="51" s="1"/>
  <c r="U10" i="51" a="1"/>
  <c r="U10" i="51" s="1"/>
  <c r="W10" i="51" s="1"/>
  <c r="P39" i="2"/>
  <c r="P62" i="2"/>
  <c r="N61" i="2" s="1"/>
  <c r="O26" i="2"/>
  <c r="U8" i="2"/>
  <c r="P8" i="2"/>
  <c r="P26" i="2"/>
  <c r="N26" i="2"/>
  <c r="Q26" i="2"/>
  <c r="P29" i="2"/>
  <c r="O29" i="2"/>
  <c r="P6" i="2"/>
  <c r="O6" i="2"/>
  <c r="R38" i="2"/>
  <c r="K9" i="2"/>
  <c r="D55" i="2" s="1"/>
  <c r="R8" i="2"/>
  <c r="N59" i="2"/>
  <c r="S8" i="2"/>
  <c r="T8" i="2"/>
  <c r="N8" i="2"/>
  <c r="N39" i="2" s="1"/>
  <c r="O8" i="2"/>
  <c r="M8" i="2"/>
  <c r="Y19" i="65" l="1"/>
  <c r="T729" i="58" s="1"/>
  <c r="Y42" i="65"/>
  <c r="T748" i="58" s="1"/>
  <c r="N18" i="65"/>
  <c r="P695" i="58" s="1"/>
  <c r="P26" i="65"/>
  <c r="T701" i="58" s="1"/>
  <c r="Y34" i="65"/>
  <c r="T742" i="58" s="1"/>
  <c r="G32" i="65"/>
  <c r="T674" i="58" s="1"/>
  <c r="G39" i="65"/>
  <c r="T679" i="58" s="1"/>
  <c r="P31" i="65"/>
  <c r="T706" i="58" s="1"/>
  <c r="W9" i="65"/>
  <c r="P719" i="58" s="1"/>
  <c r="E34" i="65"/>
  <c r="P676" i="58" s="1"/>
  <c r="W10" i="65"/>
  <c r="P720" i="58" s="1"/>
  <c r="W8" i="65"/>
  <c r="P718" i="58" s="1"/>
  <c r="P28" i="65"/>
  <c r="T703" i="58" s="1"/>
  <c r="Y32" i="65"/>
  <c r="T740" i="58" s="1"/>
  <c r="E29" i="65"/>
  <c r="P671" i="58" s="1"/>
  <c r="P9" i="65"/>
  <c r="T686" i="58" s="1"/>
  <c r="W6" i="65"/>
  <c r="P716" i="58" s="1"/>
  <c r="E40" i="65"/>
  <c r="P680" i="58" s="1"/>
  <c r="N10" i="65"/>
  <c r="P687" i="58" s="1"/>
  <c r="G29" i="65"/>
  <c r="T671" i="58" s="1"/>
  <c r="P42" i="65"/>
  <c r="T715" i="58" s="1"/>
  <c r="W42" i="65"/>
  <c r="P748" i="58" s="1"/>
  <c r="W33" i="65"/>
  <c r="P741" i="58" s="1"/>
  <c r="W31" i="65"/>
  <c r="P739" i="58" s="1"/>
  <c r="Y17" i="65"/>
  <c r="T727" i="58" s="1"/>
  <c r="E38" i="65"/>
  <c r="P678" i="58" s="1"/>
  <c r="W16" i="65"/>
  <c r="P726" i="58" s="1"/>
  <c r="N34" i="65"/>
  <c r="P709" i="58" s="1"/>
  <c r="W40" i="65"/>
  <c r="P746" i="58" s="1"/>
  <c r="N30" i="65"/>
  <c r="P705" i="58" s="1"/>
  <c r="Y26" i="65"/>
  <c r="T734" i="58" s="1"/>
  <c r="W11" i="65"/>
  <c r="P721" i="58" s="1"/>
  <c r="Y41" i="65"/>
  <c r="T747" i="58" s="1"/>
  <c r="P25" i="65"/>
  <c r="T700" i="58" s="1"/>
  <c r="P8" i="65"/>
  <c r="T685" i="58" s="1"/>
  <c r="N9" i="65"/>
  <c r="P686" i="58" s="1"/>
  <c r="P16" i="65"/>
  <c r="T693" i="58" s="1"/>
  <c r="Y20" i="65"/>
  <c r="T730" i="58" s="1"/>
  <c r="Y29" i="65"/>
  <c r="T737" i="58" s="1"/>
  <c r="N7" i="65"/>
  <c r="P684" i="58" s="1"/>
  <c r="G37" i="65"/>
  <c r="T677" i="58" s="1"/>
  <c r="Y40" i="65"/>
  <c r="P22" i="65"/>
  <c r="T699" i="58" s="1"/>
  <c r="G26" i="65"/>
  <c r="T668" i="58" s="1"/>
  <c r="E33" i="65"/>
  <c r="P675" i="58" s="1"/>
  <c r="P20" i="65"/>
  <c r="T697" i="58" s="1"/>
  <c r="W28" i="65"/>
  <c r="P736" i="58" s="1"/>
  <c r="G40" i="65"/>
  <c r="T680" i="58" s="1"/>
  <c r="N31" i="65"/>
  <c r="P706" i="58" s="1"/>
  <c r="E27" i="65"/>
  <c r="P669" i="58" s="1"/>
  <c r="P11" i="65"/>
  <c r="T688" i="58" s="1"/>
  <c r="E8" i="65"/>
  <c r="P652" i="58" s="1"/>
  <c r="P18" i="65"/>
  <c r="T695" i="58" s="1"/>
  <c r="P37" i="65"/>
  <c r="T710" i="58" s="1"/>
  <c r="W41" i="65"/>
  <c r="P747" i="58" s="1"/>
  <c r="E39" i="65"/>
  <c r="P679" i="58" s="1"/>
  <c r="W13" i="65"/>
  <c r="P723" i="58" s="1"/>
  <c r="W26" i="65"/>
  <c r="P734" i="58" s="1"/>
  <c r="E28" i="65"/>
  <c r="P670" i="58" s="1"/>
  <c r="N8" i="65"/>
  <c r="P685" i="58" s="1"/>
  <c r="P39" i="65"/>
  <c r="T712" i="58" s="1"/>
  <c r="N42" i="65"/>
  <c r="P715" i="58" s="1"/>
  <c r="N16" i="65"/>
  <c r="P693" i="58" s="1"/>
  <c r="E32" i="65"/>
  <c r="P674" i="58" s="1"/>
  <c r="W37" i="65"/>
  <c r="P743" i="58" s="1"/>
  <c r="P10" i="65"/>
  <c r="W32" i="65"/>
  <c r="P740" i="58" s="1"/>
  <c r="N14" i="65"/>
  <c r="P691" i="58" s="1"/>
  <c r="W34" i="65"/>
  <c r="P742" i="58" s="1"/>
  <c r="P19" i="65"/>
  <c r="T696" i="58" s="1"/>
  <c r="N26" i="65"/>
  <c r="P701" i="58" s="1"/>
  <c r="N33" i="65"/>
  <c r="P708" i="58" s="1"/>
  <c r="Y37" i="65"/>
  <c r="T743" i="58" s="1"/>
  <c r="Y30" i="65"/>
  <c r="G30" i="65"/>
  <c r="T672" i="58" s="1"/>
  <c r="P15" i="65"/>
  <c r="T692" i="58" s="1"/>
  <c r="P40" i="65"/>
  <c r="T713" i="58" s="1"/>
  <c r="N38" i="65"/>
  <c r="P711" i="58" s="1"/>
  <c r="W25" i="65"/>
  <c r="P733" i="58" s="1"/>
  <c r="G13" i="65"/>
  <c r="T657" i="58" s="1"/>
  <c r="N13" i="65"/>
  <c r="P690" i="58" s="1"/>
  <c r="W15" i="65"/>
  <c r="P725" i="58" s="1"/>
  <c r="N19" i="65"/>
  <c r="P696" i="58" s="1"/>
  <c r="Y6" i="65"/>
  <c r="T716" i="58" s="1"/>
  <c r="E37" i="65"/>
  <c r="P677" i="58" s="1"/>
  <c r="E25" i="65"/>
  <c r="P667" i="58" s="1"/>
  <c r="W30" i="65"/>
  <c r="P738" i="58" s="1"/>
  <c r="Y14" i="65"/>
  <c r="T724" i="58" s="1"/>
  <c r="Y8" i="65"/>
  <c r="Y31" i="65"/>
  <c r="T739" i="58" s="1"/>
  <c r="G8" i="65"/>
  <c r="G19" i="65"/>
  <c r="T663" i="58" s="1"/>
  <c r="W29" i="65"/>
  <c r="P737" i="58" s="1"/>
  <c r="W38" i="65"/>
  <c r="P744" i="58" s="1"/>
  <c r="Y15" i="65"/>
  <c r="T725" i="58" s="1"/>
  <c r="G9" i="65"/>
  <c r="T653" i="58" s="1"/>
  <c r="G18" i="65"/>
  <c r="T662" i="58" s="1"/>
  <c r="E20" i="65"/>
  <c r="P664" i="58" s="1"/>
  <c r="N12" i="65"/>
  <c r="P689" i="58" s="1"/>
  <c r="G10" i="65"/>
  <c r="T654" i="58" s="1"/>
  <c r="G7" i="65"/>
  <c r="T651" i="58" s="1"/>
  <c r="G14" i="65"/>
  <c r="T658" i="58" s="1"/>
  <c r="N6" i="65"/>
  <c r="P683" i="58" s="1"/>
  <c r="E12" i="65"/>
  <c r="P656" i="58" s="1"/>
  <c r="P13" i="65"/>
  <c r="T690" i="58" s="1"/>
  <c r="G17" i="65"/>
  <c r="T661" i="58" s="1"/>
  <c r="G6" i="65"/>
  <c r="T650" i="58" s="1"/>
  <c r="Y38" i="65"/>
  <c r="T744" i="58" s="1"/>
  <c r="W22" i="65"/>
  <c r="P732" i="58" s="1"/>
  <c r="E26" i="65"/>
  <c r="P668" i="58" s="1"/>
  <c r="P6" i="65"/>
  <c r="G33" i="65"/>
  <c r="P30" i="65"/>
  <c r="E42" i="65"/>
  <c r="P682" i="58" s="1"/>
  <c r="E9" i="65"/>
  <c r="P653" i="58" s="1"/>
  <c r="Y21" i="65"/>
  <c r="T731" i="58" s="1"/>
  <c r="E16" i="65"/>
  <c r="P660" i="58" s="1"/>
  <c r="G41" i="65"/>
  <c r="T681" i="58" s="1"/>
  <c r="P33" i="65"/>
  <c r="T708" i="58" s="1"/>
  <c r="E13" i="65"/>
  <c r="P657" i="58" s="1"/>
  <c r="Y39" i="65"/>
  <c r="T745" i="58" s="1"/>
  <c r="N29" i="65"/>
  <c r="P704" i="58" s="1"/>
  <c r="N37" i="65"/>
  <c r="P710" i="58" s="1"/>
  <c r="E6" i="65"/>
  <c r="P650" i="58" s="1"/>
  <c r="Y22" i="65"/>
  <c r="T732" i="58" s="1"/>
  <c r="E41" i="65"/>
  <c r="P681" i="58" s="1"/>
  <c r="W7" i="65"/>
  <c r="P717" i="58" s="1"/>
  <c r="G27" i="65"/>
  <c r="T669" i="58" s="1"/>
  <c r="E7" i="65"/>
  <c r="P651" i="58" s="1"/>
  <c r="W14" i="65"/>
  <c r="P724" i="58" s="1"/>
  <c r="N41" i="65"/>
  <c r="P714" i="58" s="1"/>
  <c r="N11" i="65"/>
  <c r="P688" i="58" s="1"/>
  <c r="E14" i="65"/>
  <c r="P658" i="58" s="1"/>
  <c r="G11" i="65"/>
  <c r="T655" i="58" s="1"/>
  <c r="P12" i="65"/>
  <c r="T689" i="58" s="1"/>
  <c r="E30" i="65"/>
  <c r="P672" i="58" s="1"/>
  <c r="Y33" i="65"/>
  <c r="T741" i="58" s="1"/>
  <c r="W18" i="65"/>
  <c r="P728" i="58" s="1"/>
  <c r="Y11" i="65"/>
  <c r="N39" i="65"/>
  <c r="P712" i="58" s="1"/>
  <c r="G15" i="65"/>
  <c r="T659" i="58" s="1"/>
  <c r="W17" i="65"/>
  <c r="P727" i="58" s="1"/>
  <c r="W27" i="65"/>
  <c r="P735" i="58" s="1"/>
  <c r="Y28" i="65"/>
  <c r="T736" i="58" s="1"/>
  <c r="G20" i="65"/>
  <c r="T664" i="58" s="1"/>
  <c r="N17" i="65"/>
  <c r="P694" i="58" s="1"/>
  <c r="N32" i="65"/>
  <c r="P707" i="58" s="1"/>
  <c r="N27" i="65"/>
  <c r="P702" i="58" s="1"/>
  <c r="P7" i="65"/>
  <c r="P29" i="65"/>
  <c r="T704" i="58" s="1"/>
  <c r="P38" i="65"/>
  <c r="G12" i="65"/>
  <c r="T656" i="58" s="1"/>
  <c r="P14" i="65"/>
  <c r="T691" i="58" s="1"/>
  <c r="N15" i="65"/>
  <c r="P692" i="58" s="1"/>
  <c r="N28" i="65"/>
  <c r="P703" i="58" s="1"/>
  <c r="P17" i="65"/>
  <c r="T694" i="58" s="1"/>
  <c r="G42" i="65"/>
  <c r="T682" i="58" s="1"/>
  <c r="W21" i="65"/>
  <c r="P731" i="58" s="1"/>
  <c r="N21" i="65"/>
  <c r="P698" i="58" s="1"/>
  <c r="Y9" i="65"/>
  <c r="Y7" i="65"/>
  <c r="T717" i="58" s="1"/>
  <c r="N25" i="65"/>
  <c r="P700" i="58" s="1"/>
  <c r="P32" i="65"/>
  <c r="T707" i="58" s="1"/>
  <c r="W12" i="65"/>
  <c r="P722" i="58" s="1"/>
  <c r="P27" i="65"/>
  <c r="T702" i="58" s="1"/>
  <c r="E22" i="65"/>
  <c r="P666" i="58" s="1"/>
  <c r="E31" i="65"/>
  <c r="P673" i="58" s="1"/>
  <c r="E15" i="65"/>
  <c r="P659" i="58" s="1"/>
  <c r="N20" i="65"/>
  <c r="P697" i="58" s="1"/>
  <c r="P41" i="65"/>
  <c r="T714" i="58" s="1"/>
  <c r="W19" i="65"/>
  <c r="P729" i="58" s="1"/>
  <c r="P34" i="65"/>
  <c r="T709" i="58" s="1"/>
  <c r="G16" i="65"/>
  <c r="T660" i="58" s="1"/>
  <c r="G21" i="65"/>
  <c r="Y18" i="65"/>
  <c r="Y12" i="65"/>
  <c r="T722" i="58" s="1"/>
  <c r="W20" i="65"/>
  <c r="P730" i="58" s="1"/>
  <c r="Y13" i="65"/>
  <c r="T723" i="58" s="1"/>
  <c r="G34" i="65"/>
  <c r="T676" i="58" s="1"/>
  <c r="G22" i="65"/>
  <c r="T666" i="58" s="1"/>
  <c r="G25" i="65"/>
  <c r="T667" i="58" s="1"/>
  <c r="Y27" i="65"/>
  <c r="T735" i="58" s="1"/>
  <c r="E11" i="65"/>
  <c r="P655" i="58" s="1"/>
  <c r="Y16" i="65"/>
  <c r="T726" i="58" s="1"/>
  <c r="N22" i="65"/>
  <c r="P699" i="58" s="1"/>
  <c r="G31" i="65"/>
  <c r="T673" i="58" s="1"/>
  <c r="E18" i="65"/>
  <c r="P662" i="58" s="1"/>
  <c r="G28" i="65"/>
  <c r="T670" i="58" s="1"/>
  <c r="E21" i="65"/>
  <c r="P665" i="58" s="1"/>
  <c r="Y25" i="65"/>
  <c r="T733" i="58" s="1"/>
  <c r="N40" i="65"/>
  <c r="P713" i="58" s="1"/>
  <c r="E10" i="65"/>
  <c r="P654" i="58" s="1"/>
  <c r="E19" i="65"/>
  <c r="P663" i="58" s="1"/>
  <c r="W39" i="65"/>
  <c r="P745" i="58" s="1"/>
  <c r="G38" i="65"/>
  <c r="T678" i="58" s="1"/>
  <c r="P21" i="65"/>
  <c r="T698" i="58" s="1"/>
  <c r="Y10" i="65"/>
  <c r="T720" i="58" s="1"/>
  <c r="E17" i="65"/>
  <c r="P661" i="58" s="1"/>
  <c r="N247" i="58"/>
  <c r="N204" i="58"/>
  <c r="M61" i="2"/>
  <c r="M60" i="2" s="1"/>
  <c r="P637" i="58"/>
  <c r="T607" i="58"/>
  <c r="P607" i="58"/>
  <c r="T620" i="58"/>
  <c r="P620" i="58"/>
  <c r="P606" i="58"/>
  <c r="P590" i="58"/>
  <c r="T640" i="58"/>
  <c r="P640" i="58"/>
  <c r="P594" i="58"/>
  <c r="P617" i="58"/>
  <c r="P632" i="58"/>
  <c r="T625" i="58"/>
  <c r="P625" i="58"/>
  <c r="P628" i="58"/>
  <c r="T623" i="58"/>
  <c r="P623" i="58"/>
  <c r="P603" i="58"/>
  <c r="T603" i="58"/>
  <c r="T610" i="58"/>
  <c r="P610" i="58"/>
  <c r="P596" i="58"/>
  <c r="T644" i="58"/>
  <c r="T587" i="58"/>
  <c r="P587" i="58"/>
  <c r="T647" i="58"/>
  <c r="P647" i="58"/>
  <c r="P638" i="58"/>
  <c r="T624" i="58"/>
  <c r="P624" i="58"/>
  <c r="T608" i="58"/>
  <c r="P608" i="58"/>
  <c r="T611" i="58"/>
  <c r="P611" i="58"/>
  <c r="P609" i="58"/>
  <c r="T609" i="58"/>
  <c r="T641" i="58"/>
  <c r="P641" i="58"/>
  <c r="T630" i="58"/>
  <c r="P630" i="58"/>
  <c r="T629" i="58"/>
  <c r="P629" i="58"/>
  <c r="P636" i="58"/>
  <c r="T642" i="58"/>
  <c r="P642" i="58"/>
  <c r="P627" i="58"/>
  <c r="T616" i="58"/>
  <c r="P616" i="58"/>
  <c r="P600" i="58"/>
  <c r="T589" i="58"/>
  <c r="P589" i="58"/>
  <c r="T595" i="58"/>
  <c r="P595" i="58"/>
  <c r="T645" i="58"/>
  <c r="P645" i="58"/>
  <c r="P601" i="58"/>
  <c r="N205" i="58"/>
  <c r="P633" i="58"/>
  <c r="P588" i="58"/>
  <c r="P643" i="58"/>
  <c r="P613" i="58"/>
  <c r="G6" i="64"/>
  <c r="T584" i="58" s="1"/>
  <c r="Y6" i="64"/>
  <c r="P586" i="58"/>
  <c r="T622" i="58"/>
  <c r="P622" i="58"/>
  <c r="P634" i="58"/>
  <c r="T646" i="58"/>
  <c r="P646" i="58"/>
  <c r="P605" i="58"/>
  <c r="T619" i="58"/>
  <c r="T593" i="58"/>
  <c r="P593" i="58"/>
  <c r="T635" i="58"/>
  <c r="P635" i="58"/>
  <c r="T602" i="58"/>
  <c r="P602" i="58"/>
  <c r="T626" i="58"/>
  <c r="P6" i="64"/>
  <c r="T585" i="58" s="1"/>
  <c r="P585" i="58"/>
  <c r="P614" i="58"/>
  <c r="P592" i="58"/>
  <c r="P612" i="58"/>
  <c r="P615" i="58"/>
  <c r="T618" i="58"/>
  <c r="P618" i="58"/>
  <c r="T621" i="58"/>
  <c r="P621" i="58"/>
  <c r="P591" i="58"/>
  <c r="P598" i="58"/>
  <c r="T648" i="58"/>
  <c r="P648" i="58"/>
  <c r="P604" i="58"/>
  <c r="P639" i="58"/>
  <c r="P599" i="58"/>
  <c r="T631" i="58"/>
  <c r="P631" i="58"/>
  <c r="P649" i="58"/>
  <c r="AD22" i="46"/>
  <c r="P501" i="58" s="1"/>
  <c r="N501" i="58"/>
  <c r="AE22" i="46"/>
  <c r="Q501" i="58" s="1"/>
  <c r="V22" i="46"/>
  <c r="O474" i="58"/>
  <c r="W22" i="46"/>
  <c r="J22" i="46"/>
  <c r="T447" i="58" s="1"/>
  <c r="O581" i="58"/>
  <c r="O447" i="58"/>
  <c r="K22" i="46"/>
  <c r="R22" i="46"/>
  <c r="P474" i="58" s="1"/>
  <c r="N474" i="58"/>
  <c r="S22" i="46"/>
  <c r="Q474" i="58" s="1"/>
  <c r="AH22" i="46"/>
  <c r="T501" i="58" s="1"/>
  <c r="AI22" i="46"/>
  <c r="O501" i="58"/>
  <c r="P53" i="43"/>
  <c r="O579" i="58"/>
  <c r="N53" i="43"/>
  <c r="P579" i="58" s="1"/>
  <c r="N579" i="58"/>
  <c r="Y53" i="43"/>
  <c r="T580" i="58" s="1"/>
  <c r="O580" i="58"/>
  <c r="G53" i="43"/>
  <c r="O578" i="58"/>
  <c r="F22" i="46"/>
  <c r="P447" i="58" s="1"/>
  <c r="N447" i="58"/>
  <c r="G22" i="46"/>
  <c r="Q447" i="58" s="1"/>
  <c r="N581" i="58"/>
  <c r="W53" i="43"/>
  <c r="P580" i="58" s="1"/>
  <c r="N580" i="58"/>
  <c r="E53" i="43"/>
  <c r="P578" i="58" s="1"/>
  <c r="N578" i="58"/>
  <c r="N572" i="58"/>
  <c r="F34" i="46"/>
  <c r="P572" i="58" s="1"/>
  <c r="N573" i="58"/>
  <c r="R34" i="46"/>
  <c r="P573" i="58" s="1"/>
  <c r="W49" i="43"/>
  <c r="P326" i="58" s="1"/>
  <c r="N326" i="58"/>
  <c r="J24" i="53"/>
  <c r="O575" i="58"/>
  <c r="V24" i="53"/>
  <c r="O576" i="58"/>
  <c r="AH24" i="53"/>
  <c r="O577" i="58"/>
  <c r="AD21" i="46"/>
  <c r="P583" i="58" s="1"/>
  <c r="AD34" i="46"/>
  <c r="P574" i="58" s="1"/>
  <c r="N574" i="58"/>
  <c r="R24" i="53"/>
  <c r="P576" i="58" s="1"/>
  <c r="N576" i="58"/>
  <c r="E49" i="43"/>
  <c r="P240" i="58" s="1"/>
  <c r="N240" i="58"/>
  <c r="G49" i="43"/>
  <c r="O240" i="58"/>
  <c r="AH34" i="46"/>
  <c r="O574" i="58"/>
  <c r="J34" i="46"/>
  <c r="O572" i="58"/>
  <c r="N49" i="43"/>
  <c r="P283" i="58" s="1"/>
  <c r="N283" i="58"/>
  <c r="P49" i="43"/>
  <c r="O283" i="58"/>
  <c r="O326" i="58"/>
  <c r="Y49" i="43"/>
  <c r="F24" i="53"/>
  <c r="P575" i="58" s="1"/>
  <c r="N575" i="58"/>
  <c r="V34" i="46"/>
  <c r="O573" i="58"/>
  <c r="AD24" i="53"/>
  <c r="P577" i="58" s="1"/>
  <c r="N577" i="58"/>
  <c r="R21" i="46"/>
  <c r="P582" i="58" s="1"/>
  <c r="N529" i="58"/>
  <c r="N248" i="58"/>
  <c r="N239" i="58"/>
  <c r="N203" i="58"/>
  <c r="N339" i="58"/>
  <c r="N237" i="58"/>
  <c r="N281" i="58"/>
  <c r="N446" i="58"/>
  <c r="AE19" i="53"/>
  <c r="AD19" i="53"/>
  <c r="P563" i="58" s="1"/>
  <c r="N522" i="58"/>
  <c r="G15" i="53"/>
  <c r="Q522" i="58" s="1"/>
  <c r="F15" i="53"/>
  <c r="P522" i="58" s="1"/>
  <c r="N518" i="58"/>
  <c r="G10" i="53"/>
  <c r="F10" i="53"/>
  <c r="P518" i="58" s="1"/>
  <c r="R6" i="53"/>
  <c r="P534" i="58" s="1"/>
  <c r="N534" i="58"/>
  <c r="R10" i="53"/>
  <c r="P537" i="58" s="1"/>
  <c r="S10" i="53"/>
  <c r="Q537" i="58" s="1"/>
  <c r="S16" i="53"/>
  <c r="Q542" i="58" s="1"/>
  <c r="R16" i="53"/>
  <c r="P542" i="58" s="1"/>
  <c r="AE12" i="53"/>
  <c r="AD12" i="53"/>
  <c r="P558" i="58" s="1"/>
  <c r="R21" i="53"/>
  <c r="P546" i="58" s="1"/>
  <c r="S21" i="53"/>
  <c r="Q546" i="58" s="1"/>
  <c r="N525" i="58"/>
  <c r="G19" i="53"/>
  <c r="Q525" i="58" s="1"/>
  <c r="F19" i="53"/>
  <c r="P525" i="58" s="1"/>
  <c r="S15" i="53"/>
  <c r="Q541" i="58" s="1"/>
  <c r="R15" i="53"/>
  <c r="P541" i="58" s="1"/>
  <c r="V6" i="53"/>
  <c r="T534" i="58" s="1"/>
  <c r="O534" i="58"/>
  <c r="S19" i="53"/>
  <c r="Q544" i="58" s="1"/>
  <c r="R19" i="53"/>
  <c r="P544" i="58" s="1"/>
  <c r="AD10" i="53"/>
  <c r="P556" i="58" s="1"/>
  <c r="AE10" i="53"/>
  <c r="Q556" i="58" s="1"/>
  <c r="AD21" i="53"/>
  <c r="AE21" i="53"/>
  <c r="Q565" i="58" s="1"/>
  <c r="N524" i="58"/>
  <c r="G18" i="53"/>
  <c r="Q524" i="58" s="1"/>
  <c r="F18" i="53"/>
  <c r="P524" i="58" s="1"/>
  <c r="R12" i="53"/>
  <c r="P539" i="58" s="1"/>
  <c r="S12" i="53"/>
  <c r="Q539" i="58" s="1"/>
  <c r="R11" i="53"/>
  <c r="P538" i="58" s="1"/>
  <c r="S11" i="53"/>
  <c r="Q538" i="58" s="1"/>
  <c r="N520" i="58"/>
  <c r="G12" i="53"/>
  <c r="Q520" i="58" s="1"/>
  <c r="F12" i="53"/>
  <c r="P520" i="58" s="1"/>
  <c r="N519" i="58"/>
  <c r="G11" i="53"/>
  <c r="Q519" i="58" s="1"/>
  <c r="F11" i="53"/>
  <c r="P519" i="58" s="1"/>
  <c r="S18" i="53"/>
  <c r="Q543" i="58" s="1"/>
  <c r="R18" i="53"/>
  <c r="P543" i="58" s="1"/>
  <c r="N527" i="58"/>
  <c r="F21" i="53"/>
  <c r="P527" i="58" s="1"/>
  <c r="G21" i="53"/>
  <c r="Q527" i="58" s="1"/>
  <c r="N523" i="58"/>
  <c r="G16" i="53"/>
  <c r="Q523" i="58" s="1"/>
  <c r="F16" i="53"/>
  <c r="P523" i="58" s="1"/>
  <c r="AE11" i="53"/>
  <c r="Q557" i="58" s="1"/>
  <c r="AD11" i="53"/>
  <c r="P557" i="58" s="1"/>
  <c r="AE15" i="53"/>
  <c r="Q560" i="58" s="1"/>
  <c r="AD15" i="53"/>
  <c r="P560" i="58" s="1"/>
  <c r="AE18" i="53"/>
  <c r="AD18" i="53"/>
  <c r="P562" i="58" s="1"/>
  <c r="AE16" i="53"/>
  <c r="Q561" i="58" s="1"/>
  <c r="AD16" i="53"/>
  <c r="N526" i="58"/>
  <c r="F20" i="53"/>
  <c r="P526" i="58" s="1"/>
  <c r="N452" i="58"/>
  <c r="G29" i="46"/>
  <c r="Q452" i="58" s="1"/>
  <c r="F29" i="46"/>
  <c r="P452" i="58" s="1"/>
  <c r="S14" i="46"/>
  <c r="Q468" i="58" s="1"/>
  <c r="R14" i="46"/>
  <c r="P468" i="58" s="1"/>
  <c r="S29" i="46"/>
  <c r="R29" i="46"/>
  <c r="P479" i="58" s="1"/>
  <c r="N435" i="58"/>
  <c r="F7" i="46"/>
  <c r="P435" i="58" s="1"/>
  <c r="AE25" i="46"/>
  <c r="Q503" i="58" s="1"/>
  <c r="AD25" i="46"/>
  <c r="P503" i="58" s="1"/>
  <c r="N449" i="58"/>
  <c r="F25" i="46"/>
  <c r="P449" i="58" s="1"/>
  <c r="G25" i="46"/>
  <c r="Q449" i="58" s="1"/>
  <c r="N455" i="58"/>
  <c r="F32" i="46"/>
  <c r="P455" i="58" s="1"/>
  <c r="N458" i="58"/>
  <c r="F37" i="46"/>
  <c r="P458" i="58" s="1"/>
  <c r="S26" i="46"/>
  <c r="R26" i="46"/>
  <c r="P477" i="58" s="1"/>
  <c r="N439" i="58"/>
  <c r="F12" i="46"/>
  <c r="P439" i="58" s="1"/>
  <c r="G12" i="46"/>
  <c r="Q439" i="58" s="1"/>
  <c r="F24" i="46"/>
  <c r="P448" i="58" s="1"/>
  <c r="Q448" i="58"/>
  <c r="Q475" i="58"/>
  <c r="R24" i="46"/>
  <c r="P475" i="58" s="1"/>
  <c r="N440" i="58"/>
  <c r="F13" i="46"/>
  <c r="P440" i="58" s="1"/>
  <c r="N443" i="58"/>
  <c r="F17" i="46"/>
  <c r="P443" i="58" s="1"/>
  <c r="AE26" i="46"/>
  <c r="Q504" i="58" s="1"/>
  <c r="AD26" i="46"/>
  <c r="P504" i="58" s="1"/>
  <c r="N454" i="58"/>
  <c r="F31" i="46"/>
  <c r="P454" i="58" s="1"/>
  <c r="N441" i="58"/>
  <c r="F14" i="46"/>
  <c r="P441" i="58" s="1"/>
  <c r="G14" i="46"/>
  <c r="Q441" i="58" s="1"/>
  <c r="N444" i="58"/>
  <c r="F18" i="46"/>
  <c r="P444" i="58" s="1"/>
  <c r="N460" i="58"/>
  <c r="F39" i="46"/>
  <c r="P460" i="58" s="1"/>
  <c r="N434" i="58"/>
  <c r="F6" i="46"/>
  <c r="P434" i="58" s="1"/>
  <c r="N451" i="58"/>
  <c r="F28" i="46"/>
  <c r="P451" i="58" s="1"/>
  <c r="N438" i="58"/>
  <c r="F11" i="46"/>
  <c r="P438" i="58" s="1"/>
  <c r="G11" i="46"/>
  <c r="Q438" i="58" s="1"/>
  <c r="R30" i="46"/>
  <c r="P480" i="58" s="1"/>
  <c r="S30" i="46"/>
  <c r="N459" i="58"/>
  <c r="F38" i="46"/>
  <c r="P459" i="58" s="1"/>
  <c r="R12" i="46"/>
  <c r="S12" i="46"/>
  <c r="Q466" i="58" s="1"/>
  <c r="AD14" i="46"/>
  <c r="P495" i="58" s="1"/>
  <c r="AE14" i="46"/>
  <c r="Q495" i="58" s="1"/>
  <c r="AD12" i="46"/>
  <c r="P493" i="58" s="1"/>
  <c r="AE12" i="46"/>
  <c r="Q493" i="58" s="1"/>
  <c r="N457" i="58"/>
  <c r="F36" i="46"/>
  <c r="P457" i="58" s="1"/>
  <c r="AE24" i="46"/>
  <c r="Q502" i="58" s="1"/>
  <c r="AD24" i="46"/>
  <c r="P502" i="58" s="1"/>
  <c r="N456" i="58"/>
  <c r="F33" i="46"/>
  <c r="P456" i="58" s="1"/>
  <c r="AD11" i="46"/>
  <c r="P492" i="58" s="1"/>
  <c r="AE11" i="46"/>
  <c r="Q492" i="58" s="1"/>
  <c r="AE29" i="46"/>
  <c r="Q506" i="58" s="1"/>
  <c r="AD29" i="46"/>
  <c r="P506" i="58" s="1"/>
  <c r="N437" i="58"/>
  <c r="F9" i="46"/>
  <c r="P437" i="58" s="1"/>
  <c r="G30" i="46"/>
  <c r="Q453" i="58" s="1"/>
  <c r="F30" i="46"/>
  <c r="P453" i="58" s="1"/>
  <c r="N442" i="58"/>
  <c r="F16" i="46"/>
  <c r="P442" i="58" s="1"/>
  <c r="AE30" i="46"/>
  <c r="Q507" i="58" s="1"/>
  <c r="AD30" i="46"/>
  <c r="P507" i="58" s="1"/>
  <c r="N453" i="58"/>
  <c r="N436" i="58"/>
  <c r="F8" i="46"/>
  <c r="P436" i="58" s="1"/>
  <c r="S25" i="46"/>
  <c r="Q476" i="58" s="1"/>
  <c r="R25" i="46"/>
  <c r="P476" i="58" s="1"/>
  <c r="F21" i="46"/>
  <c r="P581" i="58" s="1"/>
  <c r="N450" i="58"/>
  <c r="G26" i="46"/>
  <c r="Q450" i="58" s="1"/>
  <c r="F26" i="46"/>
  <c r="P450" i="58" s="1"/>
  <c r="R11" i="46"/>
  <c r="P465" i="58" s="1"/>
  <c r="S11" i="46"/>
  <c r="AD13" i="44"/>
  <c r="P414" i="58" s="1"/>
  <c r="AE13" i="44"/>
  <c r="Q414" i="58" s="1"/>
  <c r="G19" i="44"/>
  <c r="Q368" i="58" s="1"/>
  <c r="F19" i="44"/>
  <c r="P368" i="58" s="1"/>
  <c r="F14" i="44"/>
  <c r="P363" i="58" s="1"/>
  <c r="G14" i="44"/>
  <c r="Q363" i="58" s="1"/>
  <c r="R14" i="44"/>
  <c r="P389" i="58" s="1"/>
  <c r="S14" i="44"/>
  <c r="Q389" i="58" s="1"/>
  <c r="S11" i="44"/>
  <c r="Q386" i="58" s="1"/>
  <c r="R11" i="44"/>
  <c r="P386" i="58" s="1"/>
  <c r="G12" i="44"/>
  <c r="Q361" i="58" s="1"/>
  <c r="F12" i="44"/>
  <c r="P361" i="58" s="1"/>
  <c r="AD12" i="44"/>
  <c r="P413" i="58" s="1"/>
  <c r="AE12" i="44"/>
  <c r="Q413" i="58" s="1"/>
  <c r="G24" i="44"/>
  <c r="Q373" i="58" s="1"/>
  <c r="F24" i="44"/>
  <c r="P373" i="58" s="1"/>
  <c r="S19" i="44"/>
  <c r="Q394" i="58" s="1"/>
  <c r="R19" i="44"/>
  <c r="P394" i="58" s="1"/>
  <c r="F11" i="44"/>
  <c r="P360" i="58" s="1"/>
  <c r="G11" i="44"/>
  <c r="Q360" i="58" s="1"/>
  <c r="F13" i="44"/>
  <c r="P362" i="58" s="1"/>
  <c r="G13" i="44"/>
  <c r="Q362" i="58" s="1"/>
  <c r="AD19" i="44"/>
  <c r="P420" i="58" s="1"/>
  <c r="AE19" i="44"/>
  <c r="Q420" i="58" s="1"/>
  <c r="R24" i="44"/>
  <c r="P399" i="58" s="1"/>
  <c r="S24" i="44"/>
  <c r="AD14" i="44"/>
  <c r="P415" i="58" s="1"/>
  <c r="AE14" i="44"/>
  <c r="Q415" i="58" s="1"/>
  <c r="R12" i="44"/>
  <c r="P387" i="58" s="1"/>
  <c r="S12" i="44"/>
  <c r="Q387" i="58" s="1"/>
  <c r="AE24" i="44"/>
  <c r="Q425" i="58" s="1"/>
  <c r="AD24" i="44"/>
  <c r="P425" i="58" s="1"/>
  <c r="G20" i="44"/>
  <c r="Q369" i="58" s="1"/>
  <c r="F20" i="44"/>
  <c r="P369" i="58" s="1"/>
  <c r="AD20" i="44"/>
  <c r="P421" i="58" s="1"/>
  <c r="AE20" i="44"/>
  <c r="Q421" i="58" s="1"/>
  <c r="S20" i="44"/>
  <c r="Q395" i="58" s="1"/>
  <c r="R20" i="44"/>
  <c r="P395" i="58" s="1"/>
  <c r="R13" i="44"/>
  <c r="P388" i="58" s="1"/>
  <c r="S13" i="44"/>
  <c r="AE11" i="44"/>
  <c r="Q412" i="58" s="1"/>
  <c r="AD11" i="44"/>
  <c r="P412" i="58" s="1"/>
  <c r="N7" i="58"/>
  <c r="E11" i="51"/>
  <c r="P7" i="58" s="1"/>
  <c r="N268" i="58"/>
  <c r="N31" i="43"/>
  <c r="P268" i="58" s="1"/>
  <c r="N216" i="58"/>
  <c r="E21" i="43"/>
  <c r="P216" i="58" s="1"/>
  <c r="N231" i="58"/>
  <c r="E37" i="43"/>
  <c r="N210" i="58"/>
  <c r="E14" i="43"/>
  <c r="P210" i="58" s="1"/>
  <c r="N274" i="58"/>
  <c r="N37" i="43"/>
  <c r="P274" i="58" s="1"/>
  <c r="N256" i="58"/>
  <c r="N17" i="43"/>
  <c r="P256" i="58" s="1"/>
  <c r="N254" i="58"/>
  <c r="N15" i="43"/>
  <c r="P254" i="58" s="1"/>
  <c r="N249" i="58"/>
  <c r="N9" i="43"/>
  <c r="P249" i="58" s="1"/>
  <c r="N238" i="58"/>
  <c r="E45" i="43"/>
  <c r="P238" i="58" s="1"/>
  <c r="N267" i="58"/>
  <c r="N30" i="43"/>
  <c r="P267" i="58" s="1"/>
  <c r="N288" i="58"/>
  <c r="N57" i="43"/>
  <c r="P288" i="58" s="1"/>
  <c r="N214" i="58"/>
  <c r="E19" i="43"/>
  <c r="P214" i="58" s="1"/>
  <c r="N278" i="58"/>
  <c r="N42" i="43"/>
  <c r="P278" i="58" s="1"/>
  <c r="N209" i="58"/>
  <c r="E13" i="43"/>
  <c r="P209" i="58" s="1"/>
  <c r="N273" i="58"/>
  <c r="N36" i="43"/>
  <c r="P273" i="58" s="1"/>
  <c r="N228" i="58"/>
  <c r="E34" i="43"/>
  <c r="P228" i="58" s="1"/>
  <c r="N284" i="58"/>
  <c r="N51" i="43"/>
  <c r="P284" i="58" s="1"/>
  <c r="N242" i="58"/>
  <c r="E52" i="43"/>
  <c r="P242" i="58" s="1"/>
  <c r="N227" i="58"/>
  <c r="E33" i="43"/>
  <c r="P227" i="58" s="1"/>
  <c r="N233" i="58"/>
  <c r="E40" i="43"/>
  <c r="P233" i="58" s="1"/>
  <c r="N234" i="58"/>
  <c r="E41" i="43"/>
  <c r="P234" i="58" s="1"/>
  <c r="N223" i="58"/>
  <c r="E29" i="43"/>
  <c r="P223" i="58" s="1"/>
  <c r="N258" i="58"/>
  <c r="N20" i="43"/>
  <c r="P258" i="58" s="1"/>
  <c r="N221" i="58"/>
  <c r="E27" i="43"/>
  <c r="P221" i="58" s="1"/>
  <c r="N252" i="58"/>
  <c r="N13" i="43"/>
  <c r="P252" i="58" s="1"/>
  <c r="N244" i="58"/>
  <c r="E56" i="43"/>
  <c r="P244" i="58" s="1"/>
  <c r="N218" i="58"/>
  <c r="E24" i="43"/>
  <c r="P218" i="58" s="1"/>
  <c r="N264" i="58"/>
  <c r="N27" i="43"/>
  <c r="P264" i="58" s="1"/>
  <c r="N285" i="58"/>
  <c r="N52" i="43"/>
  <c r="N251" i="58"/>
  <c r="N11" i="43"/>
  <c r="P251" i="58" s="1"/>
  <c r="N262" i="58"/>
  <c r="N25" i="43"/>
  <c r="P262" i="58" s="1"/>
  <c r="N282" i="58"/>
  <c r="N48" i="43"/>
  <c r="P282" i="58" s="1"/>
  <c r="N257" i="58"/>
  <c r="N19" i="43"/>
  <c r="P257" i="58" s="1"/>
  <c r="N212" i="58"/>
  <c r="E16" i="43"/>
  <c r="P212" i="58" s="1"/>
  <c r="N271" i="58"/>
  <c r="N34" i="43"/>
  <c r="P271" i="58" s="1"/>
  <c r="N269" i="58"/>
  <c r="N32" i="43"/>
  <c r="P269" i="58" s="1"/>
  <c r="N224" i="58"/>
  <c r="E30" i="43"/>
  <c r="P224" i="58" s="1"/>
  <c r="N245" i="58"/>
  <c r="E57" i="43"/>
  <c r="P245" i="58" s="1"/>
  <c r="N211" i="58"/>
  <c r="E15" i="43"/>
  <c r="P211" i="58" s="1"/>
  <c r="N275" i="58"/>
  <c r="N38" i="43"/>
  <c r="P275" i="58" s="1"/>
  <c r="N222" i="58"/>
  <c r="E28" i="43"/>
  <c r="P222" i="58" s="1"/>
  <c r="N243" i="58"/>
  <c r="E55" i="43"/>
  <c r="P243" i="58" s="1"/>
  <c r="N217" i="58"/>
  <c r="E22" i="43"/>
  <c r="P217" i="58" s="1"/>
  <c r="N263" i="58"/>
  <c r="N26" i="43"/>
  <c r="P263" i="58" s="1"/>
  <c r="N266" i="58"/>
  <c r="N29" i="43"/>
  <c r="P266" i="58" s="1"/>
  <c r="N229" i="58"/>
  <c r="E35" i="43"/>
  <c r="P229" i="58" s="1"/>
  <c r="N235" i="58"/>
  <c r="E42" i="43"/>
  <c r="P235" i="58" s="1"/>
  <c r="N280" i="58"/>
  <c r="N44" i="43"/>
  <c r="P280" i="58" s="1"/>
  <c r="N261" i="58"/>
  <c r="N24" i="43"/>
  <c r="P261" i="58" s="1"/>
  <c r="N207" i="58"/>
  <c r="E10" i="43"/>
  <c r="P207" i="58" s="1"/>
  <c r="N255" i="58"/>
  <c r="N16" i="43"/>
  <c r="P255" i="58" s="1"/>
  <c r="N226" i="58"/>
  <c r="E32" i="43"/>
  <c r="P226" i="58" s="1"/>
  <c r="N287" i="58"/>
  <c r="N56" i="43"/>
  <c r="P287" i="58" s="1"/>
  <c r="N253" i="58"/>
  <c r="N14" i="43"/>
  <c r="N208" i="58"/>
  <c r="E11" i="43"/>
  <c r="P208" i="58" s="1"/>
  <c r="N272" i="58"/>
  <c r="N35" i="43"/>
  <c r="P272" i="58" s="1"/>
  <c r="N259" i="58"/>
  <c r="N21" i="43"/>
  <c r="P259" i="58" s="1"/>
  <c r="N206" i="58"/>
  <c r="E9" i="43"/>
  <c r="P206" i="58" s="1"/>
  <c r="N270" i="58"/>
  <c r="N33" i="43"/>
  <c r="P270" i="58" s="1"/>
  <c r="N265" i="58"/>
  <c r="N28" i="43"/>
  <c r="P265" i="58" s="1"/>
  <c r="N286" i="58"/>
  <c r="N55" i="43"/>
  <c r="P286" i="58" s="1"/>
  <c r="N276" i="58"/>
  <c r="N40" i="43"/>
  <c r="P276" i="58" s="1"/>
  <c r="N260" i="58"/>
  <c r="N22" i="43"/>
  <c r="P260" i="58" s="1"/>
  <c r="N220" i="58"/>
  <c r="E26" i="43"/>
  <c r="P220" i="58" s="1"/>
  <c r="N241" i="58"/>
  <c r="E51" i="43"/>
  <c r="P241" i="58" s="1"/>
  <c r="N215" i="58"/>
  <c r="E20" i="43"/>
  <c r="P215" i="58" s="1"/>
  <c r="N250" i="58"/>
  <c r="N10" i="43"/>
  <c r="P250" i="58" s="1"/>
  <c r="N213" i="58"/>
  <c r="E17" i="43"/>
  <c r="P213" i="58" s="1"/>
  <c r="N277" i="58"/>
  <c r="N41" i="43"/>
  <c r="P277" i="58" s="1"/>
  <c r="N232" i="58"/>
  <c r="E38" i="43"/>
  <c r="P232" i="58" s="1"/>
  <c r="N219" i="58"/>
  <c r="E25" i="43"/>
  <c r="P219" i="58" s="1"/>
  <c r="N230" i="58"/>
  <c r="E36" i="43"/>
  <c r="P230" i="58" s="1"/>
  <c r="N225" i="58"/>
  <c r="E31" i="43"/>
  <c r="P225" i="58" s="1"/>
  <c r="N338" i="58"/>
  <c r="N533" i="58"/>
  <c r="O39" i="2"/>
  <c r="N38" i="2" s="1"/>
  <c r="O7" i="2"/>
  <c r="O30" i="2"/>
  <c r="G22" i="51"/>
  <c r="O16" i="58"/>
  <c r="Y5" i="51"/>
  <c r="O74" i="58"/>
  <c r="Y12" i="40"/>
  <c r="O178" i="58"/>
  <c r="G7" i="40"/>
  <c r="T112" i="58" s="1"/>
  <c r="O112" i="58"/>
  <c r="P48" i="43"/>
  <c r="T282" i="58" s="1"/>
  <c r="O282" i="58"/>
  <c r="V20" i="46"/>
  <c r="O473" i="58"/>
  <c r="AH25" i="44"/>
  <c r="T426" i="58" s="1"/>
  <c r="O426" i="58"/>
  <c r="J27" i="44"/>
  <c r="T376" i="58" s="1"/>
  <c r="O376" i="58"/>
  <c r="P25" i="51"/>
  <c r="O54" i="58"/>
  <c r="Y15" i="40"/>
  <c r="O181" i="58"/>
  <c r="G8" i="40"/>
  <c r="T113" i="58" s="1"/>
  <c r="O113" i="58"/>
  <c r="G33" i="51"/>
  <c r="O25" i="58"/>
  <c r="Y22" i="51"/>
  <c r="O88" i="58"/>
  <c r="P13" i="40"/>
  <c r="O148" i="58"/>
  <c r="P17" i="51"/>
  <c r="O48" i="58"/>
  <c r="Y8" i="40"/>
  <c r="O175" i="58"/>
  <c r="G10" i="40"/>
  <c r="T115" i="58" s="1"/>
  <c r="O115" i="58"/>
  <c r="P18" i="51"/>
  <c r="O49" i="58"/>
  <c r="Y9" i="40"/>
  <c r="O176" i="58"/>
  <c r="P37" i="40"/>
  <c r="O170" i="58"/>
  <c r="G37" i="51"/>
  <c r="O28" i="58"/>
  <c r="Y26" i="51"/>
  <c r="O91" i="58"/>
  <c r="P25" i="40"/>
  <c r="T159" i="58" s="1"/>
  <c r="O159" i="58"/>
  <c r="G38" i="51"/>
  <c r="O29" i="58"/>
  <c r="Y27" i="51"/>
  <c r="O92" i="58"/>
  <c r="P17" i="40"/>
  <c r="O152" i="58"/>
  <c r="Y38" i="51"/>
  <c r="O101" i="58"/>
  <c r="G21" i="51"/>
  <c r="O15" i="58"/>
  <c r="Y10" i="51"/>
  <c r="O78" i="58"/>
  <c r="P10" i="40"/>
  <c r="O146" i="58"/>
  <c r="J33" i="44"/>
  <c r="T381" i="58" s="1"/>
  <c r="O381" i="58"/>
  <c r="J7" i="53"/>
  <c r="O516" i="58"/>
  <c r="Y56" i="43"/>
  <c r="O330" i="58"/>
  <c r="G25" i="43"/>
  <c r="O219" i="58"/>
  <c r="Y31" i="43"/>
  <c r="O311" i="58"/>
  <c r="V27" i="44"/>
  <c r="O402" i="58"/>
  <c r="Y21" i="43"/>
  <c r="O302" i="58"/>
  <c r="P41" i="43"/>
  <c r="O277" i="58"/>
  <c r="P25" i="43"/>
  <c r="T262" i="58" s="1"/>
  <c r="O262" i="58"/>
  <c r="G52" i="43"/>
  <c r="T242" i="58" s="1"/>
  <c r="O242" i="58"/>
  <c r="AH28" i="46"/>
  <c r="O505" i="58"/>
  <c r="J38" i="46"/>
  <c r="O459" i="58"/>
  <c r="J29" i="53"/>
  <c r="O533" i="58"/>
  <c r="P26" i="43"/>
  <c r="T263" i="58" s="1"/>
  <c r="O263" i="58"/>
  <c r="G55" i="43"/>
  <c r="T243" i="58" s="1"/>
  <c r="O243" i="58"/>
  <c r="AH16" i="44"/>
  <c r="O417" i="58"/>
  <c r="J28" i="44"/>
  <c r="T377" i="58" s="1"/>
  <c r="O377" i="58"/>
  <c r="J9" i="46"/>
  <c r="O437" i="58"/>
  <c r="V27" i="53"/>
  <c r="O550" i="58"/>
  <c r="Y48" i="43"/>
  <c r="O325" i="58"/>
  <c r="G29" i="43"/>
  <c r="T223" i="58" s="1"/>
  <c r="O223" i="58"/>
  <c r="Y13" i="43"/>
  <c r="O295" i="58"/>
  <c r="Y34" i="43"/>
  <c r="T314" i="58" s="1"/>
  <c r="O314" i="58"/>
  <c r="G11" i="43"/>
  <c r="T208" i="58" s="1"/>
  <c r="O208" i="58"/>
  <c r="V16" i="44"/>
  <c r="O391" i="58"/>
  <c r="AH31" i="46"/>
  <c r="O508" i="58"/>
  <c r="AH7" i="53"/>
  <c r="O554" i="58"/>
  <c r="Y8" i="43"/>
  <c r="O291" i="58"/>
  <c r="P37" i="43"/>
  <c r="T274" i="58" s="1"/>
  <c r="O274" i="58"/>
  <c r="G4" i="47"/>
  <c r="T332" i="58" s="1"/>
  <c r="O332" i="58"/>
  <c r="J32" i="44"/>
  <c r="T380" i="58" s="1"/>
  <c r="O380" i="58"/>
  <c r="J13" i="46"/>
  <c r="T440" i="58" s="1"/>
  <c r="O440" i="58"/>
  <c r="J6" i="53"/>
  <c r="O515" i="58"/>
  <c r="P11" i="43"/>
  <c r="T251" i="58" s="1"/>
  <c r="O251" i="58"/>
  <c r="G32" i="43"/>
  <c r="T226" i="58" s="1"/>
  <c r="O226" i="58"/>
  <c r="G28" i="40"/>
  <c r="T131" i="58" s="1"/>
  <c r="O131" i="58"/>
  <c r="Y29" i="40"/>
  <c r="O194" i="58"/>
  <c r="P16" i="51"/>
  <c r="O47" i="58"/>
  <c r="Y10" i="40"/>
  <c r="O177" i="58"/>
  <c r="G48" i="43"/>
  <c r="T239" i="58" s="1"/>
  <c r="O239" i="58"/>
  <c r="J17" i="46"/>
  <c r="T443" i="58" s="1"/>
  <c r="O443" i="58"/>
  <c r="G56" i="43"/>
  <c r="T244" i="58" s="1"/>
  <c r="O244" i="58"/>
  <c r="AH32" i="46"/>
  <c r="O509" i="58"/>
  <c r="P35" i="51"/>
  <c r="O62" i="58"/>
  <c r="Y24" i="40"/>
  <c r="O189" i="58"/>
  <c r="G17" i="40"/>
  <c r="T121" i="58" s="1"/>
  <c r="O121" i="58"/>
  <c r="G43" i="51"/>
  <c r="O33" i="58"/>
  <c r="Y32" i="51"/>
  <c r="O96" i="58"/>
  <c r="P21" i="40"/>
  <c r="O156" i="58"/>
  <c r="P27" i="51"/>
  <c r="O56" i="58"/>
  <c r="Y17" i="40"/>
  <c r="O183" i="58"/>
  <c r="G19" i="40"/>
  <c r="T123" i="58" s="1"/>
  <c r="O123" i="58"/>
  <c r="P28" i="51"/>
  <c r="O57" i="58"/>
  <c r="Y18" i="40"/>
  <c r="O184" i="58"/>
  <c r="G12" i="40"/>
  <c r="T116" i="58" s="1"/>
  <c r="O116" i="58"/>
  <c r="G47" i="51"/>
  <c r="O36" i="58"/>
  <c r="Y36" i="51"/>
  <c r="O99" i="58"/>
  <c r="G48" i="51"/>
  <c r="O37" i="58"/>
  <c r="Y37" i="51"/>
  <c r="O100" i="58"/>
  <c r="P26" i="40"/>
  <c r="O160" i="58"/>
  <c r="P12" i="51"/>
  <c r="O44" i="58"/>
  <c r="Y48" i="51"/>
  <c r="O109" i="58"/>
  <c r="P31" i="40"/>
  <c r="O165" i="58"/>
  <c r="G31" i="51"/>
  <c r="O23" i="58"/>
  <c r="Y20" i="51"/>
  <c r="O86" i="58"/>
  <c r="P19" i="40"/>
  <c r="O154" i="58"/>
  <c r="J26" i="44"/>
  <c r="T375" i="58" s="1"/>
  <c r="O375" i="58"/>
  <c r="AH28" i="44"/>
  <c r="T429" i="58" s="1"/>
  <c r="O429" i="58"/>
  <c r="P13" i="43"/>
  <c r="O252" i="58"/>
  <c r="G33" i="43"/>
  <c r="T227" i="58" s="1"/>
  <c r="O227" i="58"/>
  <c r="V21" i="44"/>
  <c r="O396" i="58"/>
  <c r="J8" i="44"/>
  <c r="T358" i="58" s="1"/>
  <c r="O358" i="58"/>
  <c r="AH29" i="53"/>
  <c r="T571" i="58" s="1"/>
  <c r="O571" i="58"/>
  <c r="Y30" i="43"/>
  <c r="O310" i="58"/>
  <c r="AH22" i="44"/>
  <c r="O423" i="58"/>
  <c r="P33" i="43"/>
  <c r="T270" i="58" s="1"/>
  <c r="O270" i="58"/>
  <c r="G8" i="47"/>
  <c r="T335" i="58" s="1"/>
  <c r="O335" i="58"/>
  <c r="AH38" i="46"/>
  <c r="O513" i="58"/>
  <c r="Y14" i="43"/>
  <c r="O296" i="58"/>
  <c r="P34" i="43"/>
  <c r="T271" i="58" s="1"/>
  <c r="O271" i="58"/>
  <c r="G11" i="47"/>
  <c r="T338" i="58" s="1"/>
  <c r="O338" i="58"/>
  <c r="AH9" i="46"/>
  <c r="O491" i="58"/>
  <c r="P8" i="43"/>
  <c r="T248" i="58" s="1"/>
  <c r="O248" i="58"/>
  <c r="G37" i="43"/>
  <c r="T231" i="58" s="1"/>
  <c r="O231" i="58"/>
  <c r="AH32" i="44"/>
  <c r="O432" i="58"/>
  <c r="J21" i="44"/>
  <c r="T370" i="58" s="1"/>
  <c r="O370" i="58"/>
  <c r="V36" i="46"/>
  <c r="O484" i="58"/>
  <c r="G21" i="43"/>
  <c r="O216" i="58"/>
  <c r="V7" i="46"/>
  <c r="O462" i="58"/>
  <c r="Y17" i="43"/>
  <c r="O299" i="58"/>
  <c r="AH27" i="44"/>
  <c r="O428" i="58"/>
  <c r="AH13" i="46"/>
  <c r="O494" i="58"/>
  <c r="J21" i="46"/>
  <c r="T581" i="58" s="1"/>
  <c r="P21" i="43"/>
  <c r="O259" i="58"/>
  <c r="G41" i="43"/>
  <c r="O234" i="58"/>
  <c r="P4" i="47"/>
  <c r="O340" i="58"/>
  <c r="P28" i="40"/>
  <c r="O162" i="58"/>
  <c r="P47" i="51"/>
  <c r="O72" i="58"/>
  <c r="Y31" i="40"/>
  <c r="O196" i="58"/>
  <c r="O110" i="58"/>
  <c r="V23" i="53"/>
  <c r="O548" i="58"/>
  <c r="G12" i="51"/>
  <c r="O8" i="58"/>
  <c r="P45" i="51"/>
  <c r="O70" i="58"/>
  <c r="Y30" i="40"/>
  <c r="O195" i="58"/>
  <c r="G26" i="40"/>
  <c r="T129" i="58" s="1"/>
  <c r="O129" i="58"/>
  <c r="P6" i="51"/>
  <c r="O39" i="58"/>
  <c r="Y42" i="51"/>
  <c r="O104" i="58"/>
  <c r="G5" i="51"/>
  <c r="O2" i="58"/>
  <c r="P37" i="51"/>
  <c r="O64" i="58"/>
  <c r="Y26" i="40"/>
  <c r="O191" i="58"/>
  <c r="G32" i="40"/>
  <c r="T135" i="58" s="1"/>
  <c r="O135" i="58"/>
  <c r="G6" i="51"/>
  <c r="O3" i="58"/>
  <c r="P38" i="51"/>
  <c r="O65" i="58"/>
  <c r="G20" i="40"/>
  <c r="T124" i="58" s="1"/>
  <c r="O124" i="58"/>
  <c r="P10" i="51"/>
  <c r="O42" i="58"/>
  <c r="Y46" i="51"/>
  <c r="O107" i="58"/>
  <c r="P38" i="40"/>
  <c r="O171" i="58"/>
  <c r="P11" i="51"/>
  <c r="O43" i="58"/>
  <c r="Y47" i="51"/>
  <c r="O108" i="58"/>
  <c r="P22" i="51"/>
  <c r="O52" i="58"/>
  <c r="Y13" i="40"/>
  <c r="O179" i="58"/>
  <c r="G5" i="40"/>
  <c r="T111" i="58" s="1"/>
  <c r="O111" i="58"/>
  <c r="G41" i="51"/>
  <c r="O31" i="58"/>
  <c r="Y30" i="51"/>
  <c r="O94" i="58"/>
  <c r="P32" i="40"/>
  <c r="O166" i="58"/>
  <c r="J7" i="46"/>
  <c r="T435" i="58" s="1"/>
  <c r="O435" i="58"/>
  <c r="V9" i="44"/>
  <c r="O385" i="58"/>
  <c r="J33" i="46"/>
  <c r="T456" i="58" s="1"/>
  <c r="O456" i="58"/>
  <c r="J26" i="53"/>
  <c r="T530" i="58" s="1"/>
  <c r="O530" i="58"/>
  <c r="P22" i="43"/>
  <c r="T260" i="58" s="1"/>
  <c r="O260" i="58"/>
  <c r="G42" i="43"/>
  <c r="T235" i="58" s="1"/>
  <c r="O235" i="58"/>
  <c r="AH8" i="46"/>
  <c r="O490" i="58"/>
  <c r="J17" i="44"/>
  <c r="T366" i="58" s="1"/>
  <c r="O366" i="58"/>
  <c r="Y38" i="43"/>
  <c r="O318" i="58"/>
  <c r="G7" i="43"/>
  <c r="T204" i="58" s="1"/>
  <c r="O204" i="58"/>
  <c r="AH7" i="46"/>
  <c r="O489" i="58"/>
  <c r="P42" i="43"/>
  <c r="O278" i="58"/>
  <c r="V28" i="44"/>
  <c r="O403" i="58"/>
  <c r="V13" i="46"/>
  <c r="O467" i="58"/>
  <c r="Y24" i="43"/>
  <c r="O304" i="58"/>
  <c r="J9" i="44"/>
  <c r="T359" i="58" s="1"/>
  <c r="O359" i="58"/>
  <c r="AH33" i="44"/>
  <c r="O433" i="58"/>
  <c r="J20" i="53"/>
  <c r="O526" i="58"/>
  <c r="P17" i="43"/>
  <c r="T256" i="58" s="1"/>
  <c r="O256" i="58"/>
  <c r="AH17" i="44"/>
  <c r="O418" i="58"/>
  <c r="J30" i="44"/>
  <c r="T378" i="58" s="1"/>
  <c r="O378" i="58"/>
  <c r="V28" i="53"/>
  <c r="O551" i="58"/>
  <c r="Y51" i="43"/>
  <c r="T327" i="58" s="1"/>
  <c r="O327" i="58"/>
  <c r="G30" i="43"/>
  <c r="T224" i="58" s="1"/>
  <c r="O224" i="58"/>
  <c r="AH23" i="44"/>
  <c r="O424" i="58"/>
  <c r="V33" i="44"/>
  <c r="O407" i="58"/>
  <c r="V17" i="46"/>
  <c r="O470" i="58"/>
  <c r="AH26" i="53"/>
  <c r="T568" i="58" s="1"/>
  <c r="O568" i="58"/>
  <c r="Y27" i="43"/>
  <c r="O307" i="58"/>
  <c r="P56" i="43"/>
  <c r="T287" i="58" s="1"/>
  <c r="O287" i="58"/>
  <c r="V8" i="44"/>
  <c r="O384" i="58"/>
  <c r="AH21" i="46"/>
  <c r="T583" i="58" s="1"/>
  <c r="J32" i="46"/>
  <c r="T455" i="58" s="1"/>
  <c r="O455" i="58"/>
  <c r="J23" i="53"/>
  <c r="O529" i="58"/>
  <c r="P30" i="43"/>
  <c r="O267" i="58"/>
  <c r="P9" i="47"/>
  <c r="O344" i="58"/>
  <c r="P12" i="47"/>
  <c r="O347" i="58"/>
  <c r="G44" i="43"/>
  <c r="T237" i="58" s="1"/>
  <c r="O237" i="58"/>
  <c r="G45" i="43"/>
  <c r="T238" i="58" s="1"/>
  <c r="O238" i="58"/>
  <c r="G15" i="51"/>
  <c r="O10" i="58"/>
  <c r="P20" i="51"/>
  <c r="O50" i="58"/>
  <c r="P48" i="51"/>
  <c r="O73" i="58"/>
  <c r="Y10" i="43"/>
  <c r="O293" i="58"/>
  <c r="V22" i="53"/>
  <c r="O547" i="58"/>
  <c r="V7" i="53"/>
  <c r="O535" i="58"/>
  <c r="J39" i="46"/>
  <c r="T460" i="58" s="1"/>
  <c r="O460" i="58"/>
  <c r="V17" i="44"/>
  <c r="O392" i="58"/>
  <c r="G6" i="47"/>
  <c r="T333" i="58" s="1"/>
  <c r="O333" i="58"/>
  <c r="Y11" i="47"/>
  <c r="O354" i="58"/>
  <c r="Y28" i="40"/>
  <c r="O193" i="58"/>
  <c r="G32" i="51"/>
  <c r="O24" i="58"/>
  <c r="Y21" i="51"/>
  <c r="O87" i="58"/>
  <c r="P12" i="40"/>
  <c r="O147" i="58"/>
  <c r="P26" i="51"/>
  <c r="O55" i="58"/>
  <c r="Y16" i="40"/>
  <c r="O182" i="58"/>
  <c r="G9" i="40"/>
  <c r="T114" i="58" s="1"/>
  <c r="O114" i="58"/>
  <c r="G25" i="51"/>
  <c r="O18" i="58"/>
  <c r="Y13" i="51"/>
  <c r="O81" i="58"/>
  <c r="P4" i="40"/>
  <c r="O141" i="58"/>
  <c r="G26" i="51"/>
  <c r="O19" i="58"/>
  <c r="Y15" i="51"/>
  <c r="O82" i="58"/>
  <c r="P5" i="40"/>
  <c r="O142" i="58"/>
  <c r="G34" i="40"/>
  <c r="T136" i="58" s="1"/>
  <c r="O136" i="58"/>
  <c r="P30" i="51"/>
  <c r="O58" i="58"/>
  <c r="Y19" i="40"/>
  <c r="O185" i="58"/>
  <c r="G21" i="40"/>
  <c r="T125" i="58" s="1"/>
  <c r="O125" i="58"/>
  <c r="P31" i="51"/>
  <c r="O59" i="58"/>
  <c r="Y20" i="40"/>
  <c r="T186" i="58" s="1"/>
  <c r="O186" i="58"/>
  <c r="G14" i="40"/>
  <c r="T118" i="58" s="1"/>
  <c r="O118" i="58"/>
  <c r="G10" i="51"/>
  <c r="O6" i="58"/>
  <c r="P42" i="51"/>
  <c r="O68" i="58"/>
  <c r="G24" i="40"/>
  <c r="T127" i="58" s="1"/>
  <c r="O127" i="58"/>
  <c r="P13" i="51"/>
  <c r="O45" i="58"/>
  <c r="Y4" i="40"/>
  <c r="O172" i="58"/>
  <c r="G16" i="40"/>
  <c r="T120" i="58" s="1"/>
  <c r="O120" i="58"/>
  <c r="Y40" i="43"/>
  <c r="T319" i="58" s="1"/>
  <c r="O319" i="58"/>
  <c r="V26" i="44"/>
  <c r="O401" i="58"/>
  <c r="V9" i="46"/>
  <c r="O464" i="58"/>
  <c r="Y20" i="43"/>
  <c r="O301" i="58"/>
  <c r="P40" i="43"/>
  <c r="T276" i="58" s="1"/>
  <c r="O276" i="58"/>
  <c r="G7" i="47"/>
  <c r="T334" i="58" s="1"/>
  <c r="O334" i="58"/>
  <c r="AH21" i="44"/>
  <c r="T422" i="58" s="1"/>
  <c r="O422" i="58"/>
  <c r="AH6" i="46"/>
  <c r="O488" i="58"/>
  <c r="J16" i="46"/>
  <c r="T442" i="58" s="1"/>
  <c r="O442" i="58"/>
  <c r="J8" i="53"/>
  <c r="O517" i="58"/>
  <c r="Y57" i="43"/>
  <c r="O331" i="58"/>
  <c r="G26" i="43"/>
  <c r="O220" i="58"/>
  <c r="G8" i="43"/>
  <c r="T205" i="58" s="1"/>
  <c r="O205" i="58"/>
  <c r="AH20" i="53"/>
  <c r="T564" i="58" s="1"/>
  <c r="O564" i="58"/>
  <c r="V32" i="46"/>
  <c r="O482" i="58"/>
  <c r="Y41" i="43"/>
  <c r="O320" i="58"/>
  <c r="G9" i="43"/>
  <c r="T206" i="58" s="1"/>
  <c r="O206" i="58"/>
  <c r="V22" i="44"/>
  <c r="O397" i="58"/>
  <c r="AH39" i="46"/>
  <c r="O514" i="58"/>
  <c r="Y15" i="43"/>
  <c r="O297" i="58"/>
  <c r="P35" i="43"/>
  <c r="T272" i="58" s="1"/>
  <c r="O272" i="58"/>
  <c r="P6" i="47"/>
  <c r="O341" i="58"/>
  <c r="V6" i="44"/>
  <c r="O382" i="58"/>
  <c r="P19" i="43"/>
  <c r="T257" i="58" s="1"/>
  <c r="O257" i="58"/>
  <c r="AH9" i="44"/>
  <c r="T411" i="58" s="1"/>
  <c r="O411" i="58"/>
  <c r="J22" i="44"/>
  <c r="T371" i="58" s="1"/>
  <c r="O371" i="58"/>
  <c r="V37" i="46"/>
  <c r="O485" i="58"/>
  <c r="Y52" i="43"/>
  <c r="T328" i="58" s="1"/>
  <c r="O328" i="58"/>
  <c r="G22" i="43"/>
  <c r="T217" i="58" s="1"/>
  <c r="O217" i="58"/>
  <c r="J28" i="53"/>
  <c r="O532" i="58"/>
  <c r="V25" i="44"/>
  <c r="T400" i="58" s="1"/>
  <c r="O400" i="58"/>
  <c r="V8" i="46"/>
  <c r="O463" i="58"/>
  <c r="Y19" i="43"/>
  <c r="O300" i="58"/>
  <c r="Y4" i="47"/>
  <c r="O348" i="58"/>
  <c r="P44" i="43"/>
  <c r="T280" i="58" s="1"/>
  <c r="O280" i="58"/>
  <c r="Y37" i="40"/>
  <c r="O201" i="58"/>
  <c r="G16" i="51"/>
  <c r="O11" i="58"/>
  <c r="P32" i="51"/>
  <c r="O60" i="58"/>
  <c r="Y6" i="43"/>
  <c r="O289" i="58"/>
  <c r="Y35" i="43"/>
  <c r="O315" i="58"/>
  <c r="AH8" i="53"/>
  <c r="O555" i="58"/>
  <c r="G42" i="51"/>
  <c r="O32" i="58"/>
  <c r="Y31" i="51"/>
  <c r="O95" i="58"/>
  <c r="P20" i="40"/>
  <c r="O155" i="58"/>
  <c r="P36" i="51"/>
  <c r="O63" i="58"/>
  <c r="Y25" i="40"/>
  <c r="O190" i="58"/>
  <c r="G18" i="40"/>
  <c r="T122" i="58" s="1"/>
  <c r="O122" i="58"/>
  <c r="G35" i="51"/>
  <c r="O26" i="58"/>
  <c r="Y23" i="51"/>
  <c r="O89" i="58"/>
  <c r="P14" i="40"/>
  <c r="O149" i="58"/>
  <c r="G36" i="51"/>
  <c r="O27" i="58"/>
  <c r="Y25" i="51"/>
  <c r="O90" i="58"/>
  <c r="P15" i="40"/>
  <c r="O150" i="58"/>
  <c r="G7" i="51"/>
  <c r="O4" i="58"/>
  <c r="P40" i="51"/>
  <c r="O66" i="58"/>
  <c r="Y32" i="40"/>
  <c r="O197" i="58"/>
  <c r="G8" i="51"/>
  <c r="O5" i="58"/>
  <c r="P41" i="51"/>
  <c r="O67" i="58"/>
  <c r="G23" i="40"/>
  <c r="T126" i="58" s="1"/>
  <c r="O126" i="58"/>
  <c r="G20" i="51"/>
  <c r="O14" i="58"/>
  <c r="Y8" i="51"/>
  <c r="O77" i="58"/>
  <c r="Y35" i="40"/>
  <c r="O199" i="58"/>
  <c r="G30" i="40"/>
  <c r="T133" i="58" s="1"/>
  <c r="O133" i="58"/>
  <c r="P23" i="51"/>
  <c r="O53" i="58"/>
  <c r="Y14" i="40"/>
  <c r="O180" i="58"/>
  <c r="G25" i="40"/>
  <c r="T128" i="58" s="1"/>
  <c r="O128" i="58"/>
  <c r="V30" i="44"/>
  <c r="O404" i="58"/>
  <c r="J7" i="44"/>
  <c r="T357" i="58" s="1"/>
  <c r="O357" i="58"/>
  <c r="AH28" i="53"/>
  <c r="O570" i="58"/>
  <c r="Y29" i="43"/>
  <c r="O309" i="58"/>
  <c r="AH30" i="44"/>
  <c r="O430" i="58"/>
  <c r="AH16" i="46"/>
  <c r="O496" i="58"/>
  <c r="P14" i="43"/>
  <c r="T253" i="58" s="1"/>
  <c r="O253" i="58"/>
  <c r="G34" i="43"/>
  <c r="T228" i="58" s="1"/>
  <c r="O228" i="58"/>
  <c r="G17" i="43"/>
  <c r="O213" i="58"/>
  <c r="Y22" i="43"/>
  <c r="O303" i="58"/>
  <c r="J8" i="46"/>
  <c r="O436" i="58"/>
  <c r="V26" i="53"/>
  <c r="O549" i="58"/>
  <c r="G19" i="43"/>
  <c r="T214" i="58" s="1"/>
  <c r="O214" i="58"/>
  <c r="AH6" i="44"/>
  <c r="T408" i="58" s="1"/>
  <c r="O408" i="58"/>
  <c r="V31" i="44"/>
  <c r="O405" i="58"/>
  <c r="AH22" i="53"/>
  <c r="O566" i="58"/>
  <c r="Y25" i="43"/>
  <c r="O305" i="58"/>
  <c r="P52" i="43"/>
  <c r="T285" i="58" s="1"/>
  <c r="O285" i="58"/>
  <c r="V15" i="44"/>
  <c r="O390" i="58"/>
  <c r="AH6" i="53"/>
  <c r="O553" i="58"/>
  <c r="Y7" i="43"/>
  <c r="T290" i="58" s="1"/>
  <c r="O290" i="58"/>
  <c r="P28" i="43"/>
  <c r="T265" i="58" s="1"/>
  <c r="O265" i="58"/>
  <c r="G57" i="43"/>
  <c r="T245" i="58" s="1"/>
  <c r="O245" i="58"/>
  <c r="J31" i="44"/>
  <c r="T379" i="58" s="1"/>
  <c r="O379" i="58"/>
  <c r="V29" i="53"/>
  <c r="O552" i="58"/>
  <c r="P10" i="43"/>
  <c r="T250" i="58" s="1"/>
  <c r="O250" i="58"/>
  <c r="G31" i="43"/>
  <c r="T225" i="58" s="1"/>
  <c r="O225" i="58"/>
  <c r="AH15" i="44"/>
  <c r="O416" i="58"/>
  <c r="J6" i="44"/>
  <c r="T356" i="58" s="1"/>
  <c r="O356" i="58"/>
  <c r="V18" i="46"/>
  <c r="T471" i="58" s="1"/>
  <c r="O471" i="58"/>
  <c r="AH27" i="53"/>
  <c r="O569" i="58"/>
  <c r="Y28" i="43"/>
  <c r="O308" i="58"/>
  <c r="P57" i="43"/>
  <c r="O288" i="58"/>
  <c r="Y7" i="47"/>
  <c r="O350" i="58"/>
  <c r="Y9" i="47"/>
  <c r="O352" i="58"/>
  <c r="Y12" i="47"/>
  <c r="T355" i="58" s="1"/>
  <c r="O355" i="58"/>
  <c r="G29" i="40"/>
  <c r="T132" i="58" s="1"/>
  <c r="O132" i="58"/>
  <c r="P45" i="43"/>
  <c r="T281" i="58" s="1"/>
  <c r="O281" i="58"/>
  <c r="Y11" i="51"/>
  <c r="O79" i="58"/>
  <c r="P35" i="40"/>
  <c r="O168" i="58"/>
  <c r="P21" i="51"/>
  <c r="O51" i="58"/>
  <c r="G15" i="40"/>
  <c r="T119" i="58" s="1"/>
  <c r="O119" i="58"/>
  <c r="AH33" i="46"/>
  <c r="O510" i="58"/>
  <c r="J6" i="46"/>
  <c r="O434" i="58"/>
  <c r="V21" i="46"/>
  <c r="T582" i="58" s="1"/>
  <c r="G38" i="43"/>
  <c r="O232" i="58"/>
  <c r="G13" i="43"/>
  <c r="O209" i="58"/>
  <c r="P38" i="43"/>
  <c r="T275" i="58" s="1"/>
  <c r="O275" i="58"/>
  <c r="P5" i="51"/>
  <c r="O38" i="58"/>
  <c r="Y41" i="51"/>
  <c r="O103" i="58"/>
  <c r="G13" i="51"/>
  <c r="O9" i="58"/>
  <c r="P46" i="51"/>
  <c r="O71" i="58"/>
  <c r="G45" i="51"/>
  <c r="O34" i="58"/>
  <c r="Y33" i="51"/>
  <c r="O97" i="58"/>
  <c r="P23" i="40"/>
  <c r="O157" i="58"/>
  <c r="G46" i="51"/>
  <c r="O35" i="58"/>
  <c r="Y35" i="51"/>
  <c r="O98" i="58"/>
  <c r="P24" i="40"/>
  <c r="O158" i="58"/>
  <c r="G17" i="51"/>
  <c r="O12" i="58"/>
  <c r="Y6" i="51"/>
  <c r="O75" i="58"/>
  <c r="P7" i="40"/>
  <c r="O143" i="58"/>
  <c r="G35" i="40"/>
  <c r="T137" i="58" s="1"/>
  <c r="O137" i="58"/>
  <c r="G18" i="51"/>
  <c r="O13" i="58"/>
  <c r="Y7" i="51"/>
  <c r="O76" i="58"/>
  <c r="Y34" i="40"/>
  <c r="O198" i="58"/>
  <c r="G36" i="40"/>
  <c r="T138" i="58" s="1"/>
  <c r="O138" i="58"/>
  <c r="G30" i="51"/>
  <c r="O22" i="58"/>
  <c r="Y18" i="51"/>
  <c r="O85" i="58"/>
  <c r="P9" i="40"/>
  <c r="O145" i="58"/>
  <c r="G37" i="40"/>
  <c r="T139" i="58" s="1"/>
  <c r="O139" i="58"/>
  <c r="P33" i="51"/>
  <c r="O61" i="58"/>
  <c r="Y23" i="40"/>
  <c r="O188" i="58"/>
  <c r="AH8" i="44"/>
  <c r="O410" i="58"/>
  <c r="J16" i="44"/>
  <c r="T365" i="58" s="1"/>
  <c r="O365" i="58"/>
  <c r="Y37" i="43"/>
  <c r="O317" i="58"/>
  <c r="G6" i="43"/>
  <c r="O203" i="58"/>
  <c r="V31" i="46"/>
  <c r="O481" i="58"/>
  <c r="J36" i="46"/>
  <c r="T457" i="58" s="1"/>
  <c r="O457" i="58"/>
  <c r="J27" i="53"/>
  <c r="O531" i="58"/>
  <c r="P24" i="43"/>
  <c r="T261" i="58" s="1"/>
  <c r="O261" i="58"/>
  <c r="P6" i="43"/>
  <c r="T246" i="58" s="1"/>
  <c r="O246" i="58"/>
  <c r="G27" i="43"/>
  <c r="T221" i="58" s="1"/>
  <c r="O221" i="58"/>
  <c r="J18" i="46"/>
  <c r="T444" i="58" s="1"/>
  <c r="O444" i="58"/>
  <c r="P7" i="43"/>
  <c r="T247" i="58" s="1"/>
  <c r="O247" i="58"/>
  <c r="G28" i="43"/>
  <c r="T222" i="58" s="1"/>
  <c r="O222" i="58"/>
  <c r="V8" i="53"/>
  <c r="O536" i="58"/>
  <c r="Y33" i="43"/>
  <c r="O313" i="58"/>
  <c r="G10" i="43"/>
  <c r="T207" i="58" s="1"/>
  <c r="O207" i="58"/>
  <c r="AH37" i="46"/>
  <c r="T512" i="58" s="1"/>
  <c r="O512" i="58"/>
  <c r="V23" i="44"/>
  <c r="O398" i="58"/>
  <c r="V6" i="46"/>
  <c r="O461" i="58"/>
  <c r="Y16" i="43"/>
  <c r="T298" i="58" s="1"/>
  <c r="O298" i="58"/>
  <c r="P36" i="43"/>
  <c r="T273" i="58" s="1"/>
  <c r="O273" i="58"/>
  <c r="AH31" i="44"/>
  <c r="O431" i="58"/>
  <c r="AH26" i="44"/>
  <c r="O427" i="58"/>
  <c r="J20" i="46"/>
  <c r="T446" i="58" s="1"/>
  <c r="O446" i="58"/>
  <c r="P20" i="43"/>
  <c r="T258" i="58" s="1"/>
  <c r="O258" i="58"/>
  <c r="G40" i="43"/>
  <c r="T233" i="58" s="1"/>
  <c r="O233" i="58"/>
  <c r="J15" i="44"/>
  <c r="T364" i="58" s="1"/>
  <c r="O364" i="58"/>
  <c r="V28" i="46"/>
  <c r="O478" i="58"/>
  <c r="Y36" i="43"/>
  <c r="O316" i="58"/>
  <c r="G14" i="43"/>
  <c r="T210" i="58" s="1"/>
  <c r="O210" i="58"/>
  <c r="G9" i="47"/>
  <c r="T336" i="58" s="1"/>
  <c r="O336" i="58"/>
  <c r="G12" i="47"/>
  <c r="T339" i="58" s="1"/>
  <c r="O339" i="58"/>
  <c r="P7" i="47"/>
  <c r="O342" i="58"/>
  <c r="Y44" i="43"/>
  <c r="O323" i="58"/>
  <c r="Y7" i="40"/>
  <c r="O174" i="58"/>
  <c r="G13" i="40"/>
  <c r="T117" i="58" s="1"/>
  <c r="O117" i="58"/>
  <c r="Y21" i="40"/>
  <c r="O187" i="58"/>
  <c r="Y40" i="51"/>
  <c r="O102" i="58"/>
  <c r="P31" i="43"/>
  <c r="T268" i="58" s="1"/>
  <c r="O268" i="58"/>
  <c r="J25" i="44"/>
  <c r="T374" i="58" s="1"/>
  <c r="O374" i="58"/>
  <c r="G16" i="43"/>
  <c r="T212" i="58" s="1"/>
  <c r="O212" i="58"/>
  <c r="Y32" i="43"/>
  <c r="O312" i="58"/>
  <c r="P51" i="43"/>
  <c r="T284" i="58" s="1"/>
  <c r="O284" i="58"/>
  <c r="P27" i="43"/>
  <c r="T264" i="58" s="1"/>
  <c r="O264" i="58"/>
  <c r="P9" i="43"/>
  <c r="T249" i="58" s="1"/>
  <c r="O249" i="58"/>
  <c r="J37" i="46"/>
  <c r="T458" i="58" s="1"/>
  <c r="O458" i="58"/>
  <c r="Y9" i="43"/>
  <c r="O292" i="58"/>
  <c r="Y8" i="47"/>
  <c r="O351" i="58"/>
  <c r="P15" i="51"/>
  <c r="O46" i="58"/>
  <c r="Y5" i="40"/>
  <c r="O173" i="58"/>
  <c r="P34" i="40"/>
  <c r="O167" i="58"/>
  <c r="G23" i="51"/>
  <c r="O17" i="58"/>
  <c r="Y12" i="51"/>
  <c r="O80" i="58"/>
  <c r="Y38" i="40"/>
  <c r="O202" i="58"/>
  <c r="G31" i="40"/>
  <c r="T134" i="58" s="1"/>
  <c r="O134" i="58"/>
  <c r="P7" i="51"/>
  <c r="O40" i="58"/>
  <c r="Y43" i="51"/>
  <c r="O105" i="58"/>
  <c r="P36" i="40"/>
  <c r="O169" i="58"/>
  <c r="P8" i="51"/>
  <c r="O41" i="58"/>
  <c r="Y45" i="51"/>
  <c r="O106" i="58"/>
  <c r="P30" i="40"/>
  <c r="O164" i="58"/>
  <c r="G27" i="51"/>
  <c r="O20" i="58"/>
  <c r="Y16" i="51"/>
  <c r="O83" i="58"/>
  <c r="P16" i="40"/>
  <c r="O151" i="58"/>
  <c r="G28" i="51"/>
  <c r="O21" i="58"/>
  <c r="Y17" i="51"/>
  <c r="O84" i="58"/>
  <c r="P8" i="40"/>
  <c r="O144" i="58"/>
  <c r="G40" i="51"/>
  <c r="O30" i="58"/>
  <c r="Y28" i="51"/>
  <c r="O93" i="58"/>
  <c r="P18" i="40"/>
  <c r="O153" i="58"/>
  <c r="G11" i="51"/>
  <c r="O7" i="58"/>
  <c r="P43" i="51"/>
  <c r="O69" i="58"/>
  <c r="Y36" i="40"/>
  <c r="O200" i="58"/>
  <c r="G38" i="40"/>
  <c r="T140" i="58" s="1"/>
  <c r="O140" i="58"/>
  <c r="V39" i="46"/>
  <c r="O487" i="58"/>
  <c r="G15" i="43"/>
  <c r="T211" i="58" s="1"/>
  <c r="O211" i="58"/>
  <c r="AH36" i="46"/>
  <c r="T511" i="58" s="1"/>
  <c r="O511" i="58"/>
  <c r="Y11" i="43"/>
  <c r="O294" i="58"/>
  <c r="P32" i="43"/>
  <c r="O269" i="58"/>
  <c r="G51" i="43"/>
  <c r="O241" i="58"/>
  <c r="P15" i="43"/>
  <c r="T254" i="58" s="1"/>
  <c r="O254" i="58"/>
  <c r="G35" i="43"/>
  <c r="T229" i="58" s="1"/>
  <c r="O229" i="58"/>
  <c r="AH18" i="46"/>
  <c r="O498" i="58"/>
  <c r="J28" i="46"/>
  <c r="T451" i="58" s="1"/>
  <c r="O451" i="58"/>
  <c r="P16" i="43"/>
  <c r="T255" i="58" s="1"/>
  <c r="O255" i="58"/>
  <c r="G36" i="43"/>
  <c r="T230" i="58" s="1"/>
  <c r="O230" i="58"/>
  <c r="AH7" i="44"/>
  <c r="O409" i="58"/>
  <c r="V33" i="46"/>
  <c r="O483" i="58"/>
  <c r="Y42" i="43"/>
  <c r="O321" i="58"/>
  <c r="G20" i="43"/>
  <c r="T215" i="58" s="1"/>
  <c r="O215" i="58"/>
  <c r="V32" i="44"/>
  <c r="O406" i="58"/>
  <c r="V16" i="46"/>
  <c r="O469" i="58"/>
  <c r="AH23" i="53"/>
  <c r="T567" i="58" s="1"/>
  <c r="O567" i="58"/>
  <c r="Y26" i="43"/>
  <c r="T306" i="58" s="1"/>
  <c r="O306" i="58"/>
  <c r="P55" i="43"/>
  <c r="T286" i="58" s="1"/>
  <c r="O286" i="58"/>
  <c r="AH17" i="46"/>
  <c r="T497" i="58" s="1"/>
  <c r="O497" i="58"/>
  <c r="V7" i="44"/>
  <c r="O383" i="58"/>
  <c r="AH20" i="46"/>
  <c r="O500" i="58"/>
  <c r="J31" i="46"/>
  <c r="T454" i="58" s="1"/>
  <c r="O454" i="58"/>
  <c r="J22" i="53"/>
  <c r="O528" i="58"/>
  <c r="P29" i="43"/>
  <c r="T266" i="58" s="1"/>
  <c r="O266" i="58"/>
  <c r="J23" i="44"/>
  <c r="T372" i="58" s="1"/>
  <c r="O372" i="58"/>
  <c r="V38" i="46"/>
  <c r="O486" i="58"/>
  <c r="V20" i="53"/>
  <c r="O545" i="58"/>
  <c r="Y55" i="43"/>
  <c r="O329" i="58"/>
  <c r="G24" i="43"/>
  <c r="T218" i="58" s="1"/>
  <c r="O218" i="58"/>
  <c r="P8" i="47"/>
  <c r="O343" i="58"/>
  <c r="P11" i="47"/>
  <c r="O346" i="58"/>
  <c r="Y6" i="47"/>
  <c r="O349" i="58"/>
  <c r="P29" i="40"/>
  <c r="O163" i="58"/>
  <c r="Y45" i="43"/>
  <c r="O324" i="58"/>
  <c r="N336" i="58"/>
  <c r="N334" i="58"/>
  <c r="N532" i="58"/>
  <c r="N517" i="58"/>
  <c r="N333" i="58"/>
  <c r="N516" i="58"/>
  <c r="N528" i="58"/>
  <c r="N530" i="58"/>
  <c r="N332" i="58"/>
  <c r="N335" i="58"/>
  <c r="N531" i="58"/>
  <c r="N515" i="58"/>
  <c r="AI14" i="44"/>
  <c r="AH14" i="44"/>
  <c r="AI20" i="44"/>
  <c r="AH20" i="44"/>
  <c r="K14" i="46"/>
  <c r="U441" i="58" s="1"/>
  <c r="J14" i="46"/>
  <c r="T441" i="58" s="1"/>
  <c r="W11" i="46"/>
  <c r="U465" i="58" s="1"/>
  <c r="V11" i="46"/>
  <c r="AI19" i="53"/>
  <c r="U563" i="58" s="1"/>
  <c r="AH19" i="53"/>
  <c r="K13" i="44"/>
  <c r="U362" i="58" s="1"/>
  <c r="J13" i="44"/>
  <c r="T362" i="58" s="1"/>
  <c r="V25" i="46"/>
  <c r="W25" i="46"/>
  <c r="W10" i="53"/>
  <c r="V10" i="53"/>
  <c r="K26" i="46"/>
  <c r="J26" i="46"/>
  <c r="AI19" i="44"/>
  <c r="AH19" i="44"/>
  <c r="AI14" i="46"/>
  <c r="AH14" i="46"/>
  <c r="U448" i="58"/>
  <c r="J24" i="46"/>
  <c r="T448" i="58" s="1"/>
  <c r="K16" i="53"/>
  <c r="J16" i="53"/>
  <c r="T523" i="58" s="1"/>
  <c r="AI24" i="44"/>
  <c r="AH24" i="44"/>
  <c r="K12" i="53"/>
  <c r="U520" i="58" s="1"/>
  <c r="J12" i="53"/>
  <c r="T520" i="58" s="1"/>
  <c r="W18" i="53"/>
  <c r="V18" i="53"/>
  <c r="K18" i="53"/>
  <c r="U524" i="58" s="1"/>
  <c r="J18" i="53"/>
  <c r="W24" i="44"/>
  <c r="U399" i="58" s="1"/>
  <c r="V24" i="44"/>
  <c r="AI16" i="53"/>
  <c r="AH16" i="53"/>
  <c r="T561" i="58" s="1"/>
  <c r="W12" i="44"/>
  <c r="V12" i="44"/>
  <c r="J15" i="53"/>
  <c r="T522" i="58" s="1"/>
  <c r="K15" i="53"/>
  <c r="U522" i="58" s="1"/>
  <c r="AI24" i="46"/>
  <c r="U502" i="58" s="1"/>
  <c r="AH24" i="46"/>
  <c r="W30" i="46"/>
  <c r="U480" i="58" s="1"/>
  <c r="V30" i="46"/>
  <c r="AI21" i="53"/>
  <c r="AH21" i="53"/>
  <c r="T565" i="58" s="1"/>
  <c r="K29" i="46"/>
  <c r="U452" i="58" s="1"/>
  <c r="J29" i="46"/>
  <c r="T452" i="58" s="1"/>
  <c r="K11" i="46"/>
  <c r="U438" i="58" s="1"/>
  <c r="J11" i="46"/>
  <c r="T438" i="58" s="1"/>
  <c r="AI26" i="46"/>
  <c r="AH26" i="46"/>
  <c r="AI10" i="53"/>
  <c r="AH10" i="53"/>
  <c r="AI13" i="44"/>
  <c r="AH13" i="44"/>
  <c r="W12" i="46"/>
  <c r="V12" i="46"/>
  <c r="T466" i="58" s="1"/>
  <c r="W14" i="44"/>
  <c r="V14" i="44"/>
  <c r="AH29" i="46"/>
  <c r="AI29" i="46"/>
  <c r="AI11" i="46"/>
  <c r="AH11" i="46"/>
  <c r="K14" i="44"/>
  <c r="U363" i="58" s="1"/>
  <c r="J14" i="44"/>
  <c r="T363" i="58" s="1"/>
  <c r="W26" i="46"/>
  <c r="U477" i="58" s="1"/>
  <c r="V26" i="46"/>
  <c r="W11" i="53"/>
  <c r="V11" i="53"/>
  <c r="AI18" i="53"/>
  <c r="U562" i="58" s="1"/>
  <c r="AH18" i="53"/>
  <c r="K10" i="53"/>
  <c r="U518" i="58" s="1"/>
  <c r="J10" i="53"/>
  <c r="T518" i="58" s="1"/>
  <c r="W16" i="53"/>
  <c r="V16" i="53"/>
  <c r="K30" i="46"/>
  <c r="J30" i="46"/>
  <c r="T453" i="58" s="1"/>
  <c r="K21" i="53"/>
  <c r="J21" i="53"/>
  <c r="T527" i="58" s="1"/>
  <c r="W19" i="53"/>
  <c r="V19" i="53"/>
  <c r="K25" i="46"/>
  <c r="U449" i="58" s="1"/>
  <c r="J25" i="46"/>
  <c r="T449" i="58" s="1"/>
  <c r="W14" i="46"/>
  <c r="V14" i="46"/>
  <c r="W20" i="44"/>
  <c r="V20" i="44"/>
  <c r="AI30" i="46"/>
  <c r="AH30" i="46"/>
  <c r="J12" i="46"/>
  <c r="T439" i="58" s="1"/>
  <c r="K12" i="46"/>
  <c r="W29" i="46"/>
  <c r="U479" i="58" s="1"/>
  <c r="V29" i="46"/>
  <c r="W11" i="44"/>
  <c r="V11" i="44"/>
  <c r="AI25" i="46"/>
  <c r="AH25" i="46"/>
  <c r="W13" i="44"/>
  <c r="U388" i="58" s="1"/>
  <c r="V13" i="44"/>
  <c r="K11" i="53"/>
  <c r="U519" i="58" s="1"/>
  <c r="J11" i="53"/>
  <c r="T519" i="58" s="1"/>
  <c r="K11" i="44"/>
  <c r="U360" i="58" s="1"/>
  <c r="J11" i="44"/>
  <c r="T360" i="58" s="1"/>
  <c r="K12" i="44"/>
  <c r="U361" i="58" s="1"/>
  <c r="J12" i="44"/>
  <c r="T361" i="58" s="1"/>
  <c r="U475" i="58"/>
  <c r="V24" i="46"/>
  <c r="AH15" i="53"/>
  <c r="AI15" i="53"/>
  <c r="AI12" i="46"/>
  <c r="AH12" i="46"/>
  <c r="K19" i="44"/>
  <c r="U368" i="58" s="1"/>
  <c r="J19" i="44"/>
  <c r="T368" i="58" s="1"/>
  <c r="W12" i="53"/>
  <c r="V12" i="53"/>
  <c r="AI12" i="44"/>
  <c r="AH12" i="44"/>
  <c r="K24" i="44"/>
  <c r="U373" i="58" s="1"/>
  <c r="J24" i="44"/>
  <c r="T373" i="58" s="1"/>
  <c r="W21" i="53"/>
  <c r="V21" i="53"/>
  <c r="V15" i="53"/>
  <c r="W15" i="53"/>
  <c r="W19" i="44"/>
  <c r="V19" i="44"/>
  <c r="AI11" i="53"/>
  <c r="AH11" i="53"/>
  <c r="K19" i="53"/>
  <c r="J19" i="53"/>
  <c r="K20" i="44"/>
  <c r="U369" i="58" s="1"/>
  <c r="J20" i="44"/>
  <c r="T369" i="58" s="1"/>
  <c r="AI12" i="53"/>
  <c r="U558" i="58" s="1"/>
  <c r="AH12" i="53"/>
  <c r="AI11" i="44"/>
  <c r="AH11" i="44"/>
  <c r="D41" i="2"/>
  <c r="D44" i="2"/>
  <c r="D58" i="2"/>
  <c r="P117" i="58"/>
  <c r="N117" i="58"/>
  <c r="P188" i="58"/>
  <c r="N188" i="58"/>
  <c r="N381" i="58"/>
  <c r="P381" i="58"/>
  <c r="N290" i="58"/>
  <c r="N387" i="58"/>
  <c r="N295" i="58"/>
  <c r="P295" i="58"/>
  <c r="P80" i="58"/>
  <c r="N80" i="58"/>
  <c r="N398" i="58"/>
  <c r="P398" i="58"/>
  <c r="N348" i="58"/>
  <c r="P348" i="58"/>
  <c r="P109" i="58"/>
  <c r="N109" i="58"/>
  <c r="N570" i="58"/>
  <c r="P570" i="58"/>
  <c r="P33" i="58"/>
  <c r="N33" i="58"/>
  <c r="N365" i="58"/>
  <c r="P365" i="58"/>
  <c r="P194" i="58"/>
  <c r="N194" i="58"/>
  <c r="N157" i="58"/>
  <c r="P157" i="58"/>
  <c r="N379" i="58"/>
  <c r="P379" i="58"/>
  <c r="N359" i="58"/>
  <c r="P359" i="58"/>
  <c r="P145" i="58"/>
  <c r="N145" i="58"/>
  <c r="N368" i="58"/>
  <c r="P167" i="58"/>
  <c r="N167" i="58"/>
  <c r="P135" i="58"/>
  <c r="N135" i="58"/>
  <c r="N197" i="58"/>
  <c r="P197" i="58"/>
  <c r="N366" i="58"/>
  <c r="P366" i="58"/>
  <c r="N323" i="58"/>
  <c r="P323" i="58"/>
  <c r="N535" i="58"/>
  <c r="P535" i="58"/>
  <c r="P98" i="58"/>
  <c r="N98" i="58"/>
  <c r="N500" i="58"/>
  <c r="P500" i="58"/>
  <c r="N294" i="58"/>
  <c r="P294" i="58"/>
  <c r="P3" i="58"/>
  <c r="N3" i="58"/>
  <c r="N383" i="58"/>
  <c r="P383" i="58"/>
  <c r="P4" i="58"/>
  <c r="N4" i="58"/>
  <c r="P51" i="58"/>
  <c r="N51" i="58"/>
  <c r="P83" i="58"/>
  <c r="N83" i="58"/>
  <c r="N418" i="58"/>
  <c r="P418" i="58"/>
  <c r="P14" i="58"/>
  <c r="N14" i="58"/>
  <c r="N395" i="58"/>
  <c r="N494" i="58"/>
  <c r="P494" i="58"/>
  <c r="N464" i="58"/>
  <c r="P464" i="58"/>
  <c r="N299" i="58"/>
  <c r="P299" i="58"/>
  <c r="P5" i="58"/>
  <c r="N5" i="58"/>
  <c r="N539" i="58"/>
  <c r="N424" i="58"/>
  <c r="P424" i="58"/>
  <c r="N354" i="58"/>
  <c r="P354" i="58"/>
  <c r="P52" i="58"/>
  <c r="N52" i="58"/>
  <c r="P84" i="58"/>
  <c r="N84" i="58"/>
  <c r="N414" i="58"/>
  <c r="N388" i="58"/>
  <c r="N496" i="58"/>
  <c r="P496" i="58"/>
  <c r="N504" i="58"/>
  <c r="N321" i="58"/>
  <c r="P321" i="58"/>
  <c r="N426" i="58"/>
  <c r="N401" i="58"/>
  <c r="P401" i="58"/>
  <c r="N541" i="58"/>
  <c r="N351" i="58"/>
  <c r="P351" i="58"/>
  <c r="P49" i="58"/>
  <c r="N49" i="58"/>
  <c r="P81" i="58"/>
  <c r="N81" i="58"/>
  <c r="N402" i="58"/>
  <c r="P402" i="58"/>
  <c r="N389" i="58"/>
  <c r="N498" i="58"/>
  <c r="P498" i="58"/>
  <c r="N483" i="58"/>
  <c r="P483" i="58"/>
  <c r="N313" i="58"/>
  <c r="P313" i="58"/>
  <c r="N390" i="58"/>
  <c r="P390" i="58"/>
  <c r="P86" i="58"/>
  <c r="N86" i="58"/>
  <c r="P112" i="58"/>
  <c r="N112" i="58"/>
  <c r="N138" i="58"/>
  <c r="P138" i="58"/>
  <c r="N187" i="58"/>
  <c r="P187" i="58"/>
  <c r="P139" i="58"/>
  <c r="N139" i="58"/>
  <c r="P195" i="58"/>
  <c r="N195" i="58"/>
  <c r="P152" i="58"/>
  <c r="N152" i="58"/>
  <c r="N372" i="58"/>
  <c r="P372" i="58"/>
  <c r="N162" i="58"/>
  <c r="P162" i="58"/>
  <c r="N164" i="58"/>
  <c r="P164" i="58"/>
  <c r="N360" i="58"/>
  <c r="N200" i="58"/>
  <c r="P200" i="58"/>
  <c r="N361" i="58"/>
  <c r="N201" i="58"/>
  <c r="P201" i="58"/>
  <c r="N160" i="58"/>
  <c r="P160" i="58"/>
  <c r="P111" i="58"/>
  <c r="N111" i="58"/>
  <c r="N380" i="58"/>
  <c r="P380" i="58"/>
  <c r="P153" i="58"/>
  <c r="N153" i="58"/>
  <c r="P119" i="58"/>
  <c r="N119" i="58"/>
  <c r="N175" i="58"/>
  <c r="P175" i="58"/>
  <c r="N357" i="58"/>
  <c r="P357" i="58"/>
  <c r="N116" i="58"/>
  <c r="P116" i="58"/>
  <c r="N375" i="58"/>
  <c r="P375" i="58"/>
  <c r="N148" i="58"/>
  <c r="P148" i="58"/>
  <c r="P324" i="58"/>
  <c r="N324" i="58"/>
  <c r="N563" i="58"/>
  <c r="P102" i="58"/>
  <c r="N102" i="58"/>
  <c r="N508" i="58"/>
  <c r="P508" i="58"/>
  <c r="N298" i="58"/>
  <c r="P11" i="58"/>
  <c r="N11" i="58"/>
  <c r="N399" i="58"/>
  <c r="N546" i="58"/>
  <c r="P12" i="58"/>
  <c r="N12" i="58"/>
  <c r="P55" i="58"/>
  <c r="N55" i="58"/>
  <c r="P87" i="58"/>
  <c r="N87" i="58"/>
  <c r="N476" i="58"/>
  <c r="P42" i="58"/>
  <c r="N42" i="58"/>
  <c r="N403" i="58"/>
  <c r="P403" i="58"/>
  <c r="N509" i="58"/>
  <c r="P509" i="58"/>
  <c r="N303" i="58"/>
  <c r="P303" i="58"/>
  <c r="P13" i="58"/>
  <c r="N13" i="58"/>
  <c r="N567" i="58"/>
  <c r="N432" i="58"/>
  <c r="P432" i="58"/>
  <c r="P6" i="58"/>
  <c r="N6" i="58"/>
  <c r="P56" i="58"/>
  <c r="N56" i="58"/>
  <c r="P88" i="58"/>
  <c r="N88" i="58"/>
  <c r="N484" i="58"/>
  <c r="P484" i="58"/>
  <c r="N396" i="58"/>
  <c r="P396" i="58"/>
  <c r="N511" i="58"/>
  <c r="N512" i="58"/>
  <c r="N292" i="58"/>
  <c r="P292" i="58"/>
  <c r="N325" i="58"/>
  <c r="P325" i="58"/>
  <c r="N409" i="58"/>
  <c r="P409" i="58"/>
  <c r="N548" i="58"/>
  <c r="P548" i="58"/>
  <c r="N355" i="58"/>
  <c r="P53" i="58"/>
  <c r="N53" i="58"/>
  <c r="P85" i="58"/>
  <c r="N85" i="58"/>
  <c r="N430" i="58"/>
  <c r="P430" i="58"/>
  <c r="N397" i="58"/>
  <c r="P397" i="58"/>
  <c r="N513" i="58"/>
  <c r="P513" i="58"/>
  <c r="N491" i="58"/>
  <c r="P491" i="58"/>
  <c r="N317" i="58"/>
  <c r="P317" i="58"/>
  <c r="N391" i="58"/>
  <c r="P391" i="58"/>
  <c r="N149" i="58"/>
  <c r="P149" i="58"/>
  <c r="N371" i="58"/>
  <c r="P371" i="58"/>
  <c r="N358" i="58"/>
  <c r="P358" i="58"/>
  <c r="P47" i="58"/>
  <c r="N47" i="58"/>
  <c r="N568" i="58"/>
  <c r="N408" i="58"/>
  <c r="N356" i="58"/>
  <c r="P356" i="58"/>
  <c r="P45" i="58"/>
  <c r="N45" i="58"/>
  <c r="P22" i="58"/>
  <c r="N22" i="58"/>
  <c r="N475" i="58"/>
  <c r="N309" i="58"/>
  <c r="P309" i="58"/>
  <c r="N131" i="58"/>
  <c r="P131" i="58"/>
  <c r="N170" i="58"/>
  <c r="P170" i="58"/>
  <c r="N369" i="58"/>
  <c r="P142" i="58"/>
  <c r="N142" i="58"/>
  <c r="N370" i="58"/>
  <c r="P370" i="58"/>
  <c r="N143" i="58"/>
  <c r="P143" i="58"/>
  <c r="N124" i="58"/>
  <c r="P124" i="58"/>
  <c r="P165" i="58"/>
  <c r="N165" i="58"/>
  <c r="P113" i="58"/>
  <c r="N113" i="58"/>
  <c r="N183" i="58"/>
  <c r="P183" i="58"/>
  <c r="N374" i="58"/>
  <c r="P374" i="58"/>
  <c r="P147" i="58"/>
  <c r="N147" i="58"/>
  <c r="N376" i="58"/>
  <c r="P376" i="58"/>
  <c r="N156" i="58"/>
  <c r="P156" i="58"/>
  <c r="P106" i="58"/>
  <c r="N106" i="58"/>
  <c r="N302" i="58"/>
  <c r="P302" i="58"/>
  <c r="P15" i="58"/>
  <c r="N15" i="58"/>
  <c r="N331" i="58"/>
  <c r="P331" i="58"/>
  <c r="N411" i="58"/>
  <c r="N558" i="58"/>
  <c r="P16" i="58"/>
  <c r="N16" i="58"/>
  <c r="P59" i="58"/>
  <c r="N59" i="58"/>
  <c r="P91" i="58"/>
  <c r="N91" i="58"/>
  <c r="N542" i="58"/>
  <c r="P50" i="58"/>
  <c r="N50" i="58"/>
  <c r="N407" i="58"/>
  <c r="P407" i="58"/>
  <c r="N536" i="58"/>
  <c r="P536" i="58"/>
  <c r="N479" i="58"/>
  <c r="N307" i="58"/>
  <c r="P307" i="58"/>
  <c r="P17" i="58"/>
  <c r="N17" i="58"/>
  <c r="N569" i="58"/>
  <c r="P569" i="58"/>
  <c r="N329" i="58"/>
  <c r="P329" i="58"/>
  <c r="P26" i="58"/>
  <c r="N26" i="58"/>
  <c r="P60" i="58"/>
  <c r="N60" i="58"/>
  <c r="P92" i="58"/>
  <c r="N92" i="58"/>
  <c r="N545" i="58"/>
  <c r="P545" i="58"/>
  <c r="N404" i="58"/>
  <c r="P404" i="58"/>
  <c r="N296" i="58"/>
  <c r="P296" i="58"/>
  <c r="N549" i="58"/>
  <c r="P549" i="58"/>
  <c r="N425" i="58"/>
  <c r="P8" i="58"/>
  <c r="N8" i="58"/>
  <c r="P57" i="58"/>
  <c r="N57" i="58"/>
  <c r="N89" i="58"/>
  <c r="P89" i="58"/>
  <c r="N507" i="58"/>
  <c r="N405" i="58"/>
  <c r="P405" i="58"/>
  <c r="N538" i="58"/>
  <c r="N416" i="58"/>
  <c r="P416" i="58"/>
  <c r="N141" i="58"/>
  <c r="P141" i="58"/>
  <c r="P132" i="58"/>
  <c r="N132" i="58"/>
  <c r="N133" i="58"/>
  <c r="P133" i="58"/>
  <c r="P202" i="58"/>
  <c r="N202" i="58"/>
  <c r="N154" i="58"/>
  <c r="P154" i="58"/>
  <c r="P82" i="58"/>
  <c r="N82" i="58"/>
  <c r="N394" i="58"/>
  <c r="N328" i="58"/>
  <c r="P48" i="58"/>
  <c r="N48" i="58"/>
  <c r="N480" i="58"/>
  <c r="N316" i="58"/>
  <c r="P316" i="58"/>
  <c r="P77" i="58"/>
  <c r="N77" i="58"/>
  <c r="N482" i="58"/>
  <c r="P482" i="58"/>
  <c r="N163" i="58"/>
  <c r="P163" i="58"/>
  <c r="P178" i="58"/>
  <c r="N178" i="58"/>
  <c r="N377" i="58"/>
  <c r="P377" i="58"/>
  <c r="N150" i="58"/>
  <c r="P150" i="58"/>
  <c r="N378" i="58"/>
  <c r="P378" i="58"/>
  <c r="N151" i="58"/>
  <c r="P151" i="58"/>
  <c r="P173" i="58"/>
  <c r="N173" i="58"/>
  <c r="P120" i="58"/>
  <c r="N120" i="58"/>
  <c r="P166" i="58"/>
  <c r="N166" i="58"/>
  <c r="P121" i="58"/>
  <c r="N121" i="58"/>
  <c r="N191" i="58"/>
  <c r="P191" i="58"/>
  <c r="P155" i="58"/>
  <c r="N155" i="58"/>
  <c r="N122" i="58"/>
  <c r="P122" i="58"/>
  <c r="N169" i="58"/>
  <c r="P169" i="58"/>
  <c r="N462" i="58"/>
  <c r="P462" i="58"/>
  <c r="N306" i="58"/>
  <c r="P23" i="58"/>
  <c r="N23" i="58"/>
  <c r="P349" i="58"/>
  <c r="N349" i="58"/>
  <c r="N564" i="58"/>
  <c r="P24" i="58"/>
  <c r="N24" i="58"/>
  <c r="P63" i="58"/>
  <c r="N63" i="58"/>
  <c r="P95" i="58"/>
  <c r="N95" i="58"/>
  <c r="N557" i="58"/>
  <c r="P58" i="58"/>
  <c r="N58" i="58"/>
  <c r="N415" i="58"/>
  <c r="N487" i="58"/>
  <c r="P487" i="58"/>
  <c r="N311" i="58"/>
  <c r="P311" i="58"/>
  <c r="P25" i="58"/>
  <c r="N25" i="58"/>
  <c r="P10" i="58"/>
  <c r="N10" i="58"/>
  <c r="N488" i="58"/>
  <c r="P488" i="58"/>
  <c r="P18" i="58"/>
  <c r="N18" i="58"/>
  <c r="P64" i="58"/>
  <c r="N64" i="58"/>
  <c r="P96" i="58"/>
  <c r="N96" i="58"/>
  <c r="N571" i="58"/>
  <c r="N412" i="58"/>
  <c r="N547" i="58"/>
  <c r="P547" i="58"/>
  <c r="N466" i="58"/>
  <c r="N300" i="58"/>
  <c r="P300" i="58"/>
  <c r="N433" i="58"/>
  <c r="P433" i="58"/>
  <c r="N566" i="58"/>
  <c r="P566" i="58"/>
  <c r="P330" i="58"/>
  <c r="N330" i="58"/>
  <c r="P28" i="58"/>
  <c r="N28" i="58"/>
  <c r="P61" i="58"/>
  <c r="N61" i="58"/>
  <c r="P93" i="58"/>
  <c r="N93" i="58"/>
  <c r="N560" i="58"/>
  <c r="N413" i="58"/>
  <c r="N544" i="58"/>
  <c r="N506" i="58"/>
  <c r="N293" i="58"/>
  <c r="P293" i="58"/>
  <c r="N417" i="58"/>
  <c r="P417" i="58"/>
  <c r="P172" i="58"/>
  <c r="N172" i="58"/>
  <c r="P179" i="58"/>
  <c r="N179" i="58"/>
  <c r="N363" i="58"/>
  <c r="N461" i="58"/>
  <c r="P461" i="58"/>
  <c r="N553" i="58"/>
  <c r="P553" i="58"/>
  <c r="N478" i="58"/>
  <c r="P478" i="58"/>
  <c r="N469" i="58"/>
  <c r="P469" i="58"/>
  <c r="N386" i="58"/>
  <c r="N497" i="58"/>
  <c r="N193" i="58"/>
  <c r="P193" i="58"/>
  <c r="N186" i="58"/>
  <c r="P158" i="58"/>
  <c r="N158" i="58"/>
  <c r="N125" i="58"/>
  <c r="P125" i="58"/>
  <c r="N159" i="58"/>
  <c r="P127" i="58"/>
  <c r="N127" i="58"/>
  <c r="P181" i="58"/>
  <c r="N181" i="58"/>
  <c r="N128" i="58"/>
  <c r="P128" i="58"/>
  <c r="P174" i="58"/>
  <c r="N174" i="58"/>
  <c r="P129" i="58"/>
  <c r="N129" i="58"/>
  <c r="N196" i="58"/>
  <c r="P196" i="58"/>
  <c r="P168" i="58"/>
  <c r="N168" i="58"/>
  <c r="N115" i="58"/>
  <c r="P115" i="58"/>
  <c r="N177" i="58"/>
  <c r="P177" i="58"/>
  <c r="P34" i="58"/>
  <c r="N34" i="58"/>
  <c r="N470" i="58"/>
  <c r="P470" i="58"/>
  <c r="N310" i="58"/>
  <c r="P310" i="58"/>
  <c r="P35" i="58"/>
  <c r="N35" i="58"/>
  <c r="P38" i="58"/>
  <c r="N38" i="58"/>
  <c r="N427" i="58"/>
  <c r="P427" i="58"/>
  <c r="P36" i="58"/>
  <c r="N36" i="58"/>
  <c r="P67" i="58"/>
  <c r="N67" i="58"/>
  <c r="P99" i="58"/>
  <c r="N99" i="58"/>
  <c r="P70" i="58"/>
  <c r="N70" i="58"/>
  <c r="N423" i="58"/>
  <c r="P423" i="58"/>
  <c r="N550" i="58"/>
  <c r="P550" i="58"/>
  <c r="N495" i="58"/>
  <c r="N315" i="58"/>
  <c r="P315" i="58"/>
  <c r="P37" i="58"/>
  <c r="N37" i="58"/>
  <c r="N384" i="58"/>
  <c r="P384" i="58"/>
  <c r="N503" i="58"/>
  <c r="N340" i="58"/>
  <c r="P340" i="58"/>
  <c r="P30" i="58"/>
  <c r="N30" i="58"/>
  <c r="P68" i="58"/>
  <c r="N68" i="58"/>
  <c r="P100" i="58"/>
  <c r="N100" i="58"/>
  <c r="N420" i="58"/>
  <c r="N555" i="58"/>
  <c r="P555" i="58"/>
  <c r="N473" i="58"/>
  <c r="P473" i="58"/>
  <c r="N304" i="58"/>
  <c r="P304" i="58"/>
  <c r="P27" i="58"/>
  <c r="N27" i="58"/>
  <c r="P20" i="58"/>
  <c r="N20" i="58"/>
  <c r="P65" i="58"/>
  <c r="N65" i="58"/>
  <c r="N97" i="58"/>
  <c r="P97" i="58"/>
  <c r="N421" i="58"/>
  <c r="N552" i="58"/>
  <c r="P552" i="58"/>
  <c r="N514" i="58"/>
  <c r="P514" i="58"/>
  <c r="N297" i="58"/>
  <c r="P297" i="58"/>
  <c r="P9" i="58"/>
  <c r="N9" i="58"/>
  <c r="P74" i="58"/>
  <c r="N74" i="58"/>
  <c r="N493" i="58"/>
  <c r="P79" i="58"/>
  <c r="N79" i="58"/>
  <c r="N551" i="58"/>
  <c r="P551" i="58"/>
  <c r="P199" i="58"/>
  <c r="N199" i="58"/>
  <c r="P140" i="58"/>
  <c r="N140" i="58"/>
  <c r="P189" i="58"/>
  <c r="N189" i="58"/>
  <c r="P182" i="58"/>
  <c r="N182" i="58"/>
  <c r="P134" i="58"/>
  <c r="N134" i="58"/>
  <c r="N137" i="58"/>
  <c r="P137" i="58"/>
  <c r="N176" i="58"/>
  <c r="P176" i="58"/>
  <c r="N123" i="58"/>
  <c r="P123" i="58"/>
  <c r="N185" i="58"/>
  <c r="P185" i="58"/>
  <c r="P46" i="58"/>
  <c r="N46" i="58"/>
  <c r="N477" i="58"/>
  <c r="N314" i="58"/>
  <c r="N422" i="58"/>
  <c r="P54" i="58"/>
  <c r="N54" i="58"/>
  <c r="N471" i="58"/>
  <c r="P346" i="58"/>
  <c r="N346" i="58"/>
  <c r="P39" i="58"/>
  <c r="N39" i="58"/>
  <c r="P71" i="58"/>
  <c r="N71" i="58"/>
  <c r="P103" i="58"/>
  <c r="N103" i="58"/>
  <c r="P78" i="58"/>
  <c r="N78" i="58"/>
  <c r="N431" i="58"/>
  <c r="P431" i="58"/>
  <c r="N554" i="58"/>
  <c r="P554" i="58"/>
  <c r="N502" i="58"/>
  <c r="N320" i="58"/>
  <c r="P320" i="58"/>
  <c r="N382" i="58"/>
  <c r="P382" i="58"/>
  <c r="N392" i="58"/>
  <c r="P392" i="58"/>
  <c r="N537" i="58"/>
  <c r="N343" i="58"/>
  <c r="P343" i="58"/>
  <c r="P40" i="58"/>
  <c r="N40" i="58"/>
  <c r="P72" i="58"/>
  <c r="N72" i="58"/>
  <c r="P104" i="58"/>
  <c r="N104" i="58"/>
  <c r="N327" i="58"/>
  <c r="N428" i="58"/>
  <c r="P428" i="58"/>
  <c r="N565" i="58"/>
  <c r="N481" i="58"/>
  <c r="P481" i="58"/>
  <c r="N308" i="58"/>
  <c r="P308" i="58"/>
  <c r="P19" i="58"/>
  <c r="N19" i="58"/>
  <c r="P2" i="58"/>
  <c r="N2" i="58"/>
  <c r="N490" i="58"/>
  <c r="P490" i="58"/>
  <c r="N341" i="58"/>
  <c r="P341" i="58"/>
  <c r="P32" i="58"/>
  <c r="N32" i="58"/>
  <c r="P69" i="58"/>
  <c r="N69" i="58"/>
  <c r="P101" i="58"/>
  <c r="N101" i="58"/>
  <c r="N429" i="58"/>
  <c r="N556" i="58"/>
  <c r="N301" i="58"/>
  <c r="P301" i="58"/>
  <c r="P29" i="58"/>
  <c r="N29" i="58"/>
  <c r="N318" i="58"/>
  <c r="P318" i="58"/>
  <c r="N289" i="58"/>
  <c r="P289" i="58"/>
  <c r="N144" i="58"/>
  <c r="P144" i="58"/>
  <c r="P94" i="58"/>
  <c r="N94" i="58"/>
  <c r="N342" i="58"/>
  <c r="P342" i="58"/>
  <c r="N118" i="58"/>
  <c r="P118" i="58"/>
  <c r="N171" i="58"/>
  <c r="P171" i="58"/>
  <c r="P126" i="58"/>
  <c r="N126" i="58"/>
  <c r="P180" i="58"/>
  <c r="N180" i="58"/>
  <c r="N362" i="58"/>
  <c r="T110" i="58"/>
  <c r="P110" i="58"/>
  <c r="N110" i="58"/>
  <c r="P190" i="58"/>
  <c r="N190" i="58"/>
  <c r="N373" i="58"/>
  <c r="P146" i="58"/>
  <c r="N146" i="58"/>
  <c r="N114" i="58"/>
  <c r="P114" i="58"/>
  <c r="P184" i="58"/>
  <c r="N184" i="58"/>
  <c r="N136" i="58"/>
  <c r="P136" i="58"/>
  <c r="P198" i="58"/>
  <c r="N198" i="58"/>
  <c r="N406" i="58"/>
  <c r="P406" i="58"/>
  <c r="P62" i="58"/>
  <c r="N62" i="58"/>
  <c r="N485" i="58"/>
  <c r="P485" i="58"/>
  <c r="N319" i="58"/>
  <c r="N492" i="58"/>
  <c r="P66" i="58"/>
  <c r="N66" i="58"/>
  <c r="N486" i="58"/>
  <c r="P486" i="58"/>
  <c r="N350" i="58"/>
  <c r="P350" i="58"/>
  <c r="P43" i="58"/>
  <c r="N43" i="58"/>
  <c r="P75" i="58"/>
  <c r="N75" i="58"/>
  <c r="P107" i="58"/>
  <c r="N107" i="58"/>
  <c r="P90" i="58"/>
  <c r="N90" i="58"/>
  <c r="N463" i="58"/>
  <c r="P463" i="58"/>
  <c r="N561" i="58"/>
  <c r="N510" i="58"/>
  <c r="P510" i="58"/>
  <c r="N291" i="58"/>
  <c r="P291" i="58"/>
  <c r="N410" i="58"/>
  <c r="P410" i="58"/>
  <c r="N400" i="58"/>
  <c r="N543" i="58"/>
  <c r="N347" i="58"/>
  <c r="P347" i="58"/>
  <c r="P44" i="58"/>
  <c r="N44" i="58"/>
  <c r="P76" i="58"/>
  <c r="N76" i="58"/>
  <c r="P108" i="58"/>
  <c r="N108" i="58"/>
  <c r="P352" i="58"/>
  <c r="N352" i="58"/>
  <c r="N465" i="58"/>
  <c r="N489" i="58"/>
  <c r="P489" i="58"/>
  <c r="N312" i="58"/>
  <c r="P312" i="58"/>
  <c r="P31" i="58"/>
  <c r="N31" i="58"/>
  <c r="N385" i="58"/>
  <c r="P385" i="58"/>
  <c r="N505" i="58"/>
  <c r="P505" i="58"/>
  <c r="N344" i="58"/>
  <c r="P344" i="58"/>
  <c r="P41" i="58"/>
  <c r="N41" i="58"/>
  <c r="P73" i="58"/>
  <c r="N73" i="58"/>
  <c r="N105" i="58"/>
  <c r="P105" i="58"/>
  <c r="N467" i="58"/>
  <c r="P467" i="58"/>
  <c r="N562" i="58"/>
  <c r="N468" i="58"/>
  <c r="N305" i="58"/>
  <c r="P305" i="58"/>
  <c r="P21" i="58"/>
  <c r="N21" i="58"/>
  <c r="N364" i="58"/>
  <c r="P364" i="58"/>
  <c r="N246" i="58"/>
  <c r="P517" i="58"/>
  <c r="P532" i="58"/>
  <c r="P530" i="58"/>
  <c r="P516" i="58"/>
  <c r="P515" i="58"/>
  <c r="P531" i="58"/>
  <c r="P528" i="58"/>
  <c r="P529" i="58"/>
  <c r="P533" i="58"/>
  <c r="P333" i="58"/>
  <c r="P334" i="58"/>
  <c r="P336" i="58"/>
  <c r="P338" i="58"/>
  <c r="P339" i="58"/>
  <c r="P335" i="58"/>
  <c r="P332" i="58"/>
  <c r="P248" i="58"/>
  <c r="P247" i="58"/>
  <c r="P281" i="58"/>
  <c r="P237" i="58"/>
  <c r="P205" i="58"/>
  <c r="P204" i="58"/>
  <c r="P203" i="58"/>
  <c r="P239" i="58"/>
  <c r="P446" i="58"/>
  <c r="P30" i="2"/>
  <c r="P7" i="2"/>
  <c r="N27" i="2"/>
  <c r="N7" i="2"/>
  <c r="N30" i="2"/>
  <c r="C21" i="2"/>
  <c r="C17" i="2"/>
  <c r="D17" i="2" s="1"/>
  <c r="C29" i="2"/>
  <c r="C13" i="2"/>
  <c r="C9" i="2"/>
  <c r="R6" i="2"/>
  <c r="X9" i="65" l="1"/>
  <c r="R719" i="58" s="1"/>
  <c r="X8" i="65"/>
  <c r="R718" i="58" s="1"/>
  <c r="X42" i="65"/>
  <c r="R748" i="58" s="1"/>
  <c r="X11" i="65"/>
  <c r="R721" i="58" s="1"/>
  <c r="F29" i="65"/>
  <c r="R671" i="58" s="1"/>
  <c r="O9" i="65"/>
  <c r="R686" i="58" s="1"/>
  <c r="X31" i="65"/>
  <c r="R739" i="58" s="1"/>
  <c r="O18" i="65"/>
  <c r="R695" i="58" s="1"/>
  <c r="O10" i="65"/>
  <c r="R687" i="58" s="1"/>
  <c r="O30" i="65"/>
  <c r="R705" i="58" s="1"/>
  <c r="O7" i="65"/>
  <c r="R684" i="58" s="1"/>
  <c r="F32" i="65"/>
  <c r="R674" i="58" s="1"/>
  <c r="X40" i="65"/>
  <c r="R746" i="58" s="1"/>
  <c r="F40" i="65"/>
  <c r="R680" i="58" s="1"/>
  <c r="X32" i="65"/>
  <c r="R740" i="58" s="1"/>
  <c r="T746" i="58"/>
  <c r="O26" i="65"/>
  <c r="R701" i="58" s="1"/>
  <c r="X26" i="65"/>
  <c r="R734" i="58" s="1"/>
  <c r="X30" i="65"/>
  <c r="R738" i="58" s="1"/>
  <c r="F33" i="65"/>
  <c r="R675" i="58" s="1"/>
  <c r="X41" i="65"/>
  <c r="R747" i="58" s="1"/>
  <c r="F8" i="65"/>
  <c r="R652" i="58" s="1"/>
  <c r="O31" i="65"/>
  <c r="R706" i="58" s="1"/>
  <c r="O38" i="65"/>
  <c r="R711" i="58" s="1"/>
  <c r="X6" i="65"/>
  <c r="R716" i="58" s="1"/>
  <c r="F37" i="65"/>
  <c r="R677" i="58" s="1"/>
  <c r="T721" i="58"/>
  <c r="F39" i="65"/>
  <c r="R679" i="58" s="1"/>
  <c r="T718" i="58"/>
  <c r="O8" i="65"/>
  <c r="R685" i="58" s="1"/>
  <c r="T675" i="58"/>
  <c r="O16" i="65"/>
  <c r="R693" i="58" s="1"/>
  <c r="X37" i="65"/>
  <c r="R743" i="58" s="1"/>
  <c r="T738" i="58"/>
  <c r="O6" i="65"/>
  <c r="R683" i="58" s="1"/>
  <c r="O42" i="65"/>
  <c r="R715" i="58" s="1"/>
  <c r="T687" i="58"/>
  <c r="O19" i="65"/>
  <c r="R696" i="58" s="1"/>
  <c r="T683" i="58"/>
  <c r="X34" i="65"/>
  <c r="R742" i="58" s="1"/>
  <c r="O14" i="65"/>
  <c r="R691" i="58" s="1"/>
  <c r="O13" i="65"/>
  <c r="R690" i="58" s="1"/>
  <c r="F30" i="65"/>
  <c r="R672" i="58" s="1"/>
  <c r="O33" i="65"/>
  <c r="R708" i="58" s="1"/>
  <c r="T652" i="58"/>
  <c r="F13" i="65"/>
  <c r="R657" i="58" s="1"/>
  <c r="F25" i="65"/>
  <c r="R667" i="58" s="1"/>
  <c r="F26" i="65"/>
  <c r="R668" i="58" s="1"/>
  <c r="T711" i="58"/>
  <c r="F22" i="65"/>
  <c r="R666" i="58" s="1"/>
  <c r="F6" i="65"/>
  <c r="R650" i="58" s="1"/>
  <c r="X15" i="65"/>
  <c r="R725" i="58" s="1"/>
  <c r="X18" i="65"/>
  <c r="R728" i="58" s="1"/>
  <c r="X33" i="65"/>
  <c r="R741" i="58" s="1"/>
  <c r="X29" i="65"/>
  <c r="R737" i="58" s="1"/>
  <c r="X20" i="65"/>
  <c r="R730" i="58" s="1"/>
  <c r="F21" i="65"/>
  <c r="R665" i="58" s="1"/>
  <c r="O11" i="65"/>
  <c r="R688" i="58" s="1"/>
  <c r="X38" i="65"/>
  <c r="R744" i="58" s="1"/>
  <c r="T705" i="58"/>
  <c r="F14" i="65"/>
  <c r="R658" i="58" s="1"/>
  <c r="F12" i="65"/>
  <c r="R656" i="58" s="1"/>
  <c r="F28" i="65"/>
  <c r="R670" i="58" s="1"/>
  <c r="O32" i="65"/>
  <c r="R707" i="58" s="1"/>
  <c r="O12" i="65"/>
  <c r="R689" i="58" s="1"/>
  <c r="F9" i="65"/>
  <c r="R653" i="58" s="1"/>
  <c r="T684" i="58"/>
  <c r="F15" i="65"/>
  <c r="R659" i="58" s="1"/>
  <c r="F17" i="65"/>
  <c r="R661" i="58" s="1"/>
  <c r="X17" i="65"/>
  <c r="R727" i="58" s="1"/>
  <c r="F10" i="65"/>
  <c r="R654" i="58" s="1"/>
  <c r="O41" i="65"/>
  <c r="R714" i="58" s="1"/>
  <c r="O22" i="65"/>
  <c r="R699" i="58" s="1"/>
  <c r="O40" i="65"/>
  <c r="R713" i="58" s="1"/>
  <c r="F19" i="65"/>
  <c r="R663" i="58" s="1"/>
  <c r="O39" i="65"/>
  <c r="R712" i="58" s="1"/>
  <c r="X16" i="65"/>
  <c r="R726" i="58" s="1"/>
  <c r="O37" i="65"/>
  <c r="R710" i="58" s="1"/>
  <c r="O15" i="65"/>
  <c r="R692" i="58" s="1"/>
  <c r="F27" i="65"/>
  <c r="R669" i="58" s="1"/>
  <c r="X22" i="65"/>
  <c r="R732" i="58" s="1"/>
  <c r="O29" i="65"/>
  <c r="R704" i="58" s="1"/>
  <c r="T665" i="58"/>
  <c r="X13" i="65"/>
  <c r="R723" i="58" s="1"/>
  <c r="F41" i="65"/>
  <c r="R681" i="58" s="1"/>
  <c r="O17" i="65"/>
  <c r="R694" i="58" s="1"/>
  <c r="X19" i="65"/>
  <c r="R729" i="58" s="1"/>
  <c r="F7" i="65"/>
  <c r="R651" i="58" s="1"/>
  <c r="F11" i="65"/>
  <c r="R655" i="58" s="1"/>
  <c r="X39" i="65"/>
  <c r="R745" i="58" s="1"/>
  <c r="X21" i="65"/>
  <c r="R731" i="58" s="1"/>
  <c r="F42" i="65"/>
  <c r="R682" i="58" s="1"/>
  <c r="X27" i="65"/>
  <c r="R735" i="58" s="1"/>
  <c r="X28" i="65"/>
  <c r="R736" i="58" s="1"/>
  <c r="F16" i="65"/>
  <c r="R660" i="58" s="1"/>
  <c r="O34" i="65"/>
  <c r="R709" i="58" s="1"/>
  <c r="F20" i="65"/>
  <c r="R664" i="58" s="1"/>
  <c r="T24" i="46"/>
  <c r="R475" i="58" s="1"/>
  <c r="X14" i="65"/>
  <c r="R724" i="58" s="1"/>
  <c r="T719" i="58"/>
  <c r="O25" i="65"/>
  <c r="R700" i="58" s="1"/>
  <c r="F18" i="65"/>
  <c r="R662" i="58" s="1"/>
  <c r="X7" i="65"/>
  <c r="R717" i="58" s="1"/>
  <c r="X10" i="65"/>
  <c r="R720" i="58" s="1"/>
  <c r="O27" i="65"/>
  <c r="R702" i="58" s="1"/>
  <c r="O28" i="65"/>
  <c r="R703" i="58" s="1"/>
  <c r="F34" i="65"/>
  <c r="R676" i="58" s="1"/>
  <c r="O21" i="65"/>
  <c r="R698" i="58" s="1"/>
  <c r="X25" i="65"/>
  <c r="R733" i="58" s="1"/>
  <c r="X12" i="65"/>
  <c r="R722" i="58" s="1"/>
  <c r="F38" i="65"/>
  <c r="R678" i="58" s="1"/>
  <c r="T728" i="58"/>
  <c r="F31" i="65"/>
  <c r="R673" i="58" s="1"/>
  <c r="O20" i="65"/>
  <c r="R697" i="58" s="1"/>
  <c r="D46" i="2"/>
  <c r="E44" i="2" s="1"/>
  <c r="D60" i="2"/>
  <c r="E58" i="2" s="1"/>
  <c r="C2" i="2"/>
  <c r="D2" i="2" s="1"/>
  <c r="C65" i="2"/>
  <c r="D65" i="2" s="1"/>
  <c r="R619" i="58"/>
  <c r="P619" i="58"/>
  <c r="R613" i="58"/>
  <c r="T613" i="58"/>
  <c r="T592" i="58"/>
  <c r="T598" i="58"/>
  <c r="R643" i="58"/>
  <c r="T643" i="58"/>
  <c r="R649" i="58"/>
  <c r="T649" i="58"/>
  <c r="R634" i="58"/>
  <c r="T634" i="58"/>
  <c r="R601" i="58"/>
  <c r="T601" i="58"/>
  <c r="R637" i="58"/>
  <c r="T637" i="58"/>
  <c r="X6" i="64"/>
  <c r="R586" i="58" s="1"/>
  <c r="T586" i="58"/>
  <c r="R604" i="58"/>
  <c r="T604" i="58"/>
  <c r="R628" i="58"/>
  <c r="T628" i="58"/>
  <c r="R639" i="58"/>
  <c r="T639" i="58"/>
  <c r="R615" i="58"/>
  <c r="T615" i="58"/>
  <c r="R636" i="58"/>
  <c r="T636" i="58"/>
  <c r="P597" i="58"/>
  <c r="R594" i="58"/>
  <c r="T594" i="58"/>
  <c r="R612" i="58"/>
  <c r="T612" i="58"/>
  <c r="T591" i="58"/>
  <c r="T597" i="58"/>
  <c r="R600" i="58"/>
  <c r="T600" i="58"/>
  <c r="R606" i="58"/>
  <c r="T606" i="58"/>
  <c r="R633" i="58"/>
  <c r="T633" i="58"/>
  <c r="R627" i="58"/>
  <c r="T627" i="58"/>
  <c r="R588" i="58"/>
  <c r="T588" i="58"/>
  <c r="R638" i="58"/>
  <c r="T638" i="58"/>
  <c r="R605" i="58"/>
  <c r="T605" i="58"/>
  <c r="R614" i="58"/>
  <c r="T614" i="58"/>
  <c r="R626" i="58"/>
  <c r="P626" i="58"/>
  <c r="R644" i="58"/>
  <c r="P644" i="58"/>
  <c r="T590" i="58"/>
  <c r="T596" i="58"/>
  <c r="R617" i="58"/>
  <c r="T617" i="58"/>
  <c r="R632" i="58"/>
  <c r="T632" i="58"/>
  <c r="R599" i="58"/>
  <c r="T599" i="58"/>
  <c r="F6" i="64"/>
  <c r="R584" i="58" s="1"/>
  <c r="P584" i="58"/>
  <c r="R595" i="58"/>
  <c r="R629" i="58"/>
  <c r="R624" i="58"/>
  <c r="R640" i="58"/>
  <c r="R616" i="58"/>
  <c r="R620" i="58"/>
  <c r="R607" i="58"/>
  <c r="R587" i="58"/>
  <c r="R625" i="58"/>
  <c r="R608" i="58"/>
  <c r="R635" i="58"/>
  <c r="R645" i="58"/>
  <c r="R610" i="58"/>
  <c r="R593" i="58"/>
  <c r="R603" i="58"/>
  <c r="R648" i="58"/>
  <c r="R589" i="58"/>
  <c r="R630" i="58"/>
  <c r="R623" i="58"/>
  <c r="R641" i="58"/>
  <c r="R647" i="58"/>
  <c r="O6" i="64"/>
  <c r="R585" i="58" s="1"/>
  <c r="R646" i="58"/>
  <c r="R609" i="58"/>
  <c r="R631" i="58"/>
  <c r="R621" i="58"/>
  <c r="R611" i="58"/>
  <c r="R618" i="58"/>
  <c r="R602" i="58"/>
  <c r="R622" i="58"/>
  <c r="R642" i="58"/>
  <c r="F53" i="43"/>
  <c r="R578" i="58" s="1"/>
  <c r="T578" i="58"/>
  <c r="U501" i="58"/>
  <c r="AG22" i="46"/>
  <c r="S501" i="58" s="1"/>
  <c r="H22" i="46"/>
  <c r="R447" i="58" s="1"/>
  <c r="U22" i="46"/>
  <c r="S474" i="58" s="1"/>
  <c r="U474" i="58"/>
  <c r="X53" i="43"/>
  <c r="R580" i="58" s="1"/>
  <c r="T22" i="46"/>
  <c r="R474" i="58" s="1"/>
  <c r="T474" i="58"/>
  <c r="U447" i="58"/>
  <c r="I22" i="46"/>
  <c r="S447" i="58" s="1"/>
  <c r="AF22" i="46"/>
  <c r="R501" i="58" s="1"/>
  <c r="O53" i="43"/>
  <c r="R579" i="58" s="1"/>
  <c r="T579" i="58"/>
  <c r="T572" i="58"/>
  <c r="H34" i="46"/>
  <c r="R572" i="58" s="1"/>
  <c r="T577" i="58"/>
  <c r="AF24" i="53"/>
  <c r="R577" i="58" s="1"/>
  <c r="X49" i="43"/>
  <c r="R326" i="58" s="1"/>
  <c r="T326" i="58"/>
  <c r="AF34" i="46"/>
  <c r="R574" i="58" s="1"/>
  <c r="T574" i="58"/>
  <c r="T24" i="53"/>
  <c r="R576" i="58" s="1"/>
  <c r="T576" i="58"/>
  <c r="T283" i="58"/>
  <c r="O49" i="43"/>
  <c r="R283" i="58" s="1"/>
  <c r="T240" i="58"/>
  <c r="F49" i="43"/>
  <c r="R240" i="58" s="1"/>
  <c r="T575" i="58"/>
  <c r="H24" i="53"/>
  <c r="R575" i="58" s="1"/>
  <c r="T573" i="58"/>
  <c r="T34" i="46"/>
  <c r="R573" i="58" s="1"/>
  <c r="F8" i="40"/>
  <c r="R113" i="58" s="1"/>
  <c r="F21" i="40"/>
  <c r="R125" i="58" s="1"/>
  <c r="D51" i="2"/>
  <c r="D37" i="2"/>
  <c r="H21" i="44"/>
  <c r="R370" i="58" s="1"/>
  <c r="I14" i="44"/>
  <c r="S363" i="58" s="1"/>
  <c r="F26" i="40"/>
  <c r="R129" i="58" s="1"/>
  <c r="T6" i="53"/>
  <c r="R534" i="58" s="1"/>
  <c r="F9" i="40"/>
  <c r="R114" i="58" s="1"/>
  <c r="T180" i="58"/>
  <c r="X14" i="40"/>
  <c r="R180" i="58" s="1"/>
  <c r="T490" i="58"/>
  <c r="AF8" i="46"/>
  <c r="R490" i="58" s="1"/>
  <c r="U537" i="58"/>
  <c r="U10" i="53"/>
  <c r="S537" i="58" s="1"/>
  <c r="T176" i="58"/>
  <c r="X9" i="40"/>
  <c r="R176" i="58" s="1"/>
  <c r="T8" i="44"/>
  <c r="R384" i="58" s="1"/>
  <c r="T384" i="58"/>
  <c r="H8" i="53"/>
  <c r="R517" i="58" s="1"/>
  <c r="T517" i="58"/>
  <c r="T9" i="44"/>
  <c r="R385" i="58" s="1"/>
  <c r="T385" i="58"/>
  <c r="T352" i="58"/>
  <c r="X9" i="47"/>
  <c r="R352" i="58" s="1"/>
  <c r="T76" i="58"/>
  <c r="X7" i="51"/>
  <c r="R76" i="58" s="1"/>
  <c r="U18" i="53"/>
  <c r="S543" i="58" s="1"/>
  <c r="U543" i="58"/>
  <c r="AF8" i="44"/>
  <c r="R410" i="58" s="1"/>
  <c r="T410" i="58"/>
  <c r="T75" i="58"/>
  <c r="X6" i="51"/>
  <c r="R75" i="58" s="1"/>
  <c r="T38" i="46"/>
  <c r="R486" i="58" s="1"/>
  <c r="T486" i="58"/>
  <c r="X34" i="40"/>
  <c r="R198" i="58" s="1"/>
  <c r="T198" i="58"/>
  <c r="T29" i="58"/>
  <c r="F38" i="51"/>
  <c r="R29" i="58" s="1"/>
  <c r="AF10" i="53"/>
  <c r="R556" i="58" s="1"/>
  <c r="T556" i="58"/>
  <c r="AF21" i="53"/>
  <c r="R565" i="58" s="1"/>
  <c r="P565" i="58"/>
  <c r="X51" i="43"/>
  <c r="R327" i="58" s="1"/>
  <c r="P327" i="58"/>
  <c r="O47" i="51"/>
  <c r="R72" i="58" s="1"/>
  <c r="T72" i="58"/>
  <c r="T71" i="58"/>
  <c r="O46" i="51"/>
  <c r="R71" i="58" s="1"/>
  <c r="X34" i="43"/>
  <c r="R314" i="58" s="1"/>
  <c r="P314" i="58"/>
  <c r="T199" i="58"/>
  <c r="X35" i="40"/>
  <c r="R199" i="58" s="1"/>
  <c r="X35" i="43"/>
  <c r="R315" i="58" s="1"/>
  <c r="T315" i="58"/>
  <c r="T550" i="58"/>
  <c r="T27" i="53"/>
  <c r="R550" i="58" s="1"/>
  <c r="F47" i="51"/>
  <c r="R36" i="58" s="1"/>
  <c r="T36" i="58"/>
  <c r="T196" i="58"/>
  <c r="X31" i="40"/>
  <c r="R196" i="58" s="1"/>
  <c r="AF17" i="46"/>
  <c r="R497" i="58" s="1"/>
  <c r="P497" i="58"/>
  <c r="U413" i="58"/>
  <c r="AG12" i="44"/>
  <c r="S413" i="58" s="1"/>
  <c r="T93" i="58"/>
  <c r="X28" i="51"/>
  <c r="R93" i="58" s="1"/>
  <c r="T12" i="46"/>
  <c r="R466" i="58" s="1"/>
  <c r="P466" i="58"/>
  <c r="T96" i="58"/>
  <c r="X32" i="51"/>
  <c r="R96" i="58" s="1"/>
  <c r="T25" i="58"/>
  <c r="F33" i="51"/>
  <c r="R25" i="58" s="1"/>
  <c r="O30" i="51"/>
  <c r="R58" i="58" s="1"/>
  <c r="T58" i="58"/>
  <c r="T95" i="58"/>
  <c r="X31" i="51"/>
  <c r="R95" i="58" s="1"/>
  <c r="AF20" i="53"/>
  <c r="R564" i="58" s="1"/>
  <c r="P564" i="58"/>
  <c r="T166" i="58"/>
  <c r="O32" i="40"/>
  <c r="R166" i="58" s="1"/>
  <c r="T151" i="58"/>
  <c r="O16" i="40"/>
  <c r="R151" i="58" s="1"/>
  <c r="T19" i="44"/>
  <c r="R394" i="58" s="1"/>
  <c r="T394" i="58"/>
  <c r="T202" i="58"/>
  <c r="X38" i="40"/>
  <c r="R202" i="58" s="1"/>
  <c r="T405" i="58"/>
  <c r="T31" i="44"/>
  <c r="R405" i="58" s="1"/>
  <c r="T17" i="58"/>
  <c r="F23" i="51"/>
  <c r="R17" i="58" s="1"/>
  <c r="O20" i="51"/>
  <c r="R50" i="58" s="1"/>
  <c r="T50" i="58"/>
  <c r="T475" i="58"/>
  <c r="T45" i="58"/>
  <c r="O13" i="51"/>
  <c r="R45" i="58" s="1"/>
  <c r="AF7" i="44"/>
  <c r="R409" i="58" s="1"/>
  <c r="T409" i="58"/>
  <c r="T21" i="44"/>
  <c r="R396" i="58" s="1"/>
  <c r="T396" i="58"/>
  <c r="T13" i="58"/>
  <c r="F18" i="51"/>
  <c r="R13" i="58" s="1"/>
  <c r="AF32" i="46"/>
  <c r="R509" i="58" s="1"/>
  <c r="T509" i="58"/>
  <c r="AG19" i="53"/>
  <c r="S563" i="58" s="1"/>
  <c r="Q563" i="58"/>
  <c r="T162" i="58"/>
  <c r="O28" i="40"/>
  <c r="R162" i="58" s="1"/>
  <c r="T15" i="53"/>
  <c r="R541" i="58" s="1"/>
  <c r="T541" i="58"/>
  <c r="T84" i="58"/>
  <c r="X17" i="51"/>
  <c r="R84" i="58" s="1"/>
  <c r="T424" i="58"/>
  <c r="AF23" i="44"/>
  <c r="R424" i="58" s="1"/>
  <c r="F8" i="51"/>
  <c r="R5" i="58" s="1"/>
  <c r="T5" i="58"/>
  <c r="T494" i="58"/>
  <c r="AF13" i="46"/>
  <c r="R494" i="58" s="1"/>
  <c r="T83" i="58"/>
  <c r="X16" i="51"/>
  <c r="R83" i="58" s="1"/>
  <c r="T7" i="44"/>
  <c r="R383" i="58" s="1"/>
  <c r="T383" i="58"/>
  <c r="T500" i="58"/>
  <c r="AF20" i="46"/>
  <c r="R500" i="58" s="1"/>
  <c r="T197" i="58"/>
  <c r="X32" i="40"/>
  <c r="R197" i="58" s="1"/>
  <c r="X4" i="47"/>
  <c r="R348" i="58" s="1"/>
  <c r="T348" i="58"/>
  <c r="O14" i="43"/>
  <c r="R253" i="58" s="1"/>
  <c r="P253" i="58"/>
  <c r="T105" i="58"/>
  <c r="X43" i="51"/>
  <c r="R105" i="58" s="1"/>
  <c r="O12" i="51"/>
  <c r="R44" i="58" s="1"/>
  <c r="T44" i="58"/>
  <c r="O11" i="51"/>
  <c r="R43" i="58" s="1"/>
  <c r="T43" i="58"/>
  <c r="O43" i="51"/>
  <c r="R69" i="58" s="1"/>
  <c r="T69" i="58"/>
  <c r="T554" i="58"/>
  <c r="AF7" i="53"/>
  <c r="R554" i="58" s="1"/>
  <c r="H22" i="53"/>
  <c r="R528" i="58" s="1"/>
  <c r="T528" i="58"/>
  <c r="H19" i="53"/>
  <c r="R525" i="58" s="1"/>
  <c r="T525" i="58"/>
  <c r="H18" i="53"/>
  <c r="R524" i="58" s="1"/>
  <c r="T524" i="58"/>
  <c r="T305" i="58"/>
  <c r="X25" i="43"/>
  <c r="R305" i="58" s="1"/>
  <c r="T489" i="58"/>
  <c r="AF7" i="46"/>
  <c r="R489" i="58" s="1"/>
  <c r="AF16" i="53"/>
  <c r="R561" i="58" s="1"/>
  <c r="P561" i="58"/>
  <c r="T144" i="58"/>
  <c r="O8" i="40"/>
  <c r="R144" i="58" s="1"/>
  <c r="F26" i="51"/>
  <c r="R19" i="58" s="1"/>
  <c r="T19" i="58"/>
  <c r="AG21" i="53"/>
  <c r="S565" i="58" s="1"/>
  <c r="U565" i="58"/>
  <c r="T537" i="58"/>
  <c r="T10" i="53"/>
  <c r="R537" i="58" s="1"/>
  <c r="T78" i="58"/>
  <c r="X10" i="51"/>
  <c r="R78" i="58" s="1"/>
  <c r="T551" i="58"/>
  <c r="T28" i="53"/>
  <c r="R551" i="58" s="1"/>
  <c r="T493" i="58"/>
  <c r="AF12" i="46"/>
  <c r="R493" i="58" s="1"/>
  <c r="AF39" i="46"/>
  <c r="R514" i="58" s="1"/>
  <c r="T514" i="58"/>
  <c r="F36" i="51"/>
  <c r="R27" i="58" s="1"/>
  <c r="T27" i="58"/>
  <c r="AF8" i="53"/>
  <c r="R555" i="58" s="1"/>
  <c r="T555" i="58"/>
  <c r="O5" i="51"/>
  <c r="R38" i="58" s="1"/>
  <c r="T38" i="58"/>
  <c r="T470" i="58"/>
  <c r="T17" i="46"/>
  <c r="R470" i="58" s="1"/>
  <c r="T158" i="58"/>
  <c r="O24" i="40"/>
  <c r="R158" i="58" s="1"/>
  <c r="T16" i="46"/>
  <c r="R469" i="58" s="1"/>
  <c r="T469" i="58"/>
  <c r="T6" i="46"/>
  <c r="R461" i="58" s="1"/>
  <c r="T461" i="58"/>
  <c r="X10" i="43"/>
  <c r="R293" i="58" s="1"/>
  <c r="T293" i="58"/>
  <c r="T488" i="58"/>
  <c r="AF6" i="46"/>
  <c r="R488" i="58" s="1"/>
  <c r="X26" i="43"/>
  <c r="R306" i="58" s="1"/>
  <c r="P306" i="58"/>
  <c r="T169" i="58"/>
  <c r="O36" i="40"/>
  <c r="R169" i="58" s="1"/>
  <c r="O17" i="51"/>
  <c r="R48" i="58" s="1"/>
  <c r="T48" i="58"/>
  <c r="T89" i="58"/>
  <c r="X23" i="51"/>
  <c r="R89" i="58" s="1"/>
  <c r="T26" i="53"/>
  <c r="R549" i="58" s="1"/>
  <c r="T549" i="58"/>
  <c r="T92" i="58"/>
  <c r="X27" i="51"/>
  <c r="R92" i="58" s="1"/>
  <c r="T329" i="58"/>
  <c r="X55" i="43"/>
  <c r="R329" i="58" s="1"/>
  <c r="T91" i="58"/>
  <c r="X26" i="51"/>
  <c r="R91" i="58" s="1"/>
  <c r="AF12" i="53"/>
  <c r="R558" i="58" s="1"/>
  <c r="T558" i="58"/>
  <c r="X57" i="43"/>
  <c r="R331" i="58" s="1"/>
  <c r="T331" i="58"/>
  <c r="T183" i="58"/>
  <c r="X17" i="40"/>
  <c r="R183" i="58" s="1"/>
  <c r="T143" i="58"/>
  <c r="O7" i="40"/>
  <c r="R143" i="58" s="1"/>
  <c r="AF9" i="46"/>
  <c r="R491" i="58" s="1"/>
  <c r="T491" i="58"/>
  <c r="T53" i="58"/>
  <c r="O23" i="51"/>
  <c r="R53" i="58" s="1"/>
  <c r="AF37" i="46"/>
  <c r="R512" i="58" s="1"/>
  <c r="P512" i="58"/>
  <c r="AF32" i="44"/>
  <c r="R432" i="58" s="1"/>
  <c r="T432" i="58"/>
  <c r="U25" i="46"/>
  <c r="S476" i="58" s="1"/>
  <c r="U476" i="58"/>
  <c r="T546" i="58"/>
  <c r="T21" i="53"/>
  <c r="R546" i="58" s="1"/>
  <c r="T153" i="58"/>
  <c r="O18" i="40"/>
  <c r="R153" i="58" s="1"/>
  <c r="T195" i="58"/>
  <c r="X30" i="40"/>
  <c r="R195" i="58" s="1"/>
  <c r="T49" i="58"/>
  <c r="O18" i="51"/>
  <c r="R49" i="58" s="1"/>
  <c r="U15" i="53"/>
  <c r="S541" i="58" s="1"/>
  <c r="U541" i="58"/>
  <c r="T14" i="58"/>
  <c r="F20" i="51"/>
  <c r="R14" i="58" s="1"/>
  <c r="AF28" i="53"/>
  <c r="R570" i="58" s="1"/>
  <c r="T570" i="58"/>
  <c r="H26" i="46"/>
  <c r="R450" i="58" s="1"/>
  <c r="T450" i="58"/>
  <c r="T90" i="58"/>
  <c r="X25" i="51"/>
  <c r="R90" i="58" s="1"/>
  <c r="O25" i="40"/>
  <c r="R159" i="58" s="1"/>
  <c r="P159" i="58"/>
  <c r="F11" i="51"/>
  <c r="R7" i="58" s="1"/>
  <c r="T7" i="58"/>
  <c r="U30" i="46"/>
  <c r="S480" i="58" s="1"/>
  <c r="Q480" i="58"/>
  <c r="T16" i="53"/>
  <c r="R542" i="58" s="1"/>
  <c r="T542" i="58"/>
  <c r="T147" i="58"/>
  <c r="O12" i="40"/>
  <c r="R147" i="58" s="1"/>
  <c r="O27" i="51"/>
  <c r="R56" i="58" s="1"/>
  <c r="T56" i="58"/>
  <c r="T476" i="58"/>
  <c r="T25" i="46"/>
  <c r="R476" i="58" s="1"/>
  <c r="T160" i="58"/>
  <c r="O26" i="40"/>
  <c r="R160" i="58" s="1"/>
  <c r="T15" i="44"/>
  <c r="R390" i="58" s="1"/>
  <c r="T390" i="58"/>
  <c r="X42" i="43"/>
  <c r="R321" i="58" s="1"/>
  <c r="T321" i="58"/>
  <c r="X17" i="43"/>
  <c r="R299" i="58" s="1"/>
  <c r="T299" i="58"/>
  <c r="T295" i="58"/>
  <c r="X13" i="43"/>
  <c r="R295" i="58" s="1"/>
  <c r="I30" i="46"/>
  <c r="S453" i="58" s="1"/>
  <c r="U453" i="58"/>
  <c r="O42" i="43"/>
  <c r="R278" i="58" s="1"/>
  <c r="T278" i="58"/>
  <c r="O32" i="43"/>
  <c r="R269" i="58" s="1"/>
  <c r="T269" i="58"/>
  <c r="O30" i="43"/>
  <c r="R267" i="58" s="1"/>
  <c r="T267" i="58"/>
  <c r="T562" i="58"/>
  <c r="AF18" i="53"/>
  <c r="R562" i="58" s="1"/>
  <c r="O9" i="47"/>
  <c r="R344" i="58" s="1"/>
  <c r="T344" i="58"/>
  <c r="T31" i="58"/>
  <c r="F41" i="51"/>
  <c r="R31" i="58" s="1"/>
  <c r="X8" i="43"/>
  <c r="R291" i="58" s="1"/>
  <c r="T291" i="58"/>
  <c r="AG16" i="53"/>
  <c r="S561" i="58" s="1"/>
  <c r="U561" i="58"/>
  <c r="O40" i="51"/>
  <c r="R66" i="58" s="1"/>
  <c r="T66" i="58"/>
  <c r="T190" i="58"/>
  <c r="X25" i="40"/>
  <c r="R190" i="58" s="1"/>
  <c r="O7" i="47"/>
  <c r="R342" i="58" s="1"/>
  <c r="T342" i="58"/>
  <c r="X20" i="43"/>
  <c r="R301" i="58" s="1"/>
  <c r="T301" i="58"/>
  <c r="AF28" i="44"/>
  <c r="R429" i="58" s="1"/>
  <c r="P429" i="58"/>
  <c r="X28" i="43"/>
  <c r="R308" i="58" s="1"/>
  <c r="T308" i="58"/>
  <c r="T40" i="58"/>
  <c r="O7" i="51"/>
  <c r="R40" i="58" s="1"/>
  <c r="X41" i="43"/>
  <c r="R320" i="58" s="1"/>
  <c r="T320" i="58"/>
  <c r="T39" i="58"/>
  <c r="O6" i="51"/>
  <c r="R39" i="58" s="1"/>
  <c r="F27" i="51"/>
  <c r="R20" i="58" s="1"/>
  <c r="T20" i="58"/>
  <c r="T304" i="58"/>
  <c r="X24" i="43"/>
  <c r="R304" i="58" s="1"/>
  <c r="T423" i="58"/>
  <c r="AF22" i="44"/>
  <c r="R423" i="58" s="1"/>
  <c r="T181" i="58"/>
  <c r="X15" i="40"/>
  <c r="R181" i="58" s="1"/>
  <c r="U11" i="44"/>
  <c r="S386" i="58" s="1"/>
  <c r="U386" i="58"/>
  <c r="T179" i="58"/>
  <c r="X13" i="40"/>
  <c r="R179" i="58" s="1"/>
  <c r="T417" i="58"/>
  <c r="AF16" i="44"/>
  <c r="R417" i="58" s="1"/>
  <c r="U19" i="53"/>
  <c r="S544" i="58" s="1"/>
  <c r="U544" i="58"/>
  <c r="T560" i="58"/>
  <c r="AF15" i="53"/>
  <c r="R560" i="58" s="1"/>
  <c r="AF22" i="53"/>
  <c r="R566" i="58" s="1"/>
  <c r="T566" i="58"/>
  <c r="U11" i="53"/>
  <c r="S538" i="58" s="1"/>
  <c r="U538" i="58"/>
  <c r="T57" i="58"/>
  <c r="O28" i="51"/>
  <c r="R57" i="58" s="1"/>
  <c r="U425" i="58"/>
  <c r="AG24" i="44"/>
  <c r="S425" i="58" s="1"/>
  <c r="T296" i="58"/>
  <c r="X14" i="43"/>
  <c r="R296" i="58" s="1"/>
  <c r="O32" i="51"/>
  <c r="R60" i="58" s="1"/>
  <c r="T60" i="58"/>
  <c r="T569" i="58"/>
  <c r="AF27" i="53"/>
  <c r="R569" i="58" s="1"/>
  <c r="U542" i="58"/>
  <c r="U16" i="53"/>
  <c r="S542" i="58" s="1"/>
  <c r="O31" i="51"/>
  <c r="R59" i="58" s="1"/>
  <c r="T59" i="58"/>
  <c r="T106" i="58"/>
  <c r="X45" i="51"/>
  <c r="R106" i="58" s="1"/>
  <c r="T165" i="58"/>
  <c r="O31" i="40"/>
  <c r="R165" i="58" s="1"/>
  <c r="X12" i="47"/>
  <c r="R355" i="58" s="1"/>
  <c r="P355" i="58"/>
  <c r="T484" i="58"/>
  <c r="T36" i="46"/>
  <c r="R484" i="58" s="1"/>
  <c r="T55" i="58"/>
  <c r="O26" i="51"/>
  <c r="R55" i="58" s="1"/>
  <c r="F16" i="51"/>
  <c r="R11" i="58" s="1"/>
  <c r="T11" i="58"/>
  <c r="T102" i="58"/>
  <c r="X40" i="51"/>
  <c r="R102" i="58" s="1"/>
  <c r="T175" i="58"/>
  <c r="X8" i="40"/>
  <c r="R175" i="58" s="1"/>
  <c r="AF18" i="46"/>
  <c r="R498" i="58" s="1"/>
  <c r="T498" i="58"/>
  <c r="T27" i="44"/>
  <c r="R402" i="58" s="1"/>
  <c r="T402" i="58"/>
  <c r="AG13" i="44"/>
  <c r="S414" i="58" s="1"/>
  <c r="U414" i="58"/>
  <c r="AF17" i="44"/>
  <c r="R418" i="58" s="1"/>
  <c r="T418" i="58"/>
  <c r="T194" i="58"/>
  <c r="X29" i="40"/>
  <c r="R194" i="58" s="1"/>
  <c r="O52" i="43"/>
  <c r="R285" i="58" s="1"/>
  <c r="P285" i="58"/>
  <c r="X40" i="43"/>
  <c r="R319" i="58" s="1"/>
  <c r="P319" i="58"/>
  <c r="X38" i="43"/>
  <c r="R318" i="58" s="1"/>
  <c r="T318" i="58"/>
  <c r="T182" i="58"/>
  <c r="X16" i="40"/>
  <c r="R182" i="58" s="1"/>
  <c r="T340" i="58"/>
  <c r="O4" i="47"/>
  <c r="R340" i="58" s="1"/>
  <c r="T19" i="53"/>
  <c r="R544" i="58" s="1"/>
  <c r="T544" i="58"/>
  <c r="AG12" i="53"/>
  <c r="S558" i="58" s="1"/>
  <c r="Q558" i="58"/>
  <c r="O14" i="40"/>
  <c r="R149" i="58" s="1"/>
  <c r="T149" i="58"/>
  <c r="AF13" i="44"/>
  <c r="R414" i="58" s="1"/>
  <c r="T414" i="58"/>
  <c r="AF21" i="46"/>
  <c r="R583" i="58" s="1"/>
  <c r="F37" i="43"/>
  <c r="R231" i="58" s="1"/>
  <c r="P231" i="58"/>
  <c r="O57" i="43"/>
  <c r="R288" i="58" s="1"/>
  <c r="T288" i="58"/>
  <c r="O13" i="43"/>
  <c r="R252" i="58" s="1"/>
  <c r="T252" i="58"/>
  <c r="O41" i="43"/>
  <c r="R277" i="58" s="1"/>
  <c r="T277" i="58"/>
  <c r="O21" i="43"/>
  <c r="R259" i="58" s="1"/>
  <c r="T259" i="58"/>
  <c r="H29" i="53"/>
  <c r="R533" i="58" s="1"/>
  <c r="T533" i="58"/>
  <c r="H27" i="53"/>
  <c r="R531" i="58" s="1"/>
  <c r="T531" i="58"/>
  <c r="H7" i="53"/>
  <c r="R516" i="58" s="1"/>
  <c r="T516" i="58"/>
  <c r="I21" i="53"/>
  <c r="S527" i="58" s="1"/>
  <c r="U527" i="58"/>
  <c r="I16" i="53"/>
  <c r="S523" i="58" s="1"/>
  <c r="U523" i="58"/>
  <c r="O6" i="43"/>
  <c r="R246" i="58" s="1"/>
  <c r="P246" i="58"/>
  <c r="T73" i="58"/>
  <c r="O48" i="51"/>
  <c r="R73" i="58" s="1"/>
  <c r="U11" i="46"/>
  <c r="S465" i="58" s="1"/>
  <c r="Q465" i="58"/>
  <c r="T406" i="58"/>
  <c r="T32" i="44"/>
  <c r="R406" i="58" s="1"/>
  <c r="T289" i="58"/>
  <c r="X6" i="43"/>
  <c r="R289" i="58" s="1"/>
  <c r="T32" i="58"/>
  <c r="F42" i="51"/>
  <c r="R32" i="58" s="1"/>
  <c r="T104" i="58"/>
  <c r="X42" i="51"/>
  <c r="R104" i="58" s="1"/>
  <c r="T103" i="58"/>
  <c r="X41" i="51"/>
  <c r="R103" i="58" s="1"/>
  <c r="O25" i="51"/>
  <c r="R54" i="58" s="1"/>
  <c r="T54" i="58"/>
  <c r="U26" i="46"/>
  <c r="S477" i="58" s="1"/>
  <c r="Q477" i="58"/>
  <c r="T9" i="58"/>
  <c r="F13" i="51"/>
  <c r="R9" i="58" s="1"/>
  <c r="T29" i="53"/>
  <c r="R552" i="58" s="1"/>
  <c r="T552" i="58"/>
  <c r="O42" i="51"/>
  <c r="R68" i="58" s="1"/>
  <c r="T68" i="58"/>
  <c r="AF14" i="46"/>
  <c r="R495" i="58" s="1"/>
  <c r="T495" i="58"/>
  <c r="O41" i="51"/>
  <c r="R67" i="58" s="1"/>
  <c r="T67" i="58"/>
  <c r="F46" i="51"/>
  <c r="R35" i="58" s="1"/>
  <c r="T35" i="58"/>
  <c r="T28" i="46"/>
  <c r="R478" i="58" s="1"/>
  <c r="T478" i="58"/>
  <c r="AF29" i="46"/>
  <c r="R506" i="58" s="1"/>
  <c r="T506" i="58"/>
  <c r="U560" i="58"/>
  <c r="AG15" i="53"/>
  <c r="S560" i="58" s="1"/>
  <c r="O33" i="51"/>
  <c r="R61" i="58" s="1"/>
  <c r="T61" i="58"/>
  <c r="X19" i="43"/>
  <c r="R300" i="58" s="1"/>
  <c r="T300" i="58"/>
  <c r="AF29" i="53"/>
  <c r="R571" i="58" s="1"/>
  <c r="P571" i="58"/>
  <c r="O37" i="51"/>
  <c r="R64" i="58" s="1"/>
  <c r="T64" i="58"/>
  <c r="T557" i="58"/>
  <c r="AF11" i="53"/>
  <c r="R557" i="58" s="1"/>
  <c r="T63" i="58"/>
  <c r="O36" i="51"/>
  <c r="R63" i="58" s="1"/>
  <c r="T173" i="58"/>
  <c r="X5" i="40"/>
  <c r="R173" i="58" s="1"/>
  <c r="T77" i="58"/>
  <c r="X8" i="51"/>
  <c r="R77" i="58" s="1"/>
  <c r="T30" i="46"/>
  <c r="R480" i="58" s="1"/>
  <c r="T480" i="58"/>
  <c r="X52" i="43"/>
  <c r="R328" i="58" s="1"/>
  <c r="P328" i="58"/>
  <c r="T82" i="58"/>
  <c r="X15" i="51"/>
  <c r="R82" i="58" s="1"/>
  <c r="T416" i="58"/>
  <c r="AF15" i="44"/>
  <c r="R416" i="58" s="1"/>
  <c r="AF30" i="46"/>
  <c r="R507" i="58" s="1"/>
  <c r="T507" i="58"/>
  <c r="U29" i="46"/>
  <c r="S479" i="58" s="1"/>
  <c r="Q479" i="58"/>
  <c r="T407" i="58"/>
  <c r="T33" i="44"/>
  <c r="R407" i="58" s="1"/>
  <c r="T15" i="58"/>
  <c r="F21" i="51"/>
  <c r="R15" i="58" s="1"/>
  <c r="X29" i="43"/>
  <c r="R309" i="58" s="1"/>
  <c r="T309" i="58"/>
  <c r="T22" i="58"/>
  <c r="F30" i="51"/>
  <c r="R22" i="58" s="1"/>
  <c r="AF38" i="46"/>
  <c r="R513" i="58" s="1"/>
  <c r="T513" i="58"/>
  <c r="T85" i="58"/>
  <c r="X18" i="51"/>
  <c r="R85" i="58" s="1"/>
  <c r="X48" i="43"/>
  <c r="R325" i="58" s="1"/>
  <c r="T325" i="58"/>
  <c r="T6" i="58"/>
  <c r="F10" i="51"/>
  <c r="R6" i="58" s="1"/>
  <c r="AF23" i="53"/>
  <c r="R567" i="58" s="1"/>
  <c r="P567" i="58"/>
  <c r="T28" i="44"/>
  <c r="R403" i="58" s="1"/>
  <c r="T403" i="58"/>
  <c r="X16" i="43"/>
  <c r="R298" i="58" s="1"/>
  <c r="P298" i="58"/>
  <c r="X45" i="43"/>
  <c r="R324" i="58" s="1"/>
  <c r="T324" i="58"/>
  <c r="X8" i="47"/>
  <c r="R351" i="58" s="1"/>
  <c r="T351" i="58"/>
  <c r="T26" i="44"/>
  <c r="R401" i="58" s="1"/>
  <c r="T401" i="58"/>
  <c r="AF26" i="46"/>
  <c r="R504" i="58" s="1"/>
  <c r="T504" i="58"/>
  <c r="T539" i="58"/>
  <c r="T12" i="53"/>
  <c r="R539" i="58" s="1"/>
  <c r="U20" i="44"/>
  <c r="S395" i="58" s="1"/>
  <c r="U395" i="58"/>
  <c r="F6" i="51"/>
  <c r="R3" i="58" s="1"/>
  <c r="T3" i="58"/>
  <c r="T109" i="58"/>
  <c r="X48" i="51"/>
  <c r="R109" i="58" s="1"/>
  <c r="T398" i="58"/>
  <c r="T23" i="44"/>
  <c r="R398" i="58" s="1"/>
  <c r="U12" i="44"/>
  <c r="S387" i="58" s="1"/>
  <c r="U387" i="58"/>
  <c r="X7" i="43"/>
  <c r="R290" i="58" s="1"/>
  <c r="P290" i="58"/>
  <c r="T188" i="58"/>
  <c r="X23" i="40"/>
  <c r="R188" i="58" s="1"/>
  <c r="H8" i="46"/>
  <c r="R436" i="58" s="1"/>
  <c r="T436" i="58"/>
  <c r="H6" i="53"/>
  <c r="R515" i="58" s="1"/>
  <c r="T515" i="58"/>
  <c r="AG18" i="53"/>
  <c r="S562" i="58" s="1"/>
  <c r="Q562" i="58"/>
  <c r="T146" i="58"/>
  <c r="O10" i="40"/>
  <c r="R146" i="58" s="1"/>
  <c r="T46" i="58"/>
  <c r="O15" i="51"/>
  <c r="R46" i="58" s="1"/>
  <c r="AG12" i="46"/>
  <c r="S493" i="58" s="1"/>
  <c r="U493" i="58"/>
  <c r="T100" i="58"/>
  <c r="X37" i="51"/>
  <c r="R100" i="58" s="1"/>
  <c r="T99" i="58"/>
  <c r="X36" i="51"/>
  <c r="R99" i="58" s="1"/>
  <c r="X56" i="43"/>
  <c r="R330" i="58" s="1"/>
  <c r="T330" i="58"/>
  <c r="T311" i="58"/>
  <c r="X31" i="43"/>
  <c r="R311" i="58" s="1"/>
  <c r="T11" i="53"/>
  <c r="R538" i="58" s="1"/>
  <c r="T538" i="58"/>
  <c r="T30" i="44"/>
  <c r="R404" i="58" s="1"/>
  <c r="T404" i="58"/>
  <c r="T536" i="58"/>
  <c r="T8" i="53"/>
  <c r="R536" i="58" s="1"/>
  <c r="AF26" i="53"/>
  <c r="R568" i="58" s="1"/>
  <c r="P568" i="58"/>
  <c r="T430" i="58"/>
  <c r="AF30" i="44"/>
  <c r="R430" i="58" s="1"/>
  <c r="T303" i="58"/>
  <c r="X22" i="43"/>
  <c r="R303" i="58" s="1"/>
  <c r="AF16" i="46"/>
  <c r="R496" i="58" s="1"/>
  <c r="T496" i="58"/>
  <c r="O21" i="51"/>
  <c r="R51" i="58" s="1"/>
  <c r="T51" i="58"/>
  <c r="X44" i="43"/>
  <c r="R323" i="58" s="1"/>
  <c r="T323" i="58"/>
  <c r="I26" i="46"/>
  <c r="S450" i="58" s="1"/>
  <c r="U450" i="58"/>
  <c r="F21" i="43"/>
  <c r="R216" i="58" s="1"/>
  <c r="T216" i="58"/>
  <c r="F13" i="43"/>
  <c r="R209" i="58" s="1"/>
  <c r="T209" i="58"/>
  <c r="F6" i="43"/>
  <c r="R203" i="58" s="1"/>
  <c r="T203" i="58"/>
  <c r="F41" i="43"/>
  <c r="R234" i="58" s="1"/>
  <c r="T234" i="58"/>
  <c r="I10" i="53"/>
  <c r="S518" i="58" s="1"/>
  <c r="Q518" i="58"/>
  <c r="I12" i="46"/>
  <c r="S439" i="58" s="1"/>
  <c r="U439" i="58"/>
  <c r="T468" i="58"/>
  <c r="T14" i="46"/>
  <c r="R468" i="58" s="1"/>
  <c r="T505" i="58"/>
  <c r="AF28" i="46"/>
  <c r="R505" i="58" s="1"/>
  <c r="T11" i="46"/>
  <c r="R465" i="58" s="1"/>
  <c r="T465" i="58"/>
  <c r="T108" i="58"/>
  <c r="X47" i="51"/>
  <c r="R108" i="58" s="1"/>
  <c r="O12" i="47"/>
  <c r="R347" i="58" s="1"/>
  <c r="T347" i="58"/>
  <c r="T25" i="44"/>
  <c r="R400" i="58" s="1"/>
  <c r="P400" i="58"/>
  <c r="T107" i="58"/>
  <c r="X46" i="51"/>
  <c r="R107" i="58" s="1"/>
  <c r="X7" i="47"/>
  <c r="R350" i="58" s="1"/>
  <c r="T350" i="58"/>
  <c r="U492" i="58"/>
  <c r="AG11" i="46"/>
  <c r="S492" i="58" s="1"/>
  <c r="O8" i="47"/>
  <c r="R343" i="58" s="1"/>
  <c r="T343" i="58"/>
  <c r="T392" i="58"/>
  <c r="T17" i="44"/>
  <c r="R392" i="58" s="1"/>
  <c r="AF24" i="46"/>
  <c r="R502" i="58" s="1"/>
  <c r="T502" i="58"/>
  <c r="AF21" i="44"/>
  <c r="R422" i="58" s="1"/>
  <c r="P422" i="58"/>
  <c r="T26" i="46"/>
  <c r="R477" i="58" s="1"/>
  <c r="T477" i="58"/>
  <c r="T185" i="58"/>
  <c r="X19" i="40"/>
  <c r="R185" i="58" s="1"/>
  <c r="T189" i="58"/>
  <c r="X24" i="40"/>
  <c r="R189" i="58" s="1"/>
  <c r="T79" i="58"/>
  <c r="X11" i="51"/>
  <c r="R79" i="58" s="1"/>
  <c r="T97" i="58"/>
  <c r="X33" i="51"/>
  <c r="R97" i="58" s="1"/>
  <c r="T21" i="46"/>
  <c r="R582" i="58" s="1"/>
  <c r="AF19" i="44"/>
  <c r="R420" i="58" s="1"/>
  <c r="T420" i="58"/>
  <c r="T37" i="58"/>
  <c r="F48" i="51"/>
  <c r="R37" i="58" s="1"/>
  <c r="AG14" i="46"/>
  <c r="S495" i="58" s="1"/>
  <c r="U495" i="58"/>
  <c r="AF26" i="44"/>
  <c r="R427" i="58" s="1"/>
  <c r="T427" i="58"/>
  <c r="X30" i="43"/>
  <c r="R310" i="58" s="1"/>
  <c r="T310" i="58"/>
  <c r="T34" i="58"/>
  <c r="F45" i="51"/>
  <c r="R34" i="58" s="1"/>
  <c r="O35" i="40"/>
  <c r="R168" i="58" s="1"/>
  <c r="T168" i="58"/>
  <c r="X7" i="40"/>
  <c r="R174" i="58" s="1"/>
  <c r="T174" i="58"/>
  <c r="AG29" i="46"/>
  <c r="S506" i="58" s="1"/>
  <c r="U506" i="58"/>
  <c r="T22" i="53"/>
  <c r="R547" i="58" s="1"/>
  <c r="T547" i="58"/>
  <c r="T10" i="58"/>
  <c r="F15" i="51"/>
  <c r="R10" i="58" s="1"/>
  <c r="T39" i="46"/>
  <c r="R487" i="58" s="1"/>
  <c r="T487" i="58"/>
  <c r="T415" i="58"/>
  <c r="AF14" i="44"/>
  <c r="R415" i="58" s="1"/>
  <c r="AG11" i="53"/>
  <c r="S557" i="58" s="1"/>
  <c r="U557" i="58"/>
  <c r="X6" i="47"/>
  <c r="R349" i="58" s="1"/>
  <c r="T349" i="58"/>
  <c r="T7" i="46"/>
  <c r="R462" i="58" s="1"/>
  <c r="T462" i="58"/>
  <c r="T155" i="58"/>
  <c r="O20" i="40"/>
  <c r="R155" i="58" s="1"/>
  <c r="T178" i="58"/>
  <c r="X12" i="40"/>
  <c r="R178" i="58" s="1"/>
  <c r="T154" i="58"/>
  <c r="O19" i="40"/>
  <c r="R154" i="58" s="1"/>
  <c r="U507" i="58"/>
  <c r="AG30" i="46"/>
  <c r="S507" i="58" s="1"/>
  <c r="T20" i="53"/>
  <c r="R545" i="58" s="1"/>
  <c r="T545" i="58"/>
  <c r="AF9" i="44"/>
  <c r="R411" i="58" s="1"/>
  <c r="P411" i="58"/>
  <c r="T156" i="58"/>
  <c r="O21" i="40"/>
  <c r="R156" i="58" s="1"/>
  <c r="T23" i="53"/>
  <c r="R548" i="58" s="1"/>
  <c r="T548" i="58"/>
  <c r="AF36" i="46"/>
  <c r="R511" i="58" s="1"/>
  <c r="P511" i="58"/>
  <c r="U24" i="44"/>
  <c r="S399" i="58" s="1"/>
  <c r="Q399" i="58"/>
  <c r="T201" i="58"/>
  <c r="X37" i="40"/>
  <c r="R201" i="58" s="1"/>
  <c r="T200" i="58"/>
  <c r="X36" i="40"/>
  <c r="R200" i="58" s="1"/>
  <c r="O30" i="40"/>
  <c r="R164" i="58" s="1"/>
  <c r="T164" i="58"/>
  <c r="T313" i="58"/>
  <c r="X33" i="43"/>
  <c r="R313" i="58" s="1"/>
  <c r="U504" i="58"/>
  <c r="AG26" i="46"/>
  <c r="S504" i="58" s="1"/>
  <c r="U13" i="44"/>
  <c r="S388" i="58" s="1"/>
  <c r="Q388" i="58"/>
  <c r="X11" i="47"/>
  <c r="R354" i="58" s="1"/>
  <c r="T354" i="58"/>
  <c r="U12" i="53"/>
  <c r="S539" i="58" s="1"/>
  <c r="U539" i="58"/>
  <c r="T20" i="44"/>
  <c r="R395" i="58" s="1"/>
  <c r="T395" i="58"/>
  <c r="T98" i="58"/>
  <c r="X35" i="51"/>
  <c r="R98" i="58" s="1"/>
  <c r="T167" i="58"/>
  <c r="O34" i="40"/>
  <c r="R167" i="58" s="1"/>
  <c r="T12" i="44"/>
  <c r="R387" i="58" s="1"/>
  <c r="T387" i="58"/>
  <c r="H20" i="53"/>
  <c r="R526" i="58" s="1"/>
  <c r="T526" i="58"/>
  <c r="O35" i="51"/>
  <c r="R62" i="58" s="1"/>
  <c r="T62" i="58"/>
  <c r="X20" i="40"/>
  <c r="R186" i="58" s="1"/>
  <c r="P186" i="58"/>
  <c r="AF11" i="44"/>
  <c r="R412" i="58" s="1"/>
  <c r="T412" i="58"/>
  <c r="U415" i="58"/>
  <c r="AG14" i="44"/>
  <c r="S415" i="58" s="1"/>
  <c r="T191" i="58"/>
  <c r="X26" i="40"/>
  <c r="R191" i="58" s="1"/>
  <c r="T32" i="46"/>
  <c r="R482" i="58" s="1"/>
  <c r="T482" i="58"/>
  <c r="O4" i="40"/>
  <c r="R141" i="58" s="1"/>
  <c r="T141" i="58"/>
  <c r="X27" i="43"/>
  <c r="R307" i="58" s="1"/>
  <c r="T307" i="58"/>
  <c r="U546" i="58"/>
  <c r="U21" i="53"/>
  <c r="S546" i="58" s="1"/>
  <c r="O22" i="51"/>
  <c r="R52" i="58" s="1"/>
  <c r="T52" i="58"/>
  <c r="H6" i="46"/>
  <c r="R434" i="58" s="1"/>
  <c r="T434" i="58"/>
  <c r="H38" i="46"/>
  <c r="R459" i="58" s="1"/>
  <c r="T459" i="58"/>
  <c r="H9" i="46"/>
  <c r="R437" i="58" s="1"/>
  <c r="T437" i="58"/>
  <c r="F25" i="43"/>
  <c r="R219" i="58" s="1"/>
  <c r="T219" i="58"/>
  <c r="F51" i="43"/>
  <c r="R241" i="58" s="1"/>
  <c r="T241" i="58"/>
  <c r="F26" i="43"/>
  <c r="R220" i="58" s="1"/>
  <c r="T220" i="58"/>
  <c r="F38" i="43"/>
  <c r="R232" i="58" s="1"/>
  <c r="T232" i="58"/>
  <c r="F17" i="43"/>
  <c r="R213" i="58" s="1"/>
  <c r="T213" i="58"/>
  <c r="H23" i="53"/>
  <c r="R529" i="58" s="1"/>
  <c r="T529" i="58"/>
  <c r="I19" i="53"/>
  <c r="S525" i="58" s="1"/>
  <c r="U525" i="58"/>
  <c r="H28" i="53"/>
  <c r="R532" i="58" s="1"/>
  <c r="T532" i="58"/>
  <c r="T21" i="58"/>
  <c r="F28" i="51"/>
  <c r="R21" i="58" s="1"/>
  <c r="U14" i="46"/>
  <c r="S468" i="58" s="1"/>
  <c r="U468" i="58"/>
  <c r="T13" i="46"/>
  <c r="R467" i="58" s="1"/>
  <c r="T467" i="58"/>
  <c r="X32" i="43"/>
  <c r="R312" i="58" s="1"/>
  <c r="T312" i="58"/>
  <c r="AF33" i="46"/>
  <c r="R510" i="58" s="1"/>
  <c r="T510" i="58"/>
  <c r="T8" i="46"/>
  <c r="R463" i="58" s="1"/>
  <c r="T463" i="58"/>
  <c r="AF11" i="46"/>
  <c r="R492" i="58" s="1"/>
  <c r="T492" i="58"/>
  <c r="T485" i="58"/>
  <c r="T37" i="46"/>
  <c r="R485" i="58" s="1"/>
  <c r="T184" i="58"/>
  <c r="X18" i="40"/>
  <c r="R184" i="58" s="1"/>
  <c r="T94" i="58"/>
  <c r="X30" i="51"/>
  <c r="R94" i="58" s="1"/>
  <c r="T101" i="58"/>
  <c r="X38" i="51"/>
  <c r="R101" i="58" s="1"/>
  <c r="T2" i="58"/>
  <c r="F5" i="51"/>
  <c r="R2" i="58" s="1"/>
  <c r="T31" i="46"/>
  <c r="R481" i="58" s="1"/>
  <c r="T481" i="58"/>
  <c r="AF27" i="44"/>
  <c r="R428" i="58" s="1"/>
  <c r="T428" i="58"/>
  <c r="T431" i="58"/>
  <c r="AF31" i="44"/>
  <c r="R431" i="58" s="1"/>
  <c r="O11" i="47"/>
  <c r="R346" i="58" s="1"/>
  <c r="T346" i="58"/>
  <c r="T74" i="58"/>
  <c r="X5" i="51"/>
  <c r="R74" i="58" s="1"/>
  <c r="T297" i="58"/>
  <c r="X15" i="43"/>
  <c r="R297" i="58" s="1"/>
  <c r="AG20" i="44"/>
  <c r="S421" i="58" s="1"/>
  <c r="U421" i="58"/>
  <c r="T20" i="46"/>
  <c r="R473" i="58" s="1"/>
  <c r="T473" i="58"/>
  <c r="U420" i="58"/>
  <c r="AG19" i="44"/>
  <c r="S420" i="58" s="1"/>
  <c r="AF25" i="46"/>
  <c r="R503" i="58" s="1"/>
  <c r="T503" i="58"/>
  <c r="X28" i="40"/>
  <c r="R193" i="58" s="1"/>
  <c r="T193" i="58"/>
  <c r="T11" i="44"/>
  <c r="R386" i="58" s="1"/>
  <c r="T386" i="58"/>
  <c r="T172" i="58"/>
  <c r="X4" i="40"/>
  <c r="R172" i="58" s="1"/>
  <c r="T24" i="58"/>
  <c r="F32" i="51"/>
  <c r="R24" i="58" s="1"/>
  <c r="T150" i="58"/>
  <c r="O15" i="40"/>
  <c r="R150" i="58" s="1"/>
  <c r="T8" i="58"/>
  <c r="F12" i="51"/>
  <c r="R8" i="58" s="1"/>
  <c r="T425" i="58"/>
  <c r="AF24" i="44"/>
  <c r="R425" i="58" s="1"/>
  <c r="T479" i="58"/>
  <c r="T29" i="46"/>
  <c r="R479" i="58" s="1"/>
  <c r="T16" i="58"/>
  <c r="F22" i="51"/>
  <c r="R16" i="58" s="1"/>
  <c r="T170" i="58"/>
  <c r="O37" i="40"/>
  <c r="R170" i="58" s="1"/>
  <c r="X37" i="43"/>
  <c r="R317" i="58" s="1"/>
  <c r="T317" i="58"/>
  <c r="T22" i="44"/>
  <c r="R397" i="58" s="1"/>
  <c r="T397" i="58"/>
  <c r="T88" i="58"/>
  <c r="X22" i="51"/>
  <c r="R88" i="58" s="1"/>
  <c r="F17" i="51"/>
  <c r="R12" i="58" s="1"/>
  <c r="T12" i="58"/>
  <c r="T24" i="44"/>
  <c r="R399" i="58" s="1"/>
  <c r="T399" i="58"/>
  <c r="AF19" i="53"/>
  <c r="R563" i="58" s="1"/>
  <c r="T563" i="58"/>
  <c r="T152" i="58"/>
  <c r="O17" i="40"/>
  <c r="R152" i="58" s="1"/>
  <c r="T187" i="58"/>
  <c r="X21" i="40"/>
  <c r="R187" i="58" s="1"/>
  <c r="T389" i="58"/>
  <c r="T14" i="44"/>
  <c r="R389" i="58" s="1"/>
  <c r="T13" i="44"/>
  <c r="R388" i="58" s="1"/>
  <c r="T388" i="58"/>
  <c r="T464" i="58"/>
  <c r="T9" i="46"/>
  <c r="R464" i="58" s="1"/>
  <c r="F7" i="51"/>
  <c r="R4" i="58" s="1"/>
  <c r="T4" i="58"/>
  <c r="X11" i="43"/>
  <c r="R294" i="58" s="1"/>
  <c r="T294" i="58"/>
  <c r="O8" i="51"/>
  <c r="R41" i="58" s="1"/>
  <c r="T41" i="58"/>
  <c r="T543" i="58"/>
  <c r="T18" i="53"/>
  <c r="R543" i="58" s="1"/>
  <c r="T171" i="58"/>
  <c r="O38" i="40"/>
  <c r="R171" i="58" s="1"/>
  <c r="U556" i="58"/>
  <c r="AG10" i="53"/>
  <c r="S556" i="58" s="1"/>
  <c r="O6" i="47"/>
  <c r="R341" i="58" s="1"/>
  <c r="T341" i="58"/>
  <c r="T6" i="44"/>
  <c r="R382" i="58" s="1"/>
  <c r="T382" i="58"/>
  <c r="T18" i="46"/>
  <c r="R471" i="58" s="1"/>
  <c r="P471" i="58"/>
  <c r="T421" i="58"/>
  <c r="AF20" i="44"/>
  <c r="R421" i="58" s="1"/>
  <c r="T65" i="58"/>
  <c r="O38" i="51"/>
  <c r="R65" i="58" s="1"/>
  <c r="T30" i="58"/>
  <c r="F40" i="51"/>
  <c r="R30" i="58" s="1"/>
  <c r="AG25" i="46"/>
  <c r="S503" i="58" s="1"/>
  <c r="U503" i="58"/>
  <c r="O45" i="51"/>
  <c r="R70" i="58" s="1"/>
  <c r="T70" i="58"/>
  <c r="X10" i="40"/>
  <c r="R177" i="58" s="1"/>
  <c r="T177" i="58"/>
  <c r="T553" i="58"/>
  <c r="AF6" i="53"/>
  <c r="R553" i="58" s="1"/>
  <c r="T413" i="58"/>
  <c r="AF12" i="44"/>
  <c r="R413" i="58" s="1"/>
  <c r="F37" i="51"/>
  <c r="R28" i="58" s="1"/>
  <c r="T28" i="58"/>
  <c r="AF33" i="44"/>
  <c r="R433" i="58" s="1"/>
  <c r="T433" i="58"/>
  <c r="U466" i="58"/>
  <c r="U12" i="46"/>
  <c r="S466" i="58" s="1"/>
  <c r="AG11" i="44"/>
  <c r="S412" i="58" s="1"/>
  <c r="U412" i="58"/>
  <c r="T18" i="58"/>
  <c r="F25" i="51"/>
  <c r="R18" i="58" s="1"/>
  <c r="T23" i="58"/>
  <c r="F31" i="51"/>
  <c r="R23" i="58" s="1"/>
  <c r="T163" i="58"/>
  <c r="O29" i="40"/>
  <c r="R163" i="58" s="1"/>
  <c r="X36" i="43"/>
  <c r="R316" i="58" s="1"/>
  <c r="T316" i="58"/>
  <c r="U394" i="58"/>
  <c r="U19" i="44"/>
  <c r="S394" i="58" s="1"/>
  <c r="T26" i="58"/>
  <c r="F35" i="51"/>
  <c r="R26" i="58" s="1"/>
  <c r="X21" i="43"/>
  <c r="R302" i="58" s="1"/>
  <c r="T302" i="58"/>
  <c r="T142" i="58"/>
  <c r="O5" i="40"/>
  <c r="R142" i="58" s="1"/>
  <c r="AF6" i="44"/>
  <c r="R408" i="58" s="1"/>
  <c r="P408" i="58"/>
  <c r="T47" i="58"/>
  <c r="O16" i="51"/>
  <c r="R47" i="58" s="1"/>
  <c r="T391" i="58"/>
  <c r="T16" i="44"/>
  <c r="R391" i="58" s="1"/>
  <c r="X9" i="43"/>
  <c r="R292" i="58" s="1"/>
  <c r="T292" i="58"/>
  <c r="O10" i="51"/>
  <c r="R42" i="58" s="1"/>
  <c r="T42" i="58"/>
  <c r="T87" i="58"/>
  <c r="X21" i="51"/>
  <c r="R87" i="58" s="1"/>
  <c r="AF31" i="46"/>
  <c r="R508" i="58" s="1"/>
  <c r="T508" i="58"/>
  <c r="T148" i="58"/>
  <c r="O13" i="40"/>
  <c r="R148" i="58" s="1"/>
  <c r="T86" i="58"/>
  <c r="X20" i="51"/>
  <c r="R86" i="58" s="1"/>
  <c r="T33" i="46"/>
  <c r="R483" i="58" s="1"/>
  <c r="T483" i="58"/>
  <c r="U389" i="58"/>
  <c r="U14" i="44"/>
  <c r="S389" i="58" s="1"/>
  <c r="T81" i="58"/>
  <c r="X13" i="51"/>
  <c r="R81" i="58" s="1"/>
  <c r="AF25" i="44"/>
  <c r="R426" i="58" s="1"/>
  <c r="P426" i="58"/>
  <c r="T535" i="58"/>
  <c r="T7" i="53"/>
  <c r="R535" i="58" s="1"/>
  <c r="T145" i="58"/>
  <c r="O9" i="40"/>
  <c r="R145" i="58" s="1"/>
  <c r="T157" i="58"/>
  <c r="O23" i="40"/>
  <c r="R157" i="58" s="1"/>
  <c r="T33" i="58"/>
  <c r="F43" i="51"/>
  <c r="R33" i="58" s="1"/>
  <c r="T80" i="58"/>
  <c r="X12" i="51"/>
  <c r="R80" i="58" s="1"/>
  <c r="N6" i="2"/>
  <c r="M6" i="2" s="1"/>
  <c r="M5" i="2" s="1"/>
  <c r="H21" i="53"/>
  <c r="R527" i="58" s="1"/>
  <c r="H12" i="53"/>
  <c r="R520" i="58" s="1"/>
  <c r="I12" i="53"/>
  <c r="S520" i="58" s="1"/>
  <c r="I18" i="53"/>
  <c r="S524" i="58" s="1"/>
  <c r="I11" i="53"/>
  <c r="S519" i="58" s="1"/>
  <c r="H11" i="53"/>
  <c r="R519" i="58" s="1"/>
  <c r="H15" i="53"/>
  <c r="R522" i="58" s="1"/>
  <c r="H26" i="53"/>
  <c r="R530" i="58" s="1"/>
  <c r="I15" i="53"/>
  <c r="S522" i="58" s="1"/>
  <c r="H16" i="53"/>
  <c r="R523" i="58" s="1"/>
  <c r="H10" i="53"/>
  <c r="R518" i="58" s="1"/>
  <c r="F4" i="47"/>
  <c r="R332" i="58" s="1"/>
  <c r="F9" i="47"/>
  <c r="R336" i="58" s="1"/>
  <c r="F8" i="47"/>
  <c r="R335" i="58" s="1"/>
  <c r="F7" i="47"/>
  <c r="R334" i="58" s="1"/>
  <c r="F12" i="47"/>
  <c r="R339" i="58" s="1"/>
  <c r="F11" i="47"/>
  <c r="R338" i="58" s="1"/>
  <c r="F6" i="47"/>
  <c r="R333" i="58" s="1"/>
  <c r="O16" i="43"/>
  <c r="R255" i="58" s="1"/>
  <c r="O24" i="43"/>
  <c r="R261" i="58" s="1"/>
  <c r="O10" i="43"/>
  <c r="R250" i="58" s="1"/>
  <c r="O56" i="43"/>
  <c r="R287" i="58" s="1"/>
  <c r="O11" i="43"/>
  <c r="R251" i="58" s="1"/>
  <c r="O36" i="43"/>
  <c r="R273" i="58" s="1"/>
  <c r="O55" i="43"/>
  <c r="R286" i="58" s="1"/>
  <c r="O48" i="43"/>
  <c r="R282" i="58" s="1"/>
  <c r="O40" i="43"/>
  <c r="R276" i="58" s="1"/>
  <c r="O33" i="43"/>
  <c r="R270" i="58" s="1"/>
  <c r="O31" i="43"/>
  <c r="R268" i="58" s="1"/>
  <c r="O25" i="43"/>
  <c r="R262" i="58" s="1"/>
  <c r="O45" i="43"/>
  <c r="R281" i="58" s="1"/>
  <c r="O20" i="43"/>
  <c r="R258" i="58" s="1"/>
  <c r="O7" i="43"/>
  <c r="R247" i="58" s="1"/>
  <c r="O9" i="43"/>
  <c r="R249" i="58" s="1"/>
  <c r="O19" i="43"/>
  <c r="R257" i="58" s="1"/>
  <c r="O35" i="43"/>
  <c r="R272" i="58" s="1"/>
  <c r="O8" i="43"/>
  <c r="R248" i="58" s="1"/>
  <c r="F32" i="43"/>
  <c r="R226" i="58" s="1"/>
  <c r="O37" i="43"/>
  <c r="R274" i="58" s="1"/>
  <c r="O17" i="43"/>
  <c r="R256" i="58" s="1"/>
  <c r="O29" i="43"/>
  <c r="R266" i="58" s="1"/>
  <c r="O38" i="43"/>
  <c r="R275" i="58" s="1"/>
  <c r="O15" i="43"/>
  <c r="R254" i="58" s="1"/>
  <c r="O28" i="43"/>
  <c r="R265" i="58" s="1"/>
  <c r="O27" i="43"/>
  <c r="R264" i="58" s="1"/>
  <c r="F52" i="43"/>
  <c r="R242" i="58" s="1"/>
  <c r="F57" i="43"/>
  <c r="R245" i="58" s="1"/>
  <c r="O26" i="43"/>
  <c r="R263" i="58" s="1"/>
  <c r="O51" i="43"/>
  <c r="R284" i="58" s="1"/>
  <c r="O34" i="43"/>
  <c r="R271" i="58" s="1"/>
  <c r="O44" i="43"/>
  <c r="R280" i="58" s="1"/>
  <c r="O22" i="43"/>
  <c r="R260" i="58" s="1"/>
  <c r="F7" i="43"/>
  <c r="R204" i="58" s="1"/>
  <c r="F16" i="43"/>
  <c r="R212" i="58" s="1"/>
  <c r="F8" i="43"/>
  <c r="R205" i="58" s="1"/>
  <c r="F10" i="43"/>
  <c r="R207" i="58" s="1"/>
  <c r="F24" i="43"/>
  <c r="R218" i="58" s="1"/>
  <c r="F14" i="43"/>
  <c r="R210" i="58" s="1"/>
  <c r="F29" i="43"/>
  <c r="R223" i="58" s="1"/>
  <c r="F31" i="43"/>
  <c r="R225" i="58" s="1"/>
  <c r="F35" i="43"/>
  <c r="R229" i="58" s="1"/>
  <c r="F33" i="43"/>
  <c r="R227" i="58" s="1"/>
  <c r="F30" i="43"/>
  <c r="R224" i="58" s="1"/>
  <c r="F22" i="43"/>
  <c r="R217" i="58" s="1"/>
  <c r="F44" i="43"/>
  <c r="R237" i="58" s="1"/>
  <c r="F11" i="43"/>
  <c r="R208" i="58" s="1"/>
  <c r="F45" i="43"/>
  <c r="R238" i="58" s="1"/>
  <c r="F19" i="43"/>
  <c r="R214" i="58" s="1"/>
  <c r="F55" i="43"/>
  <c r="R243" i="58" s="1"/>
  <c r="F9" i="43"/>
  <c r="R206" i="58" s="1"/>
  <c r="F28" i="43"/>
  <c r="R222" i="58" s="1"/>
  <c r="F56" i="43"/>
  <c r="R244" i="58" s="1"/>
  <c r="F48" i="43"/>
  <c r="R239" i="58" s="1"/>
  <c r="F15" i="43"/>
  <c r="R211" i="58" s="1"/>
  <c r="F40" i="43"/>
  <c r="R233" i="58" s="1"/>
  <c r="F42" i="43"/>
  <c r="R235" i="58" s="1"/>
  <c r="F27" i="43"/>
  <c r="R221" i="58" s="1"/>
  <c r="F36" i="43"/>
  <c r="R230" i="58" s="1"/>
  <c r="F34" i="43"/>
  <c r="R228" i="58" s="1"/>
  <c r="F20" i="43"/>
  <c r="R215" i="58" s="1"/>
  <c r="I11" i="46"/>
  <c r="S438" i="58" s="1"/>
  <c r="H33" i="46"/>
  <c r="R456" i="58" s="1"/>
  <c r="H21" i="46"/>
  <c r="R581" i="58" s="1"/>
  <c r="H16" i="46"/>
  <c r="R442" i="58" s="1"/>
  <c r="H11" i="46"/>
  <c r="R438" i="58" s="1"/>
  <c r="H39" i="46"/>
  <c r="R460" i="58" s="1"/>
  <c r="H31" i="46"/>
  <c r="R454" i="58" s="1"/>
  <c r="H7" i="46"/>
  <c r="R435" i="58" s="1"/>
  <c r="H37" i="46"/>
  <c r="R458" i="58" s="1"/>
  <c r="I29" i="46"/>
  <c r="S452" i="58" s="1"/>
  <c r="I14" i="46"/>
  <c r="S441" i="58" s="1"/>
  <c r="H29" i="46"/>
  <c r="R452" i="58" s="1"/>
  <c r="H32" i="46"/>
  <c r="R455" i="58" s="1"/>
  <c r="H12" i="46"/>
  <c r="R439" i="58" s="1"/>
  <c r="H24" i="46"/>
  <c r="R448" i="58" s="1"/>
  <c r="H25" i="46"/>
  <c r="R449" i="58" s="1"/>
  <c r="H17" i="46"/>
  <c r="R443" i="58" s="1"/>
  <c r="H13" i="46"/>
  <c r="R440" i="58" s="1"/>
  <c r="H14" i="46"/>
  <c r="R441" i="58" s="1"/>
  <c r="H36" i="46"/>
  <c r="R457" i="58" s="1"/>
  <c r="I25" i="46"/>
  <c r="S449" i="58" s="1"/>
  <c r="H20" i="46"/>
  <c r="R446" i="58" s="1"/>
  <c r="H30" i="46"/>
  <c r="R453" i="58" s="1"/>
  <c r="H18" i="46"/>
  <c r="R444" i="58" s="1"/>
  <c r="H28" i="46"/>
  <c r="R451" i="58" s="1"/>
  <c r="I12" i="44"/>
  <c r="S361" i="58" s="1"/>
  <c r="H28" i="44"/>
  <c r="R377" i="58" s="1"/>
  <c r="H26" i="44"/>
  <c r="R375" i="58" s="1"/>
  <c r="H17" i="44"/>
  <c r="R366" i="58" s="1"/>
  <c r="H9" i="44"/>
  <c r="R359" i="58" s="1"/>
  <c r="H14" i="44"/>
  <c r="R363" i="58" s="1"/>
  <c r="I24" i="44"/>
  <c r="S373" i="58" s="1"/>
  <c r="H22" i="44"/>
  <c r="R371" i="58" s="1"/>
  <c r="H24" i="44"/>
  <c r="R373" i="58" s="1"/>
  <c r="H30" i="44"/>
  <c r="R378" i="58" s="1"/>
  <c r="I11" i="44"/>
  <c r="S360" i="58" s="1"/>
  <c r="H32" i="44"/>
  <c r="R380" i="58" s="1"/>
  <c r="H31" i="44"/>
  <c r="R379" i="58" s="1"/>
  <c r="H33" i="44"/>
  <c r="R381" i="58" s="1"/>
  <c r="I13" i="44"/>
  <c r="S362" i="58" s="1"/>
  <c r="H27" i="44"/>
  <c r="R376" i="58" s="1"/>
  <c r="H11" i="44"/>
  <c r="R360" i="58" s="1"/>
  <c r="H15" i="44"/>
  <c r="R364" i="58" s="1"/>
  <c r="H6" i="44"/>
  <c r="R356" i="58" s="1"/>
  <c r="H23" i="44"/>
  <c r="R372" i="58" s="1"/>
  <c r="H13" i="44"/>
  <c r="R362" i="58" s="1"/>
  <c r="H16" i="44"/>
  <c r="R365" i="58" s="1"/>
  <c r="H12" i="44"/>
  <c r="R361" i="58" s="1"/>
  <c r="I20" i="44"/>
  <c r="S369" i="58" s="1"/>
  <c r="I19" i="44"/>
  <c r="S368" i="58" s="1"/>
  <c r="H8" i="44"/>
  <c r="R358" i="58" s="1"/>
  <c r="H20" i="44"/>
  <c r="R369" i="58" s="1"/>
  <c r="H25" i="44"/>
  <c r="R374" i="58" s="1"/>
  <c r="H7" i="44"/>
  <c r="R357" i="58" s="1"/>
  <c r="H19" i="44"/>
  <c r="R368" i="58" s="1"/>
  <c r="F30" i="40"/>
  <c r="R133" i="58" s="1"/>
  <c r="F35" i="40"/>
  <c r="R137" i="58" s="1"/>
  <c r="F23" i="40"/>
  <c r="R126" i="58" s="1"/>
  <c r="F19" i="40"/>
  <c r="R123" i="58" s="1"/>
  <c r="F37" i="40"/>
  <c r="R139" i="58" s="1"/>
  <c r="F29" i="40"/>
  <c r="R132" i="58" s="1"/>
  <c r="F13" i="40"/>
  <c r="R117" i="58" s="1"/>
  <c r="F12" i="40"/>
  <c r="R116" i="58" s="1"/>
  <c r="F25" i="40"/>
  <c r="R128" i="58" s="1"/>
  <c r="F34" i="40"/>
  <c r="R136" i="58" s="1"/>
  <c r="F7" i="40"/>
  <c r="R112" i="58" s="1"/>
  <c r="F18" i="40"/>
  <c r="R122" i="58" s="1"/>
  <c r="F14" i="40"/>
  <c r="R118" i="58" s="1"/>
  <c r="F16" i="40"/>
  <c r="R120" i="58" s="1"/>
  <c r="F4" i="40"/>
  <c r="R110" i="58" s="1"/>
  <c r="F10" i="40"/>
  <c r="R115" i="58" s="1"/>
  <c r="F38" i="40"/>
  <c r="R140" i="58" s="1"/>
  <c r="F15" i="40"/>
  <c r="R119" i="58" s="1"/>
  <c r="F32" i="40"/>
  <c r="R135" i="58" s="1"/>
  <c r="F36" i="40"/>
  <c r="R138" i="58" s="1"/>
  <c r="F5" i="40"/>
  <c r="R111" i="58" s="1"/>
  <c r="F20" i="40"/>
  <c r="R124" i="58" s="1"/>
  <c r="F28" i="40"/>
  <c r="R131" i="58" s="1"/>
  <c r="F31" i="40"/>
  <c r="R134" i="58" s="1"/>
  <c r="F24" i="40"/>
  <c r="R127" i="58" s="1"/>
  <c r="F17" i="40"/>
  <c r="R121" i="58" s="1"/>
  <c r="M38" i="2"/>
  <c r="M37" i="2" s="1"/>
  <c r="N29" i="2"/>
  <c r="M29" i="2" s="1"/>
  <c r="M28" i="2" s="1"/>
  <c r="C25" i="2"/>
  <c r="D25" i="2" s="1"/>
  <c r="Z22" i="65" l="1" a="1"/>
  <c r="Z22" i="65" s="1"/>
  <c r="V732" i="58" s="1"/>
  <c r="Z21" i="65" a="1"/>
  <c r="Z21" i="65" s="1"/>
  <c r="V731" i="58" s="1"/>
  <c r="Z20" i="65" a="1"/>
  <c r="Z20" i="65" s="1"/>
  <c r="V730" i="58" s="1"/>
  <c r="Z6" i="65" a="1"/>
  <c r="Z6" i="65" s="1"/>
  <c r="V716" i="58" s="1"/>
  <c r="Z27" i="65" a="1"/>
  <c r="Z27" i="65" s="1"/>
  <c r="V735" i="58" s="1"/>
  <c r="Q12" i="65" a="1"/>
  <c r="Q12" i="65" s="1"/>
  <c r="V689" i="58" s="1"/>
  <c r="Q33" i="65" a="1"/>
  <c r="Q33" i="65" s="1"/>
  <c r="V708" i="58" s="1"/>
  <c r="H37" i="65" a="1"/>
  <c r="H37" i="65" s="1"/>
  <c r="V677" i="58" s="1"/>
  <c r="H33" i="65" a="1"/>
  <c r="H33" i="65" s="1"/>
  <c r="V675" i="58" s="1"/>
  <c r="H15" i="65" a="1"/>
  <c r="H15" i="65" s="1"/>
  <c r="V659" i="58" s="1"/>
  <c r="H16" i="65" a="1"/>
  <c r="H16" i="65" s="1"/>
  <c r="V660" i="58" s="1"/>
  <c r="Q10" i="65" a="1"/>
  <c r="Q10" i="65" s="1"/>
  <c r="V687" i="58" s="1"/>
  <c r="H25" i="65" a="1"/>
  <c r="H25" i="65" s="1"/>
  <c r="V667" i="58" s="1"/>
  <c r="Z39" i="65" a="1"/>
  <c r="Z39" i="65" s="1"/>
  <c r="V745" i="58" s="1"/>
  <c r="Q29" i="65" a="1"/>
  <c r="Q29" i="65" s="1"/>
  <c r="V704" i="58" s="1"/>
  <c r="H18" i="65" a="1"/>
  <c r="H18" i="65" s="1"/>
  <c r="V662" i="58" s="1"/>
  <c r="Z8" i="65" a="1"/>
  <c r="Z8" i="65" s="1"/>
  <c r="V718" i="58" s="1"/>
  <c r="Q37" i="65" a="1"/>
  <c r="Q37" i="65" s="1"/>
  <c r="V710" i="58" s="1"/>
  <c r="Z7" i="65" a="1"/>
  <c r="Z7" i="65" s="1"/>
  <c r="V717" i="58" s="1"/>
  <c r="H32" i="65" a="1"/>
  <c r="H32" i="65" s="1"/>
  <c r="V674" i="58" s="1"/>
  <c r="Z19" i="65" a="1"/>
  <c r="Z19" i="65" s="1"/>
  <c r="V729" i="58" s="1"/>
  <c r="Z42" i="65" a="1"/>
  <c r="Z42" i="65" s="1"/>
  <c r="V748" i="58" s="1"/>
  <c r="Z26" i="65" a="1"/>
  <c r="Z26" i="65" s="1"/>
  <c r="V734" i="58" s="1"/>
  <c r="Q11" i="65" a="1"/>
  <c r="Q11" i="65" s="1"/>
  <c r="V688" i="58" s="1"/>
  <c r="Q32" i="65" a="1"/>
  <c r="Q32" i="65" s="1"/>
  <c r="V707" i="58" s="1"/>
  <c r="H34" i="65" a="1"/>
  <c r="H34" i="65" s="1"/>
  <c r="V676" i="58" s="1"/>
  <c r="Z41" i="65" a="1"/>
  <c r="Z41" i="65" s="1"/>
  <c r="V747" i="58" s="1"/>
  <c r="Q31" i="65" a="1"/>
  <c r="Q31" i="65" s="1"/>
  <c r="V706" i="58" s="1"/>
  <c r="H17" i="65" a="1"/>
  <c r="H17" i="65" s="1"/>
  <c r="V661" i="58" s="1"/>
  <c r="Q8" i="65" a="1"/>
  <c r="Q8" i="65" s="1"/>
  <c r="V685" i="58" s="1"/>
  <c r="H7" i="65" a="1"/>
  <c r="H7" i="65" s="1"/>
  <c r="V651" i="58" s="1"/>
  <c r="Z29" i="65" a="1"/>
  <c r="Z29" i="65" s="1"/>
  <c r="V737" i="58" s="1"/>
  <c r="Z28" i="65" a="1"/>
  <c r="Z28" i="65" s="1"/>
  <c r="V736" i="58" s="1"/>
  <c r="Z18" i="65" a="1"/>
  <c r="Z18" i="65" s="1"/>
  <c r="V728" i="58" s="1"/>
  <c r="Z25" i="65" a="1"/>
  <c r="Z25" i="65" s="1"/>
  <c r="V733" i="58" s="1"/>
  <c r="Q22" i="65" a="1"/>
  <c r="Q22" i="65" s="1"/>
  <c r="V699" i="58" s="1"/>
  <c r="Z17" i="65" a="1"/>
  <c r="Z17" i="65" s="1"/>
  <c r="V727" i="58" s="1"/>
  <c r="Z40" i="65" a="1"/>
  <c r="Z40" i="65" s="1"/>
  <c r="V746" i="58" s="1"/>
  <c r="Q9" i="65" a="1"/>
  <c r="Q9" i="65" s="1"/>
  <c r="V686" i="58" s="1"/>
  <c r="Q30" i="65" a="1"/>
  <c r="Q30" i="65" s="1"/>
  <c r="V705" i="58" s="1"/>
  <c r="H22" i="65" a="1"/>
  <c r="H22" i="65" s="1"/>
  <c r="V666" i="58" s="1"/>
  <c r="Z16" i="65" a="1"/>
  <c r="Z16" i="65" s="1"/>
  <c r="V726" i="58" s="1"/>
  <c r="Z15" i="65" a="1"/>
  <c r="Z15" i="65" s="1"/>
  <c r="V725" i="58" s="1"/>
  <c r="Z38" i="65" a="1"/>
  <c r="Z38" i="65" s="1"/>
  <c r="V744" i="58" s="1"/>
  <c r="Q21" i="65" a="1"/>
  <c r="Q21" i="65" s="1"/>
  <c r="V698" i="58" s="1"/>
  <c r="Q7" i="65" a="1"/>
  <c r="Q7" i="65" s="1"/>
  <c r="V684" i="58" s="1"/>
  <c r="Q28" i="65" a="1"/>
  <c r="Q28" i="65" s="1"/>
  <c r="V703" i="58" s="1"/>
  <c r="H8" i="65" a="1"/>
  <c r="H8" i="65" s="1"/>
  <c r="V652" i="58" s="1"/>
  <c r="H19" i="65" a="1"/>
  <c r="H19" i="65" s="1"/>
  <c r="V663" i="58" s="1"/>
  <c r="Z37" i="65" a="1"/>
  <c r="Z37" i="65" s="1"/>
  <c r="V743" i="58" s="1"/>
  <c r="Q20" i="65" a="1"/>
  <c r="Q20" i="65" s="1"/>
  <c r="V697" i="58" s="1"/>
  <c r="Q6" i="65" a="1"/>
  <c r="Q6" i="65" s="1"/>
  <c r="V683" i="58" s="1"/>
  <c r="Q27" i="65" a="1"/>
  <c r="Q27" i="65" s="1"/>
  <c r="V702" i="58" s="1"/>
  <c r="H13" i="65" a="1"/>
  <c r="H13" i="65" s="1"/>
  <c r="V657" i="58" s="1"/>
  <c r="H42" i="65" a="1"/>
  <c r="H42" i="65" s="1"/>
  <c r="V682" i="58" s="1"/>
  <c r="Z14" i="65" a="1"/>
  <c r="Z14" i="65" s="1"/>
  <c r="V724" i="58" s="1"/>
  <c r="H9" i="65" a="1"/>
  <c r="H9" i="65" s="1"/>
  <c r="V653" i="58" s="1"/>
  <c r="Z13" i="65" a="1"/>
  <c r="Z13" i="65" s="1"/>
  <c r="V723" i="58" s="1"/>
  <c r="Z34" i="65" a="1"/>
  <c r="Z34" i="65" s="1"/>
  <c r="V742" i="58" s="1"/>
  <c r="Q19" i="65" a="1"/>
  <c r="Q19" i="65" s="1"/>
  <c r="V696" i="58" s="1"/>
  <c r="Q42" i="65" a="1"/>
  <c r="Q42" i="65" s="1"/>
  <c r="V715" i="58" s="1"/>
  <c r="Q26" i="65" a="1"/>
  <c r="Q26" i="65" s="1"/>
  <c r="V701" i="58" s="1"/>
  <c r="H26" i="65" a="1"/>
  <c r="H26" i="65" s="1"/>
  <c r="V668" i="58" s="1"/>
  <c r="H20" i="65" a="1"/>
  <c r="H20" i="65" s="1"/>
  <c r="V664" i="58" s="1"/>
  <c r="Q18" i="65" a="1"/>
  <c r="Q18" i="65" s="1"/>
  <c r="V695" i="58" s="1"/>
  <c r="Q41" i="65" a="1"/>
  <c r="Q41" i="65" s="1"/>
  <c r="V714" i="58" s="1"/>
  <c r="Q25" i="65" a="1"/>
  <c r="Q25" i="65" s="1"/>
  <c r="V700" i="58" s="1"/>
  <c r="H38" i="65" a="1"/>
  <c r="H38" i="65" s="1"/>
  <c r="V678" i="58" s="1"/>
  <c r="H27" i="65" a="1"/>
  <c r="H27" i="65" s="1"/>
  <c r="V669" i="58" s="1"/>
  <c r="H10" i="65" a="1"/>
  <c r="H10" i="65" s="1"/>
  <c r="V654" i="58" s="1"/>
  <c r="H21" i="65" a="1"/>
  <c r="H21" i="65" s="1"/>
  <c r="V665" i="58" s="1"/>
  <c r="Z32" i="65" a="1"/>
  <c r="Z32" i="65" s="1"/>
  <c r="V740" i="58" s="1"/>
  <c r="Q17" i="65" a="1"/>
  <c r="Q17" i="65" s="1"/>
  <c r="V694" i="58" s="1"/>
  <c r="Q40" i="65" a="1"/>
  <c r="Q40" i="65" s="1"/>
  <c r="V713" i="58" s="1"/>
  <c r="H39" i="65" a="1"/>
  <c r="H39" i="65" s="1"/>
  <c r="V679" i="58" s="1"/>
  <c r="H28" i="65" a="1"/>
  <c r="H28" i="65" s="1"/>
  <c r="V670" i="58" s="1"/>
  <c r="H6" i="65" a="1"/>
  <c r="H6" i="65" s="1"/>
  <c r="V650" i="58" s="1"/>
  <c r="Z31" i="65" a="1"/>
  <c r="Z31" i="65" s="1"/>
  <c r="V739" i="58" s="1"/>
  <c r="Q16" i="65" a="1"/>
  <c r="Q16" i="65" s="1"/>
  <c r="V693" i="58" s="1"/>
  <c r="Q39" i="65" a="1"/>
  <c r="Q39" i="65" s="1"/>
  <c r="V712" i="58" s="1"/>
  <c r="H40" i="65" a="1"/>
  <c r="H40" i="65" s="1"/>
  <c r="V680" i="58" s="1"/>
  <c r="H29" i="65" a="1"/>
  <c r="H29" i="65" s="1"/>
  <c r="V671" i="58" s="1"/>
  <c r="Z30" i="65" a="1"/>
  <c r="Z30" i="65" s="1"/>
  <c r="V738" i="58" s="1"/>
  <c r="H41" i="65" a="1"/>
  <c r="H41" i="65" s="1"/>
  <c r="V681" i="58" s="1"/>
  <c r="H12" i="65" a="1"/>
  <c r="H12" i="65" s="1"/>
  <c r="V656" i="58" s="1"/>
  <c r="H31" i="65" a="1"/>
  <c r="H31" i="65" s="1"/>
  <c r="V673" i="58" s="1"/>
  <c r="Q34" i="65" a="1"/>
  <c r="Q34" i="65" s="1"/>
  <c r="V709" i="58" s="1"/>
  <c r="Z12" i="65" a="1"/>
  <c r="Z12" i="65" s="1"/>
  <c r="V722" i="58" s="1"/>
  <c r="Z33" i="65" a="1"/>
  <c r="Z33" i="65" s="1"/>
  <c r="V741" i="58" s="1"/>
  <c r="H11" i="65" a="1"/>
  <c r="H11" i="65" s="1"/>
  <c r="V655" i="58" s="1"/>
  <c r="Q15" i="65" a="1"/>
  <c r="Q15" i="65" s="1"/>
  <c r="V692" i="58" s="1"/>
  <c r="H30" i="65" a="1"/>
  <c r="H30" i="65" s="1"/>
  <c r="V672" i="58" s="1"/>
  <c r="Q14" i="65" a="1"/>
  <c r="Q14" i="65" s="1"/>
  <c r="V691" i="58" s="1"/>
  <c r="Q13" i="65" a="1"/>
  <c r="Q13" i="65" s="1"/>
  <c r="V690" i="58" s="1"/>
  <c r="H14" i="65" a="1"/>
  <c r="H14" i="65" s="1"/>
  <c r="V658" i="58" s="1"/>
  <c r="Z11" i="65" a="1"/>
  <c r="Z11" i="65" s="1"/>
  <c r="V721" i="58" s="1"/>
  <c r="Z10" i="65" a="1"/>
  <c r="Z10" i="65" s="1"/>
  <c r="V720" i="58" s="1"/>
  <c r="Q38" i="65" a="1"/>
  <c r="Q38" i="65" s="1"/>
  <c r="V711" i="58" s="1"/>
  <c r="Z9" i="65" a="1"/>
  <c r="Z9" i="65" s="1"/>
  <c r="V719" i="58" s="1"/>
  <c r="Z8" i="64" a="1"/>
  <c r="Z8" i="64" s="1"/>
  <c r="Z24" i="64" a="1"/>
  <c r="Z24" i="64" s="1"/>
  <c r="Q15" i="64" a="1"/>
  <c r="Q15" i="64" s="1"/>
  <c r="Q31" i="64" a="1"/>
  <c r="Q31" i="64" s="1"/>
  <c r="H22" i="64" a="1"/>
  <c r="H22" i="64" s="1"/>
  <c r="H8" i="64" a="1"/>
  <c r="H8" i="64" s="1"/>
  <c r="H25" i="64" a="1"/>
  <c r="H25" i="64" s="1"/>
  <c r="Q27" i="64" a="1"/>
  <c r="Q27" i="64" s="1"/>
  <c r="Z9" i="64" a="1"/>
  <c r="Z9" i="64" s="1"/>
  <c r="Z25" i="64" a="1"/>
  <c r="Z25" i="64" s="1"/>
  <c r="Q16" i="64" a="1"/>
  <c r="Q16" i="64" s="1"/>
  <c r="Q6" i="64" a="1"/>
  <c r="Q6" i="64" s="1"/>
  <c r="V585" i="58" s="1"/>
  <c r="Z28" i="64" a="1"/>
  <c r="Z28" i="64" s="1"/>
  <c r="H16" i="64" a="1"/>
  <c r="H16" i="64" s="1"/>
  <c r="Z10" i="64" a="1"/>
  <c r="Z10" i="64" s="1"/>
  <c r="Z27" i="64" a="1"/>
  <c r="Z27" i="64" s="1"/>
  <c r="Q17" i="64" a="1"/>
  <c r="Q17" i="64" s="1"/>
  <c r="H24" i="64" a="1"/>
  <c r="H24" i="64" s="1"/>
  <c r="H15" i="64" a="1"/>
  <c r="H15" i="64" s="1"/>
  <c r="Z11" i="64" a="1"/>
  <c r="Z11" i="64" s="1"/>
  <c r="Z12" i="64" a="1"/>
  <c r="Z12" i="64" s="1"/>
  <c r="Z29" i="64" a="1"/>
  <c r="Z29" i="64" s="1"/>
  <c r="Q19" i="64" a="1"/>
  <c r="Q19" i="64" s="1"/>
  <c r="H10" i="64" a="1"/>
  <c r="H10" i="64" s="1"/>
  <c r="H27" i="64" a="1"/>
  <c r="H27" i="64" s="1"/>
  <c r="Z30" i="64" a="1"/>
  <c r="Z30" i="64" s="1"/>
  <c r="Q20" i="64" a="1"/>
  <c r="Q20" i="64" s="1"/>
  <c r="H11" i="64" a="1"/>
  <c r="H11" i="64" s="1"/>
  <c r="H31" i="64" a="1"/>
  <c r="H31" i="64" s="1"/>
  <c r="Z13" i="64" a="1"/>
  <c r="Z13" i="64" s="1"/>
  <c r="Z15" i="64" a="1"/>
  <c r="Z15" i="64" s="1"/>
  <c r="Z31" i="64" a="1"/>
  <c r="Z31" i="64" s="1"/>
  <c r="Q22" i="64" a="1"/>
  <c r="Q22" i="64" s="1"/>
  <c r="H12" i="64" a="1"/>
  <c r="H12" i="64" s="1"/>
  <c r="H29" i="64" a="1"/>
  <c r="H29" i="64" s="1"/>
  <c r="Q23" i="64" a="1"/>
  <c r="Q23" i="64" s="1"/>
  <c r="H30" i="64" a="1"/>
  <c r="H30" i="64" s="1"/>
  <c r="Q8" i="64" a="1"/>
  <c r="Q8" i="64" s="1"/>
  <c r="Q25" i="64" a="1"/>
  <c r="Q25" i="64" s="1"/>
  <c r="Z16" i="64" a="1"/>
  <c r="Z16" i="64" s="1"/>
  <c r="Z6" i="64" a="1"/>
  <c r="Z6" i="64" s="1"/>
  <c r="V586" i="58" s="1"/>
  <c r="H13" i="64" a="1"/>
  <c r="H13" i="64" s="1"/>
  <c r="Q24" i="64" a="1"/>
  <c r="Q24" i="64" s="1"/>
  <c r="H6" i="64" a="1"/>
  <c r="H6" i="64" s="1"/>
  <c r="V584" i="58" s="1"/>
  <c r="Z17" i="64" a="1"/>
  <c r="Z17" i="64" s="1"/>
  <c r="Z18" i="64" a="1"/>
  <c r="Z18" i="64" s="1"/>
  <c r="Q9" i="64" a="1"/>
  <c r="Q9" i="64" s="1"/>
  <c r="Z19" i="64" a="1"/>
  <c r="Z19" i="64" s="1"/>
  <c r="Z20" i="64" a="1"/>
  <c r="Z20" i="64" s="1"/>
  <c r="Q11" i="64" a="1"/>
  <c r="Q11" i="64" s="1"/>
  <c r="Q28" i="64" a="1"/>
  <c r="Q28" i="64" s="1"/>
  <c r="H18" i="64" a="1"/>
  <c r="H18" i="64" s="1"/>
  <c r="H9" i="64" a="1"/>
  <c r="H9" i="64" s="1"/>
  <c r="H17" i="64" a="1"/>
  <c r="H17" i="64" s="1"/>
  <c r="Z22" i="64" a="1"/>
  <c r="Z22" i="64" s="1"/>
  <c r="Q12" i="64" a="1"/>
  <c r="Q12" i="64" s="1"/>
  <c r="Q29" i="64" a="1"/>
  <c r="Q29" i="64" s="1"/>
  <c r="H19" i="64" a="1"/>
  <c r="H19" i="64" s="1"/>
  <c r="H28" i="64" a="1"/>
  <c r="H28" i="64" s="1"/>
  <c r="Z23" i="64" a="1"/>
  <c r="Z23" i="64" s="1"/>
  <c r="Q13" i="64" a="1"/>
  <c r="Q13" i="64" s="1"/>
  <c r="Q30" i="64" a="1"/>
  <c r="Q30" i="64" s="1"/>
  <c r="H20" i="64" a="1"/>
  <c r="H20" i="64" s="1"/>
  <c r="H23" i="64" a="1"/>
  <c r="H23" i="64" s="1"/>
  <c r="Q18" i="64" a="1"/>
  <c r="Q18" i="64" s="1"/>
  <c r="Q10" i="64" a="1"/>
  <c r="Q10" i="64" s="1"/>
  <c r="R598" i="58"/>
  <c r="R592" i="58"/>
  <c r="R597" i="58"/>
  <c r="R591" i="58"/>
  <c r="R596" i="58"/>
  <c r="R590" i="58"/>
  <c r="L22" i="46" a="1"/>
  <c r="L22" i="46" s="1"/>
  <c r="V447" i="58" s="1"/>
  <c r="Z53" i="43" a="1"/>
  <c r="Z53" i="43" s="1"/>
  <c r="V580" i="58" s="1"/>
  <c r="AJ22" i="46" a="1"/>
  <c r="AJ22" i="46" s="1"/>
  <c r="V501" i="58" s="1"/>
  <c r="L30" i="46" a="1"/>
  <c r="L30" i="46" s="1"/>
  <c r="Q53" i="43" a="1"/>
  <c r="Q53" i="43" s="1"/>
  <c r="V579" i="58" s="1"/>
  <c r="L31" i="46" a="1"/>
  <c r="L31" i="46" s="1"/>
  <c r="X22" i="46" a="1"/>
  <c r="X22" i="46" s="1"/>
  <c r="V474" i="58" s="1"/>
  <c r="H53" i="43" a="1"/>
  <c r="H53" i="43" s="1"/>
  <c r="V578" i="58" s="1"/>
  <c r="H48" i="43" a="1"/>
  <c r="H48" i="43" s="1"/>
  <c r="V239" i="58" s="1"/>
  <c r="X24" i="53" a="1"/>
  <c r="X24" i="53" s="1"/>
  <c r="AJ24" i="53" a="1"/>
  <c r="AJ24" i="53" s="1"/>
  <c r="L24" i="53" a="1"/>
  <c r="L24" i="53" s="1"/>
  <c r="H29" i="43" a="1"/>
  <c r="H29" i="43" s="1"/>
  <c r="V223" i="58" s="1"/>
  <c r="X34" i="46" a="1"/>
  <c r="X34" i="46" s="1"/>
  <c r="L34" i="46" a="1"/>
  <c r="L34" i="46" s="1"/>
  <c r="AJ34" i="46" a="1"/>
  <c r="AJ34" i="46" s="1"/>
  <c r="Z57" i="43" a="1"/>
  <c r="Z57" i="43" s="1"/>
  <c r="Q57" i="43" a="1"/>
  <c r="Q57" i="43" s="1"/>
  <c r="V288" i="58" s="1"/>
  <c r="H57" i="43" a="1"/>
  <c r="H57" i="43" s="1"/>
  <c r="V245" i="58" s="1"/>
  <c r="H38" i="43" a="1"/>
  <c r="H38" i="43" s="1"/>
  <c r="V232" i="58" s="1"/>
  <c r="H28" i="43" a="1"/>
  <c r="H28" i="43" s="1"/>
  <c r="V222" i="58" s="1"/>
  <c r="X13" i="53" a="1"/>
  <c r="X13" i="53" s="1"/>
  <c r="V540" i="58" s="1"/>
  <c r="L13" i="53" a="1"/>
  <c r="L13" i="53" s="1"/>
  <c r="V521" i="58" s="1"/>
  <c r="D53" i="2"/>
  <c r="E51" i="2" s="1"/>
  <c r="D39" i="2"/>
  <c r="E37" i="2" s="1"/>
  <c r="Z6" i="43" a="1"/>
  <c r="Z6" i="43" s="1"/>
  <c r="Q6" i="43" a="1"/>
  <c r="Q6" i="43" s="1"/>
  <c r="L11" i="44" a="1"/>
  <c r="L11" i="44" s="1"/>
  <c r="H7" i="40" a="1"/>
  <c r="H7" i="40" s="1"/>
  <c r="Z38" i="43" a="1"/>
  <c r="Z38" i="43" s="1"/>
  <c r="Q38" i="43" a="1"/>
  <c r="Q38" i="43" s="1"/>
  <c r="V275" i="58" s="1"/>
  <c r="AJ25" i="44" a="1"/>
  <c r="AJ25" i="44" s="1"/>
  <c r="AJ17" i="44" a="1"/>
  <c r="AJ17" i="44" s="1"/>
  <c r="AJ8" i="44" a="1"/>
  <c r="AJ8" i="44" s="1"/>
  <c r="X27" i="44" a="1"/>
  <c r="X27" i="44" s="1"/>
  <c r="X19" i="44" a="1"/>
  <c r="X19" i="44" s="1"/>
  <c r="X11" i="44" a="1"/>
  <c r="X11" i="44" s="1"/>
  <c r="L21" i="44" a="1"/>
  <c r="L21" i="44" s="1"/>
  <c r="V370" i="58" s="1"/>
  <c r="X24" i="44" a="1"/>
  <c r="X24" i="44" s="1"/>
  <c r="AJ33" i="44" a="1"/>
  <c r="AJ33" i="44" s="1"/>
  <c r="AJ24" i="44" a="1"/>
  <c r="AJ24" i="44" s="1"/>
  <c r="AJ16" i="44" a="1"/>
  <c r="AJ16" i="44" s="1"/>
  <c r="AJ7" i="44" a="1"/>
  <c r="AJ7" i="44" s="1"/>
  <c r="X26" i="44" a="1"/>
  <c r="X26" i="44" s="1"/>
  <c r="X18" i="44" a="1"/>
  <c r="X18" i="44" s="1"/>
  <c r="V393" i="58" s="1"/>
  <c r="X9" i="44" a="1"/>
  <c r="X9" i="44" s="1"/>
  <c r="L28" i="44" a="1"/>
  <c r="L28" i="44" s="1"/>
  <c r="L20" i="44" a="1"/>
  <c r="L20" i="44" s="1"/>
  <c r="L12" i="44" a="1"/>
  <c r="L12" i="44" s="1"/>
  <c r="AJ22" i="44" a="1"/>
  <c r="AJ22" i="44" s="1"/>
  <c r="L26" i="44" a="1"/>
  <c r="L26" i="44" s="1"/>
  <c r="AJ32" i="44" a="1"/>
  <c r="AJ32" i="44" s="1"/>
  <c r="AJ23" i="44" a="1"/>
  <c r="AJ23" i="44" s="1"/>
  <c r="AJ15" i="44" a="1"/>
  <c r="AJ15" i="44" s="1"/>
  <c r="AJ6" i="44" a="1"/>
  <c r="AJ6" i="44" s="1"/>
  <c r="X25" i="44" a="1"/>
  <c r="X25" i="44" s="1"/>
  <c r="X17" i="44" a="1"/>
  <c r="X17" i="44" s="1"/>
  <c r="X8" i="44" a="1"/>
  <c r="X8" i="44" s="1"/>
  <c r="L27" i="44" a="1"/>
  <c r="L27" i="44" s="1"/>
  <c r="L19" i="44" a="1"/>
  <c r="L19" i="44" s="1"/>
  <c r="X33" i="44" a="1"/>
  <c r="X33" i="44" s="1"/>
  <c r="L9" i="44" a="1"/>
  <c r="L9" i="44" s="1"/>
  <c r="AJ31" i="44" a="1"/>
  <c r="AJ31" i="44" s="1"/>
  <c r="AJ30" i="44" a="1"/>
  <c r="AJ30" i="44" s="1"/>
  <c r="AJ21" i="44" a="1"/>
  <c r="AJ21" i="44" s="1"/>
  <c r="AJ13" i="44" a="1"/>
  <c r="AJ13" i="44" s="1"/>
  <c r="V414" i="58" s="1"/>
  <c r="X32" i="44" a="1"/>
  <c r="X32" i="44" s="1"/>
  <c r="X23" i="44" a="1"/>
  <c r="X23" i="44" s="1"/>
  <c r="X15" i="44" a="1"/>
  <c r="X15" i="44" s="1"/>
  <c r="X6" i="44" a="1"/>
  <c r="X6" i="44" s="1"/>
  <c r="L25" i="44" a="1"/>
  <c r="L25" i="44" s="1"/>
  <c r="L17" i="44" a="1"/>
  <c r="L17" i="44" s="1"/>
  <c r="L8" i="44" a="1"/>
  <c r="L8" i="44" s="1"/>
  <c r="L16" i="44" a="1"/>
  <c r="L16" i="44" s="1"/>
  <c r="V365" i="58" s="1"/>
  <c r="X16" i="44" a="1"/>
  <c r="X16" i="44" s="1"/>
  <c r="AJ28" i="44" a="1"/>
  <c r="AJ28" i="44" s="1"/>
  <c r="AJ20" i="44" a="1"/>
  <c r="AJ20" i="44" s="1"/>
  <c r="AJ12" i="44" a="1"/>
  <c r="AJ12" i="44" s="1"/>
  <c r="X31" i="44" a="1"/>
  <c r="X31" i="44" s="1"/>
  <c r="X22" i="44" a="1"/>
  <c r="X22" i="44" s="1"/>
  <c r="X14" i="44" a="1"/>
  <c r="X14" i="44" s="1"/>
  <c r="L33" i="44" a="1"/>
  <c r="L33" i="44" s="1"/>
  <c r="L24" i="44" a="1"/>
  <c r="L24" i="44" s="1"/>
  <c r="L6" i="44" a="1"/>
  <c r="L6" i="44" s="1"/>
  <c r="V356" i="58" s="1"/>
  <c r="AJ27" i="44" a="1"/>
  <c r="AJ27" i="44" s="1"/>
  <c r="AJ19" i="44" a="1"/>
  <c r="AJ19" i="44" s="1"/>
  <c r="AJ11" i="44" a="1"/>
  <c r="AJ11" i="44" s="1"/>
  <c r="X30" i="44" a="1"/>
  <c r="X30" i="44" s="1"/>
  <c r="X21" i="44" a="1"/>
  <c r="X21" i="44" s="1"/>
  <c r="X13" i="44" a="1"/>
  <c r="X13" i="44" s="1"/>
  <c r="V388" i="58" s="1"/>
  <c r="L32" i="44" a="1"/>
  <c r="L32" i="44" s="1"/>
  <c r="L23" i="44" a="1"/>
  <c r="L23" i="44" s="1"/>
  <c r="L15" i="44" a="1"/>
  <c r="L15" i="44" s="1"/>
  <c r="V364" i="58" s="1"/>
  <c r="L7" i="44" a="1"/>
  <c r="L7" i="44" s="1"/>
  <c r="L13" i="44" a="1"/>
  <c r="L13" i="44" s="1"/>
  <c r="V362" i="58" s="1"/>
  <c r="X7" i="44" a="1"/>
  <c r="X7" i="44" s="1"/>
  <c r="AJ26" i="44" a="1"/>
  <c r="AJ26" i="44" s="1"/>
  <c r="AJ18" i="44" a="1"/>
  <c r="AJ18" i="44" s="1"/>
  <c r="V419" i="58" s="1"/>
  <c r="AJ9" i="44" a="1"/>
  <c r="AJ9" i="44" s="1"/>
  <c r="X28" i="44" a="1"/>
  <c r="X28" i="44" s="1"/>
  <c r="X20" i="44" a="1"/>
  <c r="X20" i="44" s="1"/>
  <c r="X12" i="44" a="1"/>
  <c r="X12" i="44" s="1"/>
  <c r="L31" i="44" a="1"/>
  <c r="L31" i="44" s="1"/>
  <c r="L22" i="44" a="1"/>
  <c r="L22" i="44" s="1"/>
  <c r="L14" i="44" a="1"/>
  <c r="L14" i="44" s="1"/>
  <c r="L7" i="53" a="1"/>
  <c r="L7" i="53" s="1"/>
  <c r="L30" i="44" a="1"/>
  <c r="L30" i="44" s="1"/>
  <c r="AJ14" i="44" a="1"/>
  <c r="AJ14" i="44" s="1"/>
  <c r="L18" i="44" a="1"/>
  <c r="L18" i="44" s="1"/>
  <c r="V367" i="58" s="1"/>
  <c r="Z41" i="51" a="1"/>
  <c r="Z41" i="51" s="1"/>
  <c r="Z31" i="51" a="1"/>
  <c r="Z31" i="51" s="1"/>
  <c r="Z21" i="51" a="1"/>
  <c r="Z21" i="51" s="1"/>
  <c r="Z11" i="51" a="1"/>
  <c r="Z11" i="51" s="1"/>
  <c r="Q46" i="51" a="1"/>
  <c r="Q46" i="51" s="1"/>
  <c r="Q36" i="51" a="1"/>
  <c r="Q36" i="51" s="1"/>
  <c r="Q26" i="51" a="1"/>
  <c r="Q26" i="51" s="1"/>
  <c r="Q16" i="51" a="1"/>
  <c r="Q16" i="51" s="1"/>
  <c r="Q6" i="51" a="1"/>
  <c r="Q6" i="51" s="1"/>
  <c r="H41" i="51" a="1"/>
  <c r="H41" i="51" s="1"/>
  <c r="H31" i="51" a="1"/>
  <c r="H31" i="51" s="1"/>
  <c r="H21" i="51" a="1"/>
  <c r="H21" i="51" s="1"/>
  <c r="H11" i="51" a="1"/>
  <c r="H11" i="51" s="1"/>
  <c r="H20" i="51" a="1"/>
  <c r="H20" i="51" s="1"/>
  <c r="H28" i="51" a="1"/>
  <c r="H28" i="51" s="1"/>
  <c r="H7" i="51" a="1"/>
  <c r="H7" i="51" s="1"/>
  <c r="Z22" i="51" a="1"/>
  <c r="Z22" i="51" s="1"/>
  <c r="Q7" i="51" a="1"/>
  <c r="Q7" i="51" s="1"/>
  <c r="Z40" i="51" a="1"/>
  <c r="Z40" i="51" s="1"/>
  <c r="Z30" i="51" a="1"/>
  <c r="Z30" i="51" s="1"/>
  <c r="Z20" i="51" a="1"/>
  <c r="Z20" i="51" s="1"/>
  <c r="Z10" i="51" a="1"/>
  <c r="Z10" i="51" s="1"/>
  <c r="Q45" i="51" a="1"/>
  <c r="Q45" i="51" s="1"/>
  <c r="Q35" i="51" a="1"/>
  <c r="Q35" i="51" s="1"/>
  <c r="Q25" i="51" a="1"/>
  <c r="Q25" i="51" s="1"/>
  <c r="Q15" i="51" a="1"/>
  <c r="Q15" i="51" s="1"/>
  <c r="Q5" i="51" a="1"/>
  <c r="Q5" i="51" s="1"/>
  <c r="H40" i="51" a="1"/>
  <c r="H40" i="51" s="1"/>
  <c r="H30" i="51" a="1"/>
  <c r="H30" i="51" s="1"/>
  <c r="H10" i="51" a="1"/>
  <c r="H10" i="51" s="1"/>
  <c r="H8" i="51" a="1"/>
  <c r="H8" i="51" s="1"/>
  <c r="Z12" i="51" a="1"/>
  <c r="Z12" i="51" s="1"/>
  <c r="H32" i="51" a="1"/>
  <c r="H32" i="51" s="1"/>
  <c r="Z48" i="51" a="1"/>
  <c r="Z48" i="51" s="1"/>
  <c r="Z38" i="51" a="1"/>
  <c r="Z38" i="51" s="1"/>
  <c r="Z28" i="51" a="1"/>
  <c r="Z28" i="51" s="1"/>
  <c r="Z18" i="51" a="1"/>
  <c r="Z18" i="51" s="1"/>
  <c r="Z8" i="51" a="1"/>
  <c r="Z8" i="51" s="1"/>
  <c r="Q43" i="51" a="1"/>
  <c r="Q43" i="51" s="1"/>
  <c r="Q33" i="51" a="1"/>
  <c r="Q33" i="51" s="1"/>
  <c r="Q23" i="51" a="1"/>
  <c r="Q23" i="51" s="1"/>
  <c r="Q13" i="51" a="1"/>
  <c r="Q13" i="51" s="1"/>
  <c r="H48" i="51" a="1"/>
  <c r="H48" i="51" s="1"/>
  <c r="H38" i="51" a="1"/>
  <c r="H38" i="51" s="1"/>
  <c r="H18" i="51" a="1"/>
  <c r="H18" i="51" s="1"/>
  <c r="H5" i="51" a="1"/>
  <c r="H5" i="51" s="1"/>
  <c r="H42" i="51" a="1"/>
  <c r="H42" i="51" s="1"/>
  <c r="Z47" i="51" a="1"/>
  <c r="Z47" i="51" s="1"/>
  <c r="Z37" i="51" a="1"/>
  <c r="Z37" i="51" s="1"/>
  <c r="Z27" i="51" a="1"/>
  <c r="Z27" i="51" s="1"/>
  <c r="Z17" i="51" a="1"/>
  <c r="Z17" i="51" s="1"/>
  <c r="Z7" i="51" a="1"/>
  <c r="Z7" i="51" s="1"/>
  <c r="Q42" i="51" a="1"/>
  <c r="Q42" i="51" s="1"/>
  <c r="Q32" i="51" a="1"/>
  <c r="Q32" i="51" s="1"/>
  <c r="Q22" i="51" a="1"/>
  <c r="Q22" i="51" s="1"/>
  <c r="Q12" i="51" a="1"/>
  <c r="Q12" i="51" s="1"/>
  <c r="H47" i="51" a="1"/>
  <c r="H47" i="51" s="1"/>
  <c r="H37" i="51" a="1"/>
  <c r="H37" i="51" s="1"/>
  <c r="H27" i="51" a="1"/>
  <c r="H27" i="51" s="1"/>
  <c r="H17" i="51" a="1"/>
  <c r="H17" i="51" s="1"/>
  <c r="H16" i="51" a="1"/>
  <c r="H16" i="51" s="1"/>
  <c r="Q37" i="51" a="1"/>
  <c r="Q37" i="51" s="1"/>
  <c r="H22" i="51" a="1"/>
  <c r="H22" i="51" s="1"/>
  <c r="Z46" i="51" a="1"/>
  <c r="Z46" i="51" s="1"/>
  <c r="Z36" i="51" a="1"/>
  <c r="Z36" i="51" s="1"/>
  <c r="Z26" i="51" a="1"/>
  <c r="Z26" i="51" s="1"/>
  <c r="Z16" i="51" a="1"/>
  <c r="Z16" i="51" s="1"/>
  <c r="Z6" i="51" a="1"/>
  <c r="Z6" i="51" s="1"/>
  <c r="Q41" i="51" a="1"/>
  <c r="Q41" i="51" s="1"/>
  <c r="Q31" i="51" a="1"/>
  <c r="Q31" i="51" s="1"/>
  <c r="Q21" i="51" a="1"/>
  <c r="Q21" i="51" s="1"/>
  <c r="Q11" i="51" a="1"/>
  <c r="Q11" i="51" s="1"/>
  <c r="H46" i="51" a="1"/>
  <c r="H46" i="51" s="1"/>
  <c r="H36" i="51" a="1"/>
  <c r="H36" i="51" s="1"/>
  <c r="H26" i="51" a="1"/>
  <c r="H26" i="51" s="1"/>
  <c r="H6" i="51" a="1"/>
  <c r="H6" i="51" s="1"/>
  <c r="Q47" i="51" a="1"/>
  <c r="Q47" i="51" s="1"/>
  <c r="Z45" i="51" a="1"/>
  <c r="Z45" i="51" s="1"/>
  <c r="Z35" i="51" a="1"/>
  <c r="Z35" i="51" s="1"/>
  <c r="Z25" i="51" a="1"/>
  <c r="Z25" i="51" s="1"/>
  <c r="Z15" i="51" a="1"/>
  <c r="Z15" i="51" s="1"/>
  <c r="Z5" i="51" a="1"/>
  <c r="Z5" i="51" s="1"/>
  <c r="Q40" i="51" a="1"/>
  <c r="Q40" i="51" s="1"/>
  <c r="Q30" i="51" a="1"/>
  <c r="Q30" i="51" s="1"/>
  <c r="Q20" i="51" a="1"/>
  <c r="Q20" i="51" s="1"/>
  <c r="Q10" i="51" a="1"/>
  <c r="Q10" i="51" s="1"/>
  <c r="H45" i="51" a="1"/>
  <c r="H45" i="51" s="1"/>
  <c r="H35" i="51" a="1"/>
  <c r="H35" i="51" s="1"/>
  <c r="H25" i="51" a="1"/>
  <c r="H25" i="51" s="1"/>
  <c r="H15" i="51" a="1"/>
  <c r="H15" i="51" s="1"/>
  <c r="Z32" i="51" a="1"/>
  <c r="Z32" i="51" s="1"/>
  <c r="Q17" i="51" a="1"/>
  <c r="Q17" i="51" s="1"/>
  <c r="Z43" i="51" a="1"/>
  <c r="Z43" i="51" s="1"/>
  <c r="Z33" i="51" a="1"/>
  <c r="Z33" i="51" s="1"/>
  <c r="Z23" i="51" a="1"/>
  <c r="Z23" i="51" s="1"/>
  <c r="Z13" i="51" a="1"/>
  <c r="Z13" i="51" s="1"/>
  <c r="Q48" i="51" a="1"/>
  <c r="Q48" i="51" s="1"/>
  <c r="Q38" i="51" a="1"/>
  <c r="Q38" i="51" s="1"/>
  <c r="Q28" i="51" a="1"/>
  <c r="Q28" i="51" s="1"/>
  <c r="Q18" i="51" a="1"/>
  <c r="Q18" i="51" s="1"/>
  <c r="Q8" i="51" a="1"/>
  <c r="Q8" i="51" s="1"/>
  <c r="H43" i="51" a="1"/>
  <c r="H43" i="51" s="1"/>
  <c r="H33" i="51" a="1"/>
  <c r="H33" i="51" s="1"/>
  <c r="H23" i="51" a="1"/>
  <c r="H23" i="51" s="1"/>
  <c r="H13" i="51" a="1"/>
  <c r="H13" i="51" s="1"/>
  <c r="Z42" i="51" a="1"/>
  <c r="Z42" i="51" s="1"/>
  <c r="Q27" i="51" a="1"/>
  <c r="Q27" i="51" s="1"/>
  <c r="H12" i="51" a="1"/>
  <c r="H12" i="51" s="1"/>
  <c r="Z8" i="47" a="1"/>
  <c r="Z8" i="47" s="1"/>
  <c r="Q9" i="47" a="1"/>
  <c r="Q9" i="47" s="1"/>
  <c r="Z56" i="43" a="1"/>
  <c r="Z56" i="43" s="1"/>
  <c r="Z37" i="43" a="1"/>
  <c r="Z37" i="43" s="1"/>
  <c r="Z29" i="43" a="1"/>
  <c r="Z29" i="43" s="1"/>
  <c r="Z20" i="43" a="1"/>
  <c r="Z20" i="43" s="1"/>
  <c r="Z10" i="43" a="1"/>
  <c r="Z10" i="43" s="1"/>
  <c r="Q52" i="43" a="1"/>
  <c r="Q52" i="43" s="1"/>
  <c r="V285" i="58" s="1"/>
  <c r="Q45" i="43" a="1"/>
  <c r="Q45" i="43" s="1"/>
  <c r="V281" i="58" s="1"/>
  <c r="Q35" i="43" a="1"/>
  <c r="Q35" i="43" s="1"/>
  <c r="V272" i="58" s="1"/>
  <c r="Q27" i="43" a="1"/>
  <c r="Q27" i="43" s="1"/>
  <c r="V264" i="58" s="1"/>
  <c r="Q17" i="43" a="1"/>
  <c r="Q17" i="43" s="1"/>
  <c r="V256" i="58" s="1"/>
  <c r="Q8" i="43" a="1"/>
  <c r="Q8" i="43" s="1"/>
  <c r="V248" i="58" s="1"/>
  <c r="AJ28" i="53" a="1"/>
  <c r="AJ28" i="53" s="1"/>
  <c r="AJ18" i="53" a="1"/>
  <c r="AJ18" i="53" s="1"/>
  <c r="AJ10" i="53" a="1"/>
  <c r="AJ10" i="53" s="1"/>
  <c r="X23" i="53" a="1"/>
  <c r="X23" i="53" s="1"/>
  <c r="X15" i="53" a="1"/>
  <c r="X15" i="53" s="1"/>
  <c r="X6" i="53" a="1"/>
  <c r="X6" i="53" s="1"/>
  <c r="V534" i="58" s="1"/>
  <c r="H6" i="47" a="1"/>
  <c r="H6" i="47" s="1"/>
  <c r="H41" i="43" a="1"/>
  <c r="H41" i="43" s="1"/>
  <c r="V234" i="58" s="1"/>
  <c r="H31" i="43" a="1"/>
  <c r="H31" i="43" s="1"/>
  <c r="V225" i="58" s="1"/>
  <c r="H22" i="43" a="1"/>
  <c r="H22" i="43" s="1"/>
  <c r="V217" i="58" s="1"/>
  <c r="H13" i="43" a="1"/>
  <c r="H13" i="43" s="1"/>
  <c r="V209" i="58" s="1"/>
  <c r="L29" i="53" a="1"/>
  <c r="L29" i="53" s="1"/>
  <c r="L19" i="53" a="1"/>
  <c r="L19" i="53" s="1"/>
  <c r="L11" i="53" a="1"/>
  <c r="L11" i="53" s="1"/>
  <c r="AJ32" i="46" a="1"/>
  <c r="AJ32" i="46" s="1"/>
  <c r="AJ21" i="46" a="1"/>
  <c r="AJ21" i="46" s="1"/>
  <c r="V583" i="58" s="1"/>
  <c r="AJ13" i="46" a="1"/>
  <c r="AJ13" i="46" s="1"/>
  <c r="X38" i="46" a="1"/>
  <c r="X38" i="46" s="1"/>
  <c r="X28" i="46" a="1"/>
  <c r="X28" i="46" s="1"/>
  <c r="X18" i="46" a="1"/>
  <c r="X18" i="46" s="1"/>
  <c r="X8" i="46" a="1"/>
  <c r="X8" i="46" s="1"/>
  <c r="L32" i="46" a="1"/>
  <c r="L32" i="46" s="1"/>
  <c r="L21" i="46" a="1"/>
  <c r="L21" i="46" s="1"/>
  <c r="V581" i="58" s="1"/>
  <c r="L13" i="46" a="1"/>
  <c r="L13" i="46" s="1"/>
  <c r="X19" i="53" a="1"/>
  <c r="X19" i="53" s="1"/>
  <c r="H17" i="43" a="1"/>
  <c r="H17" i="43" s="1"/>
  <c r="V213" i="58" s="1"/>
  <c r="AJ8" i="46" a="1"/>
  <c r="AJ8" i="46" s="1"/>
  <c r="L8" i="46" a="1"/>
  <c r="L8" i="46" s="1"/>
  <c r="Q8" i="47" a="1"/>
  <c r="Q8" i="47" s="1"/>
  <c r="Z55" i="43" a="1"/>
  <c r="Z55" i="43" s="1"/>
  <c r="Z36" i="43" a="1"/>
  <c r="Z36" i="43" s="1"/>
  <c r="Z28" i="43" a="1"/>
  <c r="Z28" i="43" s="1"/>
  <c r="Z19" i="43" a="1"/>
  <c r="Z19" i="43" s="1"/>
  <c r="Z9" i="43" a="1"/>
  <c r="Z9" i="43" s="1"/>
  <c r="Q51" i="43" a="1"/>
  <c r="Q51" i="43" s="1"/>
  <c r="V284" i="58" s="1"/>
  <c r="Q44" i="43" a="1"/>
  <c r="Q44" i="43" s="1"/>
  <c r="V280" i="58" s="1"/>
  <c r="Q34" i="43" a="1"/>
  <c r="Q34" i="43" s="1"/>
  <c r="V271" i="58" s="1"/>
  <c r="Q26" i="43" a="1"/>
  <c r="Q26" i="43" s="1"/>
  <c r="V263" i="58" s="1"/>
  <c r="Q16" i="43" a="1"/>
  <c r="Q16" i="43" s="1"/>
  <c r="V255" i="58" s="1"/>
  <c r="Q7" i="43" a="1"/>
  <c r="Q7" i="43" s="1"/>
  <c r="V247" i="58" s="1"/>
  <c r="AJ27" i="53" a="1"/>
  <c r="AJ27" i="53" s="1"/>
  <c r="AJ8" i="53" a="1"/>
  <c r="AJ8" i="53" s="1"/>
  <c r="X22" i="53" a="1"/>
  <c r="X22" i="53" s="1"/>
  <c r="H12" i="47" a="1"/>
  <c r="H12" i="47" s="1"/>
  <c r="H40" i="43" a="1"/>
  <c r="H40" i="43" s="1"/>
  <c r="V233" i="58" s="1"/>
  <c r="H30" i="43" a="1"/>
  <c r="H30" i="43" s="1"/>
  <c r="V224" i="58" s="1"/>
  <c r="H21" i="43" a="1"/>
  <c r="H21" i="43" s="1"/>
  <c r="V216" i="58" s="1"/>
  <c r="H11" i="43" a="1"/>
  <c r="H11" i="43" s="1"/>
  <c r="V208" i="58" s="1"/>
  <c r="L28" i="53" a="1"/>
  <c r="L28" i="53" s="1"/>
  <c r="L18" i="53" a="1"/>
  <c r="L18" i="53" s="1"/>
  <c r="L10" i="53" a="1"/>
  <c r="L10" i="53" s="1"/>
  <c r="AJ31" i="46" a="1"/>
  <c r="AJ31" i="46" s="1"/>
  <c r="AJ20" i="46" a="1"/>
  <c r="AJ20" i="46" s="1"/>
  <c r="AJ12" i="46" a="1"/>
  <c r="AJ12" i="46" s="1"/>
  <c r="X37" i="46" a="1"/>
  <c r="X37" i="46" s="1"/>
  <c r="X26" i="46" a="1"/>
  <c r="X26" i="46" s="1"/>
  <c r="X17" i="46" a="1"/>
  <c r="X17" i="46" s="1"/>
  <c r="X7" i="46" a="1"/>
  <c r="X7" i="46" s="1"/>
  <c r="L20" i="46" a="1"/>
  <c r="L20" i="46" s="1"/>
  <c r="L12" i="46" a="1"/>
  <c r="L12" i="46" s="1"/>
  <c r="Z4" i="47" a="1"/>
  <c r="Z4" i="47" s="1"/>
  <c r="Z49" i="43" a="1"/>
  <c r="Z49" i="43" s="1"/>
  <c r="Q41" i="43" a="1"/>
  <c r="Q41" i="43" s="1"/>
  <c r="V277" i="58" s="1"/>
  <c r="AJ22" i="53" a="1"/>
  <c r="AJ22" i="53" s="1"/>
  <c r="H52" i="43" a="1"/>
  <c r="H52" i="43" s="1"/>
  <c r="V242" i="58" s="1"/>
  <c r="L15" i="53" a="1"/>
  <c r="L15" i="53" s="1"/>
  <c r="X32" i="46" a="1"/>
  <c r="X32" i="46" s="1"/>
  <c r="Z7" i="47" a="1"/>
  <c r="Z7" i="47" s="1"/>
  <c r="Z52" i="43" a="1"/>
  <c r="Z52" i="43" s="1"/>
  <c r="Z45" i="43" a="1"/>
  <c r="Z45" i="43" s="1"/>
  <c r="Z35" i="43" a="1"/>
  <c r="Z35" i="43" s="1"/>
  <c r="Z27" i="43" a="1"/>
  <c r="Z27" i="43" s="1"/>
  <c r="Z17" i="43" a="1"/>
  <c r="Z17" i="43" s="1"/>
  <c r="Z8" i="43" a="1"/>
  <c r="Z8" i="43" s="1"/>
  <c r="Q49" i="43" a="1"/>
  <c r="Q49" i="43" s="1"/>
  <c r="V283" i="58" s="1"/>
  <c r="Q43" i="43" a="1"/>
  <c r="Q43" i="43" s="1"/>
  <c r="V279" i="58" s="1"/>
  <c r="Q33" i="43" a="1"/>
  <c r="Q33" i="43" s="1"/>
  <c r="V270" i="58" s="1"/>
  <c r="Q25" i="43" a="1"/>
  <c r="Q25" i="43" s="1"/>
  <c r="V262" i="58" s="1"/>
  <c r="Q15" i="43" a="1"/>
  <c r="Q15" i="43" s="1"/>
  <c r="V254" i="58" s="1"/>
  <c r="AJ26" i="53" a="1"/>
  <c r="AJ26" i="53" s="1"/>
  <c r="AJ16" i="53" a="1"/>
  <c r="AJ16" i="53" s="1"/>
  <c r="AJ7" i="53" a="1"/>
  <c r="AJ7" i="53" s="1"/>
  <c r="X21" i="53" a="1"/>
  <c r="X21" i="53" s="1"/>
  <c r="H11" i="47" a="1"/>
  <c r="H11" i="47" s="1"/>
  <c r="H56" i="43" a="1"/>
  <c r="H56" i="43" s="1"/>
  <c r="V244" i="58" s="1"/>
  <c r="H37" i="43" a="1"/>
  <c r="H37" i="43" s="1"/>
  <c r="V231" i="58" s="1"/>
  <c r="H20" i="43" a="1"/>
  <c r="H20" i="43" s="1"/>
  <c r="V215" i="58" s="1"/>
  <c r="H10" i="43" a="1"/>
  <c r="H10" i="43" s="1"/>
  <c r="V207" i="58" s="1"/>
  <c r="L27" i="53" a="1"/>
  <c r="L27" i="53" s="1"/>
  <c r="L8" i="53" a="1"/>
  <c r="L8" i="53" s="1"/>
  <c r="AJ30" i="46" a="1"/>
  <c r="AJ30" i="46" s="1"/>
  <c r="AJ19" i="46" a="1"/>
  <c r="AJ19" i="46" s="1"/>
  <c r="V499" i="58" s="1"/>
  <c r="AJ11" i="46" a="1"/>
  <c r="AJ11" i="46" s="1"/>
  <c r="X36" i="46" a="1"/>
  <c r="X36" i="46" s="1"/>
  <c r="X25" i="46" a="1"/>
  <c r="X25" i="46" s="1"/>
  <c r="X16" i="46" a="1"/>
  <c r="X16" i="46" s="1"/>
  <c r="X6" i="46" a="1"/>
  <c r="X6" i="46" s="1"/>
  <c r="L19" i="46" a="1"/>
  <c r="L19" i="46" s="1"/>
  <c r="V445" i="58" s="1"/>
  <c r="L11" i="46" a="1"/>
  <c r="L11" i="46" s="1"/>
  <c r="Z15" i="43" a="1"/>
  <c r="Z15" i="43" s="1"/>
  <c r="H35" i="43" a="1"/>
  <c r="H35" i="43" s="1"/>
  <c r="V229" i="58" s="1"/>
  <c r="AJ28" i="46" a="1"/>
  <c r="AJ28" i="46" s="1"/>
  <c r="L28" i="46" a="1"/>
  <c r="L28" i="46" s="1"/>
  <c r="Z6" i="47" a="1"/>
  <c r="Z6" i="47" s="1"/>
  <c r="Q7" i="47" a="1"/>
  <c r="Q7" i="47" s="1"/>
  <c r="Z51" i="43" a="1"/>
  <c r="Z51" i="43" s="1"/>
  <c r="Z44" i="43" a="1"/>
  <c r="Z44" i="43" s="1"/>
  <c r="Z34" i="43" a="1"/>
  <c r="Z34" i="43" s="1"/>
  <c r="Z26" i="43" a="1"/>
  <c r="Z26" i="43" s="1"/>
  <c r="Z16" i="43" a="1"/>
  <c r="Z16" i="43" s="1"/>
  <c r="Z7" i="43" a="1"/>
  <c r="Z7" i="43" s="1"/>
  <c r="Q48" i="43" a="1"/>
  <c r="Q48" i="43" s="1"/>
  <c r="V282" i="58" s="1"/>
  <c r="Q42" i="43" a="1"/>
  <c r="Q42" i="43" s="1"/>
  <c r="V278" i="58" s="1"/>
  <c r="Q32" i="43" a="1"/>
  <c r="Q32" i="43" s="1"/>
  <c r="V269" i="58" s="1"/>
  <c r="Q24" i="43" a="1"/>
  <c r="Q24" i="43" s="1"/>
  <c r="V261" i="58" s="1"/>
  <c r="Q14" i="43" a="1"/>
  <c r="Q14" i="43" s="1"/>
  <c r="V253" i="58" s="1"/>
  <c r="AJ23" i="53" a="1"/>
  <c r="AJ23" i="53" s="1"/>
  <c r="AJ15" i="53" a="1"/>
  <c r="AJ15" i="53" s="1"/>
  <c r="AJ6" i="53" a="1"/>
  <c r="AJ6" i="53" s="1"/>
  <c r="X20" i="53" a="1"/>
  <c r="X20" i="53" s="1"/>
  <c r="X12" i="53" a="1"/>
  <c r="X12" i="53" s="1"/>
  <c r="H10" i="47" a="1"/>
  <c r="H10" i="47" s="1"/>
  <c r="V337" i="58" s="1"/>
  <c r="H55" i="43" a="1"/>
  <c r="H55" i="43" s="1"/>
  <c r="V243" i="58" s="1"/>
  <c r="H36" i="43" a="1"/>
  <c r="H36" i="43" s="1"/>
  <c r="V230" i="58" s="1"/>
  <c r="H19" i="43" a="1"/>
  <c r="H19" i="43" s="1"/>
  <c r="V214" i="58" s="1"/>
  <c r="H9" i="43" a="1"/>
  <c r="H9" i="43" s="1"/>
  <c r="V206" i="58" s="1"/>
  <c r="L26" i="53" a="1"/>
  <c r="L26" i="53" s="1"/>
  <c r="L16" i="53" a="1"/>
  <c r="L16" i="53" s="1"/>
  <c r="AJ39" i="46" a="1"/>
  <c r="AJ39" i="46" s="1"/>
  <c r="AJ29" i="46" a="1"/>
  <c r="AJ29" i="46" s="1"/>
  <c r="AJ9" i="46" a="1"/>
  <c r="AJ9" i="46" s="1"/>
  <c r="X33" i="46" a="1"/>
  <c r="X33" i="46" s="1"/>
  <c r="X24" i="46" a="1"/>
  <c r="X24" i="46" s="1"/>
  <c r="X14" i="46" a="1"/>
  <c r="X14" i="46" s="1"/>
  <c r="L39" i="46" a="1"/>
  <c r="L39" i="46" s="1"/>
  <c r="L29" i="46" a="1"/>
  <c r="L29" i="46" s="1"/>
  <c r="L9" i="46" a="1"/>
  <c r="L9" i="46" s="1"/>
  <c r="Z25" i="43" a="1"/>
  <c r="Z25" i="43" s="1"/>
  <c r="Q13" i="43" a="1"/>
  <c r="Q13" i="43" s="1"/>
  <c r="V252" i="58" s="1"/>
  <c r="H9" i="47" a="1"/>
  <c r="H9" i="47" s="1"/>
  <c r="L23" i="53" a="1"/>
  <c r="L23" i="53" s="1"/>
  <c r="L38" i="46" a="1"/>
  <c r="L38" i="46" s="1"/>
  <c r="Z11" i="47" a="1"/>
  <c r="Z11" i="47" s="1"/>
  <c r="Q12" i="47" a="1"/>
  <c r="Q12" i="47" s="1"/>
  <c r="Q4" i="47" a="1"/>
  <c r="Q4" i="47" s="1"/>
  <c r="Z48" i="43" a="1"/>
  <c r="Z48" i="43" s="1"/>
  <c r="Z42" i="43" a="1"/>
  <c r="Z42" i="43" s="1"/>
  <c r="Z32" i="43" a="1"/>
  <c r="Z32" i="43" s="1"/>
  <c r="Z24" i="43" a="1"/>
  <c r="Z24" i="43" s="1"/>
  <c r="Z14" i="43" a="1"/>
  <c r="Z14" i="43" s="1"/>
  <c r="Q40" i="43" a="1"/>
  <c r="Q40" i="43" s="1"/>
  <c r="V276" i="58" s="1"/>
  <c r="Q30" i="43" a="1"/>
  <c r="Q30" i="43" s="1"/>
  <c r="V267" i="58" s="1"/>
  <c r="Q21" i="43" a="1"/>
  <c r="Q21" i="43" s="1"/>
  <c r="V259" i="58" s="1"/>
  <c r="Q11" i="43" a="1"/>
  <c r="Q11" i="43" s="1"/>
  <c r="V251" i="58" s="1"/>
  <c r="AJ21" i="53" a="1"/>
  <c r="AJ21" i="53" s="1"/>
  <c r="AJ13" i="53" a="1"/>
  <c r="AJ13" i="53" s="1"/>
  <c r="V559" i="58" s="1"/>
  <c r="X28" i="53" a="1"/>
  <c r="X28" i="53" s="1"/>
  <c r="X18" i="53" a="1"/>
  <c r="X18" i="53" s="1"/>
  <c r="X10" i="53" a="1"/>
  <c r="X10" i="53" s="1"/>
  <c r="H8" i="47" a="1"/>
  <c r="H8" i="47" s="1"/>
  <c r="H51" i="43" a="1"/>
  <c r="H51" i="43" s="1"/>
  <c r="V241" i="58" s="1"/>
  <c r="H44" i="43" a="1"/>
  <c r="H44" i="43" s="1"/>
  <c r="V237" i="58" s="1"/>
  <c r="H34" i="43" a="1"/>
  <c r="H34" i="43" s="1"/>
  <c r="V228" i="58" s="1"/>
  <c r="H26" i="43" a="1"/>
  <c r="H26" i="43" s="1"/>
  <c r="V220" i="58" s="1"/>
  <c r="H16" i="43" a="1"/>
  <c r="H16" i="43" s="1"/>
  <c r="V212" i="58" s="1"/>
  <c r="H7" i="43" a="1"/>
  <c r="H7" i="43" s="1"/>
  <c r="V204" i="58" s="1"/>
  <c r="L22" i="53" a="1"/>
  <c r="L22" i="53" s="1"/>
  <c r="AJ37" i="46" a="1"/>
  <c r="AJ37" i="46" s="1"/>
  <c r="AJ26" i="46" a="1"/>
  <c r="AJ26" i="46" s="1"/>
  <c r="AJ17" i="46" a="1"/>
  <c r="AJ17" i="46" s="1"/>
  <c r="AJ7" i="46" a="1"/>
  <c r="AJ7" i="46" s="1"/>
  <c r="X31" i="46" a="1"/>
  <c r="X31" i="46" s="1"/>
  <c r="X20" i="46" a="1"/>
  <c r="X20" i="46" s="1"/>
  <c r="X12" i="46" a="1"/>
  <c r="X12" i="46" s="1"/>
  <c r="L37" i="46" a="1"/>
  <c r="L37" i="46" s="1"/>
  <c r="L26" i="46" a="1"/>
  <c r="L26" i="46" s="1"/>
  <c r="L17" i="46" a="1"/>
  <c r="L17" i="46" s="1"/>
  <c r="L7" i="46" a="1"/>
  <c r="L7" i="46" s="1"/>
  <c r="Z12" i="47" a="1"/>
  <c r="Z12" i="47" s="1"/>
  <c r="Z43" i="43" a="1"/>
  <c r="Z43" i="43" s="1"/>
  <c r="V322" i="58" s="1"/>
  <c r="Q31" i="43" a="1"/>
  <c r="Q31" i="43" s="1"/>
  <c r="V268" i="58" s="1"/>
  <c r="X11" i="53" a="1"/>
  <c r="X11" i="53" s="1"/>
  <c r="H8" i="43" a="1"/>
  <c r="H8" i="43" s="1"/>
  <c r="V205" i="58" s="1"/>
  <c r="X21" i="46" a="1"/>
  <c r="X21" i="46" s="1"/>
  <c r="V582" i="58" s="1"/>
  <c r="Z10" i="47" a="1"/>
  <c r="Z10" i="47" s="1"/>
  <c r="V353" i="58" s="1"/>
  <c r="Q11" i="47" a="1"/>
  <c r="Q11" i="47" s="1"/>
  <c r="H4" i="47" a="1"/>
  <c r="H4" i="47" s="1"/>
  <c r="V332" i="58" s="1"/>
  <c r="Z41" i="43" a="1"/>
  <c r="Z41" i="43" s="1"/>
  <c r="Z31" i="43" a="1"/>
  <c r="Z31" i="43" s="1"/>
  <c r="Z22" i="43" a="1"/>
  <c r="Z22" i="43" s="1"/>
  <c r="V303" i="58" s="1"/>
  <c r="Z13" i="43" a="1"/>
  <c r="Z13" i="43" s="1"/>
  <c r="Q56" i="43" a="1"/>
  <c r="Q56" i="43" s="1"/>
  <c r="V287" i="58" s="1"/>
  <c r="Q37" i="43" a="1"/>
  <c r="Q37" i="43" s="1"/>
  <c r="V274" i="58" s="1"/>
  <c r="Q29" i="43" a="1"/>
  <c r="Q29" i="43" s="1"/>
  <c r="V266" i="58" s="1"/>
  <c r="Q20" i="43" a="1"/>
  <c r="Q20" i="43" s="1"/>
  <c r="V258" i="58" s="1"/>
  <c r="Q10" i="43" a="1"/>
  <c r="Q10" i="43" s="1"/>
  <c r="V250" i="58" s="1"/>
  <c r="H6" i="43" a="1"/>
  <c r="H6" i="43" s="1"/>
  <c r="V203" i="58" s="1"/>
  <c r="AJ20" i="53" a="1"/>
  <c r="AJ20" i="53" s="1"/>
  <c r="AJ12" i="53" a="1"/>
  <c r="AJ12" i="53" s="1"/>
  <c r="X27" i="53" a="1"/>
  <c r="X27" i="53" s="1"/>
  <c r="X8" i="53" a="1"/>
  <c r="X8" i="53" s="1"/>
  <c r="H49" i="43" a="1"/>
  <c r="H49" i="43" s="1"/>
  <c r="V240" i="58" s="1"/>
  <c r="H43" i="43" a="1"/>
  <c r="H43" i="43" s="1"/>
  <c r="V236" i="58" s="1"/>
  <c r="H33" i="43" a="1"/>
  <c r="H33" i="43" s="1"/>
  <c r="V227" i="58" s="1"/>
  <c r="H25" i="43" a="1"/>
  <c r="H25" i="43" s="1"/>
  <c r="V219" i="58" s="1"/>
  <c r="H15" i="43" a="1"/>
  <c r="H15" i="43" s="1"/>
  <c r="V211" i="58" s="1"/>
  <c r="L21" i="53" a="1"/>
  <c r="L21" i="53" s="1"/>
  <c r="AJ36" i="46" a="1"/>
  <c r="AJ36" i="46" s="1"/>
  <c r="AJ25" i="46" a="1"/>
  <c r="AJ25" i="46" s="1"/>
  <c r="AJ16" i="46" a="1"/>
  <c r="AJ16" i="46" s="1"/>
  <c r="AJ6" i="46" a="1"/>
  <c r="AJ6" i="46" s="1"/>
  <c r="X30" i="46" a="1"/>
  <c r="X30" i="46" s="1"/>
  <c r="X19" i="46" a="1"/>
  <c r="X19" i="46" s="1"/>
  <c r="V472" i="58" s="1"/>
  <c r="X11" i="46" a="1"/>
  <c r="X11" i="46" s="1"/>
  <c r="L36" i="46" a="1"/>
  <c r="L36" i="46" s="1"/>
  <c r="L25" i="46" a="1"/>
  <c r="L25" i="46" s="1"/>
  <c r="L16" i="46" a="1"/>
  <c r="L16" i="46" s="1"/>
  <c r="L6" i="46" a="1"/>
  <c r="L6" i="46" s="1"/>
  <c r="V434" i="58" s="1"/>
  <c r="Q6" i="47" a="1"/>
  <c r="Q6" i="47" s="1"/>
  <c r="Z33" i="43" a="1"/>
  <c r="Z33" i="43" s="1"/>
  <c r="Q22" i="43" a="1"/>
  <c r="Q22" i="43" s="1"/>
  <c r="V260" i="58" s="1"/>
  <c r="H45" i="43" a="1"/>
  <c r="H45" i="43" s="1"/>
  <c r="V238" i="58" s="1"/>
  <c r="AJ38" i="46" a="1"/>
  <c r="AJ38" i="46" s="1"/>
  <c r="X13" i="46" a="1"/>
  <c r="X13" i="46" s="1"/>
  <c r="Z9" i="47" a="1"/>
  <c r="Z9" i="47" s="1"/>
  <c r="Q10" i="47" a="1"/>
  <c r="Q10" i="47" s="1"/>
  <c r="V345" i="58" s="1"/>
  <c r="Z40" i="43" a="1"/>
  <c r="Z40" i="43" s="1"/>
  <c r="Z30" i="43" a="1"/>
  <c r="Z30" i="43" s="1"/>
  <c r="Z21" i="43" a="1"/>
  <c r="Z21" i="43" s="1"/>
  <c r="Z11" i="43" a="1"/>
  <c r="Z11" i="43" s="1"/>
  <c r="Q55" i="43" a="1"/>
  <c r="Q55" i="43" s="1"/>
  <c r="V286" i="58" s="1"/>
  <c r="Q36" i="43" a="1"/>
  <c r="Q36" i="43" s="1"/>
  <c r="V273" i="58" s="1"/>
  <c r="Q28" i="43" a="1"/>
  <c r="Q28" i="43" s="1"/>
  <c r="V265" i="58" s="1"/>
  <c r="Q19" i="43" a="1"/>
  <c r="Q19" i="43" s="1"/>
  <c r="V257" i="58" s="1"/>
  <c r="Q9" i="43" a="1"/>
  <c r="Q9" i="43" s="1"/>
  <c r="V249" i="58" s="1"/>
  <c r="AJ29" i="53" a="1"/>
  <c r="AJ29" i="53" s="1"/>
  <c r="AJ19" i="53" a="1"/>
  <c r="AJ19" i="53" s="1"/>
  <c r="AJ11" i="53" a="1"/>
  <c r="AJ11" i="53" s="1"/>
  <c r="X26" i="53" a="1"/>
  <c r="X26" i="53" s="1"/>
  <c r="X16" i="53" a="1"/>
  <c r="X16" i="53" s="1"/>
  <c r="X7" i="53" a="1"/>
  <c r="X7" i="53" s="1"/>
  <c r="H7" i="47" a="1"/>
  <c r="H7" i="47" s="1"/>
  <c r="H42" i="43" a="1"/>
  <c r="H42" i="43" s="1"/>
  <c r="V235" i="58" s="1"/>
  <c r="H32" i="43" a="1"/>
  <c r="H32" i="43" s="1"/>
  <c r="V226" i="58" s="1"/>
  <c r="H24" i="43" a="1"/>
  <c r="H24" i="43" s="1"/>
  <c r="V218" i="58" s="1"/>
  <c r="H14" i="43" a="1"/>
  <c r="H14" i="43" s="1"/>
  <c r="V210" i="58" s="1"/>
  <c r="L6" i="53" a="1"/>
  <c r="L6" i="53" s="1"/>
  <c r="V515" i="58" s="1"/>
  <c r="L20" i="53" a="1"/>
  <c r="L20" i="53" s="1"/>
  <c r="L12" i="53" a="1"/>
  <c r="L12" i="53" s="1"/>
  <c r="V520" i="58" s="1"/>
  <c r="AJ33" i="46" a="1"/>
  <c r="AJ33" i="46" s="1"/>
  <c r="AJ24" i="46" a="1"/>
  <c r="AJ24" i="46" s="1"/>
  <c r="AJ14" i="46" a="1"/>
  <c r="AJ14" i="46" s="1"/>
  <c r="X39" i="46" a="1"/>
  <c r="X39" i="46" s="1"/>
  <c r="X29" i="46" a="1"/>
  <c r="X29" i="46" s="1"/>
  <c r="X9" i="46" a="1"/>
  <c r="X9" i="46" s="1"/>
  <c r="L33" i="46" a="1"/>
  <c r="L33" i="46" s="1"/>
  <c r="L24" i="46" a="1"/>
  <c r="L24" i="46" s="1"/>
  <c r="L14" i="46" a="1"/>
  <c r="L14" i="46" s="1"/>
  <c r="V441" i="58" s="1"/>
  <c r="X29" i="53" a="1"/>
  <c r="X29" i="53" s="1"/>
  <c r="H27" i="43" a="1"/>
  <c r="H27" i="43" s="1"/>
  <c r="V221" i="58" s="1"/>
  <c r="AJ18" i="46" a="1"/>
  <c r="AJ18" i="46" s="1"/>
  <c r="L18" i="46" a="1"/>
  <c r="L18" i="46" s="1"/>
  <c r="Z37" i="40" a="1"/>
  <c r="Z37" i="40" s="1"/>
  <c r="Z30" i="40" a="1"/>
  <c r="Z30" i="40" s="1"/>
  <c r="Z23" i="40" a="1"/>
  <c r="Z23" i="40" s="1"/>
  <c r="Z14" i="40" a="1"/>
  <c r="Z14" i="40" s="1"/>
  <c r="Q38" i="40" a="1"/>
  <c r="Q38" i="40" s="1"/>
  <c r="Q24" i="40" a="1"/>
  <c r="Q24" i="40" s="1"/>
  <c r="Q15" i="40" a="1"/>
  <c r="Q15" i="40" s="1"/>
  <c r="Q5" i="40" a="1"/>
  <c r="Q5" i="40" s="1"/>
  <c r="H38" i="40" a="1"/>
  <c r="H38" i="40" s="1"/>
  <c r="H24" i="40" a="1"/>
  <c r="H24" i="40" s="1"/>
  <c r="H15" i="40" a="1"/>
  <c r="H15" i="40" s="1"/>
  <c r="H37" i="40" a="1"/>
  <c r="H37" i="40" s="1"/>
  <c r="Q36" i="40" a="1"/>
  <c r="Q36" i="40" s="1"/>
  <c r="Z4" i="40" a="1"/>
  <c r="Z4" i="40" s="1"/>
  <c r="Z36" i="40" a="1"/>
  <c r="Z36" i="40" s="1"/>
  <c r="Z29" i="40" a="1"/>
  <c r="Z29" i="40" s="1"/>
  <c r="Z21" i="40" a="1"/>
  <c r="Z21" i="40" s="1"/>
  <c r="Z13" i="40" a="1"/>
  <c r="Z13" i="40" s="1"/>
  <c r="Q37" i="40" a="1"/>
  <c r="Q37" i="40" s="1"/>
  <c r="Q30" i="40" a="1"/>
  <c r="Q30" i="40" s="1"/>
  <c r="H30" i="40" a="1"/>
  <c r="H30" i="40" s="1"/>
  <c r="Q13" i="40" a="1"/>
  <c r="Q13" i="40" s="1"/>
  <c r="Z35" i="40" a="1"/>
  <c r="Z35" i="40" s="1"/>
  <c r="Z34" i="40" a="1"/>
  <c r="Z34" i="40" s="1"/>
  <c r="Z28" i="40" a="1"/>
  <c r="Z28" i="40" s="1"/>
  <c r="Z19" i="40" a="1"/>
  <c r="Z19" i="40" s="1"/>
  <c r="Z10" i="40" a="1"/>
  <c r="Z10" i="40" s="1"/>
  <c r="Q35" i="40" a="1"/>
  <c r="Q35" i="40" s="1"/>
  <c r="Q20" i="40" a="1"/>
  <c r="Q20" i="40" s="1"/>
  <c r="Q12" i="40" a="1"/>
  <c r="Q12" i="40" s="1"/>
  <c r="H35" i="40" a="1"/>
  <c r="H35" i="40" s="1"/>
  <c r="H20" i="40" a="1"/>
  <c r="H20" i="40" s="1"/>
  <c r="H12" i="40" a="1"/>
  <c r="H12" i="40" s="1"/>
  <c r="H4" i="40" a="1"/>
  <c r="H4" i="40" s="1"/>
  <c r="H36" i="40" a="1"/>
  <c r="H36" i="40" s="1"/>
  <c r="Z32" i="40" a="1"/>
  <c r="Z32" i="40" s="1"/>
  <c r="Z27" i="40" a="1"/>
  <c r="Z27" i="40" s="1"/>
  <c r="V192" i="58" s="1"/>
  <c r="Z18" i="40" a="1"/>
  <c r="Z18" i="40" s="1"/>
  <c r="Z9" i="40" a="1"/>
  <c r="Z9" i="40" s="1"/>
  <c r="Q34" i="40" a="1"/>
  <c r="Q34" i="40" s="1"/>
  <c r="Q28" i="40" a="1"/>
  <c r="Q28" i="40" s="1"/>
  <c r="Q19" i="40" a="1"/>
  <c r="Q19" i="40" s="1"/>
  <c r="Q10" i="40" a="1"/>
  <c r="Q10" i="40" s="1"/>
  <c r="H34" i="40" a="1"/>
  <c r="H34" i="40" s="1"/>
  <c r="H28" i="40" a="1"/>
  <c r="H28" i="40" s="1"/>
  <c r="H19" i="40" a="1"/>
  <c r="H19" i="40" s="1"/>
  <c r="H10" i="40" a="1"/>
  <c r="H10" i="40" s="1"/>
  <c r="Q14" i="40" a="1"/>
  <c r="Q14" i="40" s="1"/>
  <c r="Z20" i="40" a="1"/>
  <c r="Z20" i="40" s="1"/>
  <c r="H29" i="40" a="1"/>
  <c r="H29" i="40" s="1"/>
  <c r="Z31" i="40" a="1"/>
  <c r="Z31" i="40" s="1"/>
  <c r="Z26" i="40" a="1"/>
  <c r="Z26" i="40" s="1"/>
  <c r="Z17" i="40" a="1"/>
  <c r="Z17" i="40" s="1"/>
  <c r="Z8" i="40" a="1"/>
  <c r="Z8" i="40" s="1"/>
  <c r="Q32" i="40" a="1"/>
  <c r="Q32" i="40" s="1"/>
  <c r="Q27" i="40" a="1"/>
  <c r="Q27" i="40" s="1"/>
  <c r="V161" i="58" s="1"/>
  <c r="Q18" i="40" a="1"/>
  <c r="Q18" i="40" s="1"/>
  <c r="Q9" i="40" a="1"/>
  <c r="Q9" i="40" s="1"/>
  <c r="H32" i="40" a="1"/>
  <c r="H32" i="40" s="1"/>
  <c r="H27" i="40" a="1"/>
  <c r="H27" i="40" s="1"/>
  <c r="V130" i="58" s="1"/>
  <c r="H18" i="40" a="1"/>
  <c r="H18" i="40" s="1"/>
  <c r="H9" i="40" a="1"/>
  <c r="H9" i="40" s="1"/>
  <c r="H5" i="40" a="1"/>
  <c r="H5" i="40" s="1"/>
  <c r="H23" i="40" a="1"/>
  <c r="H23" i="40" s="1"/>
  <c r="Q21" i="40" a="1"/>
  <c r="Q21" i="40" s="1"/>
  <c r="Z25" i="40" a="1"/>
  <c r="Z25" i="40" s="1"/>
  <c r="Z16" i="40" a="1"/>
  <c r="Z16" i="40" s="1"/>
  <c r="Z7" i="40" a="1"/>
  <c r="Z7" i="40" s="1"/>
  <c r="Q31" i="40" a="1"/>
  <c r="Q31" i="40" s="1"/>
  <c r="Q26" i="40" a="1"/>
  <c r="Q26" i="40" s="1"/>
  <c r="Q17" i="40" a="1"/>
  <c r="Q17" i="40" s="1"/>
  <c r="Q8" i="40" a="1"/>
  <c r="Q8" i="40" s="1"/>
  <c r="H31" i="40" a="1"/>
  <c r="H31" i="40" s="1"/>
  <c r="H26" i="40" a="1"/>
  <c r="H26" i="40" s="1"/>
  <c r="H17" i="40" a="1"/>
  <c r="H17" i="40" s="1"/>
  <c r="H8" i="40" a="1"/>
  <c r="H8" i="40" s="1"/>
  <c r="H25" i="40" a="1"/>
  <c r="H25" i="40" s="1"/>
  <c r="H16" i="40" a="1"/>
  <c r="H16" i="40" s="1"/>
  <c r="Q23" i="40" a="1"/>
  <c r="Q23" i="40" s="1"/>
  <c r="H14" i="40" a="1"/>
  <c r="H14" i="40" s="1"/>
  <c r="Q29" i="40" a="1"/>
  <c r="Q29" i="40" s="1"/>
  <c r="H21" i="40" a="1"/>
  <c r="H21" i="40" s="1"/>
  <c r="Z38" i="40" a="1"/>
  <c r="Z38" i="40" s="1"/>
  <c r="Z24" i="40" a="1"/>
  <c r="Z24" i="40" s="1"/>
  <c r="Z15" i="40" a="1"/>
  <c r="Z15" i="40" s="1"/>
  <c r="Z5" i="40" a="1"/>
  <c r="Z5" i="40" s="1"/>
  <c r="Q25" i="40" a="1"/>
  <c r="Q25" i="40" s="1"/>
  <c r="Q16" i="40" a="1"/>
  <c r="Q16" i="40" s="1"/>
  <c r="Q7" i="40" a="1"/>
  <c r="Q7" i="40" s="1"/>
  <c r="Q4" i="40" a="1"/>
  <c r="Q4" i="40" s="1"/>
  <c r="Z12" i="40" a="1"/>
  <c r="Z12" i="40" s="1"/>
  <c r="H13" i="40" a="1"/>
  <c r="H13" i="40" s="1"/>
  <c r="AA7" i="65" l="1"/>
  <c r="W717" i="58" s="1"/>
  <c r="AC7" i="65"/>
  <c r="K22" i="65"/>
  <c r="Y666" i="58" s="1"/>
  <c r="I22" i="65"/>
  <c r="W666" i="58" s="1"/>
  <c r="I42" i="65"/>
  <c r="W682" i="58" s="1"/>
  <c r="K42" i="65"/>
  <c r="K15" i="65"/>
  <c r="Y659" i="58" s="1"/>
  <c r="I15" i="65"/>
  <c r="W659" i="58" s="1"/>
  <c r="K30" i="65"/>
  <c r="Y672" i="58" s="1"/>
  <c r="I30" i="65"/>
  <c r="W672" i="58" s="1"/>
  <c r="R27" i="65"/>
  <c r="W702" i="58" s="1"/>
  <c r="T27" i="65"/>
  <c r="R14" i="65"/>
  <c r="W691" i="58" s="1"/>
  <c r="T14" i="65"/>
  <c r="K34" i="65"/>
  <c r="Y676" i="58" s="1"/>
  <c r="I34" i="65"/>
  <c r="W676" i="58" s="1"/>
  <c r="I11" i="65"/>
  <c r="W655" i="58" s="1"/>
  <c r="K11" i="65"/>
  <c r="R19" i="65"/>
  <c r="W696" i="58" s="1"/>
  <c r="T19" i="65"/>
  <c r="AA17" i="65"/>
  <c r="W727" i="58" s="1"/>
  <c r="AC17" i="65"/>
  <c r="Y727" i="58" s="1"/>
  <c r="R8" i="65"/>
  <c r="W685" i="58" s="1"/>
  <c r="T8" i="65"/>
  <c r="AA6" i="65"/>
  <c r="W716" i="58" s="1"/>
  <c r="AC6" i="65"/>
  <c r="Y716" i="58" s="1"/>
  <c r="R30" i="65"/>
  <c r="W705" i="58" s="1"/>
  <c r="T30" i="65"/>
  <c r="AA33" i="65"/>
  <c r="W741" i="58" s="1"/>
  <c r="AC33" i="65"/>
  <c r="I20" i="65"/>
  <c r="W664" i="58" s="1"/>
  <c r="K20" i="65"/>
  <c r="I40" i="65"/>
  <c r="W680" i="58" s="1"/>
  <c r="K40" i="65"/>
  <c r="AA14" i="65"/>
  <c r="W724" i="58" s="1"/>
  <c r="AC14" i="65"/>
  <c r="T22" i="65"/>
  <c r="Y699" i="58" s="1"/>
  <c r="R22" i="65"/>
  <c r="W699" i="58" s="1"/>
  <c r="I31" i="65"/>
  <c r="W673" i="58" s="1"/>
  <c r="K31" i="65"/>
  <c r="AA38" i="65"/>
  <c r="W744" i="58" s="1"/>
  <c r="AC38" i="65"/>
  <c r="AC25" i="65"/>
  <c r="Y733" i="58" s="1"/>
  <c r="AA25" i="65"/>
  <c r="K21" i="65"/>
  <c r="Y665" i="58" s="1"/>
  <c r="I21" i="65"/>
  <c r="W665" i="58" s="1"/>
  <c r="T17" i="65"/>
  <c r="Y694" i="58" s="1"/>
  <c r="R17" i="65"/>
  <c r="W694" i="58" s="1"/>
  <c r="K13" i="65"/>
  <c r="Y657" i="58" s="1"/>
  <c r="I13" i="65"/>
  <c r="W657" i="58" s="1"/>
  <c r="I16" i="65"/>
  <c r="W660" i="58" s="1"/>
  <c r="K16" i="65"/>
  <c r="T25" i="65"/>
  <c r="Y700" i="58" s="1"/>
  <c r="R25" i="65"/>
  <c r="W700" i="58" s="1"/>
  <c r="K26" i="65"/>
  <c r="Y668" i="58" s="1"/>
  <c r="I26" i="65"/>
  <c r="W668" i="58" s="1"/>
  <c r="AA41" i="65"/>
  <c r="W747" i="58" s="1"/>
  <c r="AC41" i="65"/>
  <c r="R37" i="65"/>
  <c r="W710" i="58" s="1"/>
  <c r="T37" i="65"/>
  <c r="R15" i="65"/>
  <c r="W692" i="58" s="1"/>
  <c r="T15" i="65"/>
  <c r="Y692" i="58" s="1"/>
  <c r="T33" i="65"/>
  <c r="R33" i="65"/>
  <c r="W708" i="58" s="1"/>
  <c r="I28" i="65"/>
  <c r="W670" i="58" s="1"/>
  <c r="K28" i="65"/>
  <c r="R9" i="65"/>
  <c r="W686" i="58" s="1"/>
  <c r="T9" i="65"/>
  <c r="T41" i="65"/>
  <c r="Y714" i="58" s="1"/>
  <c r="R41" i="65"/>
  <c r="W714" i="58" s="1"/>
  <c r="AA39" i="65"/>
  <c r="W745" i="58" s="1"/>
  <c r="AC39" i="65"/>
  <c r="R12" i="65"/>
  <c r="W689" i="58" s="1"/>
  <c r="T12" i="65"/>
  <c r="I10" i="65"/>
  <c r="W654" i="58" s="1"/>
  <c r="K10" i="65"/>
  <c r="AA12" i="65"/>
  <c r="W722" i="58" s="1"/>
  <c r="AC12" i="65"/>
  <c r="Y722" i="58" s="1"/>
  <c r="T6" i="65"/>
  <c r="Y683" i="58" s="1"/>
  <c r="R6" i="65"/>
  <c r="W683" i="58" s="1"/>
  <c r="AA18" i="65"/>
  <c r="W728" i="58" s="1"/>
  <c r="AC18" i="65"/>
  <c r="I17" i="65"/>
  <c r="W661" i="58" s="1"/>
  <c r="K17" i="65"/>
  <c r="AA22" i="65"/>
  <c r="W732" i="58" s="1"/>
  <c r="AC22" i="65"/>
  <c r="I19" i="65"/>
  <c r="W663" i="58" s="1"/>
  <c r="K19" i="65"/>
  <c r="K25" i="65"/>
  <c r="Y667" i="58" s="1"/>
  <c r="I25" i="65"/>
  <c r="W667" i="58" s="1"/>
  <c r="K39" i="65"/>
  <c r="I39" i="65"/>
  <c r="W679" i="58" s="1"/>
  <c r="AC28" i="65"/>
  <c r="Y736" i="58" s="1"/>
  <c r="AA28" i="65"/>
  <c r="W736" i="58" s="1"/>
  <c r="R20" i="65"/>
  <c r="W697" i="58" s="1"/>
  <c r="T20" i="65"/>
  <c r="AC34" i="65"/>
  <c r="Y742" i="58" s="1"/>
  <c r="AA34" i="65"/>
  <c r="W742" i="58" s="1"/>
  <c r="I32" i="65"/>
  <c r="W674" i="58" s="1"/>
  <c r="K32" i="65"/>
  <c r="AA40" i="65"/>
  <c r="W746" i="58" s="1"/>
  <c r="AC40" i="65"/>
  <c r="T29" i="65"/>
  <c r="R29" i="65"/>
  <c r="W704" i="58" s="1"/>
  <c r="R16" i="65"/>
  <c r="W693" i="58" s="1"/>
  <c r="T16" i="65"/>
  <c r="Y693" i="58" s="1"/>
  <c r="I41" i="65"/>
  <c r="W681" i="58" s="1"/>
  <c r="K41" i="65"/>
  <c r="R38" i="65"/>
  <c r="W711" i="58" s="1"/>
  <c r="T38" i="65"/>
  <c r="I27" i="65"/>
  <c r="W669" i="58" s="1"/>
  <c r="K27" i="65"/>
  <c r="R10" i="65"/>
  <c r="W687" i="58" s="1"/>
  <c r="T10" i="65"/>
  <c r="I12" i="65"/>
  <c r="W656" i="58" s="1"/>
  <c r="K12" i="65"/>
  <c r="I9" i="65"/>
  <c r="W653" i="58" s="1"/>
  <c r="K9" i="65"/>
  <c r="Y653" i="58" s="1"/>
  <c r="AA8" i="65"/>
  <c r="W718" i="58" s="1"/>
  <c r="AC8" i="65"/>
  <c r="Y718" i="58" s="1"/>
  <c r="R32" i="65"/>
  <c r="W707" i="58" s="1"/>
  <c r="T32" i="65"/>
  <c r="T18" i="65"/>
  <c r="Y695" i="58" s="1"/>
  <c r="R18" i="65"/>
  <c r="W695" i="58" s="1"/>
  <c r="AA15" i="65"/>
  <c r="W725" i="58" s="1"/>
  <c r="AC15" i="65"/>
  <c r="R21" i="65"/>
  <c r="W698" i="58" s="1"/>
  <c r="T21" i="65"/>
  <c r="R26" i="65"/>
  <c r="W701" i="58" s="1"/>
  <c r="T26" i="65"/>
  <c r="R28" i="65"/>
  <c r="W703" i="58" s="1"/>
  <c r="T28" i="65"/>
  <c r="I38" i="65"/>
  <c r="W678" i="58" s="1"/>
  <c r="K38" i="65"/>
  <c r="R40" i="65"/>
  <c r="W713" i="58" s="1"/>
  <c r="T40" i="65"/>
  <c r="AA11" i="65"/>
  <c r="W721" i="58" s="1"/>
  <c r="AC11" i="65"/>
  <c r="T34" i="65"/>
  <c r="Y709" i="58" s="1"/>
  <c r="R34" i="65"/>
  <c r="W709" i="58" s="1"/>
  <c r="AA31" i="65"/>
  <c r="W739" i="58" s="1"/>
  <c r="AC31" i="65"/>
  <c r="AA37" i="65"/>
  <c r="W743" i="58" s="1"/>
  <c r="AC37" i="65"/>
  <c r="R42" i="65"/>
  <c r="W715" i="58" s="1"/>
  <c r="T42" i="65"/>
  <c r="I7" i="65"/>
  <c r="W651" i="58" s="1"/>
  <c r="K7" i="65"/>
  <c r="T31" i="65"/>
  <c r="Y706" i="58" s="1"/>
  <c r="R31" i="65"/>
  <c r="W706" i="58" s="1"/>
  <c r="AA9" i="65"/>
  <c r="W719" i="58" s="1"/>
  <c r="AC9" i="65"/>
  <c r="AC27" i="65"/>
  <c r="Y735" i="58" s="1"/>
  <c r="AA27" i="65"/>
  <c r="W735" i="58" s="1"/>
  <c r="AC13" i="65"/>
  <c r="Y723" i="58" s="1"/>
  <c r="AA13" i="65"/>
  <c r="W723" i="58" s="1"/>
  <c r="AC32" i="65"/>
  <c r="Y740" i="58" s="1"/>
  <c r="AA32" i="65"/>
  <c r="W740" i="58" s="1"/>
  <c r="I29" i="65"/>
  <c r="W671" i="58" s="1"/>
  <c r="K29" i="65"/>
  <c r="AA19" i="65"/>
  <c r="W729" i="58" s="1"/>
  <c r="AC19" i="65"/>
  <c r="R13" i="65"/>
  <c r="W690" i="58" s="1"/>
  <c r="T13" i="65"/>
  <c r="AA10" i="65"/>
  <c r="W720" i="58" s="1"/>
  <c r="AC10" i="65"/>
  <c r="AA20" i="65"/>
  <c r="W730" i="58" s="1"/>
  <c r="AC20" i="65"/>
  <c r="K6" i="65"/>
  <c r="Y650" i="58" s="1"/>
  <c r="I6" i="65"/>
  <c r="W650" i="58" s="1"/>
  <c r="AC29" i="65"/>
  <c r="Y737" i="58" s="1"/>
  <c r="AA29" i="65"/>
  <c r="W737" i="58" s="1"/>
  <c r="I14" i="65"/>
  <c r="W658" i="58" s="1"/>
  <c r="K14" i="65"/>
  <c r="T7" i="65"/>
  <c r="R7" i="65"/>
  <c r="W684" i="58" s="1"/>
  <c r="I18" i="65"/>
  <c r="W662" i="58" s="1"/>
  <c r="K18" i="65"/>
  <c r="I8" i="65"/>
  <c r="W652" i="58" s="1"/>
  <c r="K8" i="65"/>
  <c r="AA26" i="65"/>
  <c r="W734" i="58" s="1"/>
  <c r="AC26" i="65"/>
  <c r="I33" i="65"/>
  <c r="W675" i="58" s="1"/>
  <c r="K33" i="65"/>
  <c r="AC21" i="65"/>
  <c r="Y731" i="58" s="1"/>
  <c r="AA21" i="65"/>
  <c r="W731" i="58" s="1"/>
  <c r="AA30" i="65"/>
  <c r="W738" i="58" s="1"/>
  <c r="AC30" i="65"/>
  <c r="R39" i="65"/>
  <c r="W712" i="58" s="1"/>
  <c r="T39" i="65"/>
  <c r="AA16" i="65"/>
  <c r="W726" i="58" s="1"/>
  <c r="AC16" i="65"/>
  <c r="Y726" i="58" s="1"/>
  <c r="R11" i="65"/>
  <c r="W688" i="58" s="1"/>
  <c r="T11" i="65"/>
  <c r="K37" i="65"/>
  <c r="Y677" i="58" s="1"/>
  <c r="I37" i="65"/>
  <c r="AA42" i="65"/>
  <c r="W748" i="58" s="1"/>
  <c r="AC42" i="65"/>
  <c r="T28" i="64"/>
  <c r="Y639" i="58" s="1"/>
  <c r="V639" i="58"/>
  <c r="R28" i="64"/>
  <c r="W639" i="58" s="1"/>
  <c r="AC29" i="64"/>
  <c r="Y643" i="58" s="1"/>
  <c r="V643" i="58"/>
  <c r="AA29" i="64"/>
  <c r="W643" i="58" s="1"/>
  <c r="T12" i="64"/>
  <c r="Y600" i="58" s="1"/>
  <c r="V600" i="58"/>
  <c r="R12" i="64"/>
  <c r="W600" i="58" s="1"/>
  <c r="K13" i="64"/>
  <c r="I13" i="64"/>
  <c r="K11" i="64"/>
  <c r="V590" i="58"/>
  <c r="V596" i="58"/>
  <c r="I11" i="64"/>
  <c r="V608" i="58"/>
  <c r="K16" i="64"/>
  <c r="Y608" i="58" s="1"/>
  <c r="I16" i="64"/>
  <c r="W608" i="58" s="1"/>
  <c r="K9" i="64"/>
  <c r="I9" i="64"/>
  <c r="V614" i="58"/>
  <c r="K18" i="64"/>
  <c r="Y614" i="58" s="1"/>
  <c r="I18" i="64"/>
  <c r="V603" i="58"/>
  <c r="V618" i="58"/>
  <c r="T19" i="64"/>
  <c r="R19" i="64"/>
  <c r="AC22" i="64"/>
  <c r="V625" i="58"/>
  <c r="AA22" i="64"/>
  <c r="W625" i="58" s="1"/>
  <c r="V621" i="58"/>
  <c r="T20" i="64"/>
  <c r="R20" i="64"/>
  <c r="W621" i="58" s="1"/>
  <c r="AC28" i="64"/>
  <c r="Y640" i="58" s="1"/>
  <c r="AA28" i="64"/>
  <c r="W640" i="58" s="1"/>
  <c r="V640" i="58"/>
  <c r="V633" i="58"/>
  <c r="T25" i="64"/>
  <c r="Y633" i="58" s="1"/>
  <c r="R25" i="64"/>
  <c r="K30" i="64"/>
  <c r="Y644" i="58" s="1"/>
  <c r="V644" i="58"/>
  <c r="I30" i="64"/>
  <c r="T11" i="64"/>
  <c r="V597" i="58"/>
  <c r="V591" i="58"/>
  <c r="R11" i="64"/>
  <c r="K17" i="64"/>
  <c r="Y611" i="58" s="1"/>
  <c r="V611" i="58"/>
  <c r="I17" i="64"/>
  <c r="W611" i="58" s="1"/>
  <c r="AC16" i="64"/>
  <c r="Y610" i="58" s="1"/>
  <c r="V610" i="58"/>
  <c r="AA16" i="64"/>
  <c r="W610" i="58" s="1"/>
  <c r="AC30" i="64"/>
  <c r="V646" i="58"/>
  <c r="AA30" i="64"/>
  <c r="W646" i="58" s="1"/>
  <c r="V593" i="58"/>
  <c r="K10" i="64"/>
  <c r="I10" i="64"/>
  <c r="W593" i="58" s="1"/>
  <c r="T27" i="64"/>
  <c r="V636" i="58"/>
  <c r="R27" i="64"/>
  <c r="W636" i="58" s="1"/>
  <c r="R18" i="64"/>
  <c r="W615" i="58" s="1"/>
  <c r="V615" i="58"/>
  <c r="T18" i="64"/>
  <c r="Y615" i="58" s="1"/>
  <c r="T23" i="64"/>
  <c r="V627" i="58"/>
  <c r="R23" i="64"/>
  <c r="W627" i="58" s="1"/>
  <c r="V620" i="58"/>
  <c r="K20" i="64"/>
  <c r="I20" i="64"/>
  <c r="W620" i="58" s="1"/>
  <c r="AC20" i="64"/>
  <c r="Y622" i="58" s="1"/>
  <c r="V622" i="58"/>
  <c r="AA20" i="64"/>
  <c r="W622" i="58" s="1"/>
  <c r="V641" i="58"/>
  <c r="K29" i="64"/>
  <c r="Y641" i="58" s="1"/>
  <c r="I29" i="64"/>
  <c r="W641" i="58" s="1"/>
  <c r="V601" i="58"/>
  <c r="AC12" i="64"/>
  <c r="AA12" i="64"/>
  <c r="K25" i="64"/>
  <c r="Y632" i="58" s="1"/>
  <c r="I25" i="64"/>
  <c r="W632" i="58" s="1"/>
  <c r="V632" i="58"/>
  <c r="V635" i="58"/>
  <c r="K27" i="64"/>
  <c r="I27" i="64"/>
  <c r="W635" i="58" s="1"/>
  <c r="AC9" i="64"/>
  <c r="AA9" i="64"/>
  <c r="K23" i="64"/>
  <c r="V626" i="58"/>
  <c r="I23" i="64"/>
  <c r="W626" i="58" s="1"/>
  <c r="T30" i="64"/>
  <c r="V645" i="58"/>
  <c r="R30" i="64"/>
  <c r="W645" i="58" s="1"/>
  <c r="V604" i="58"/>
  <c r="AA19" i="64"/>
  <c r="AC19" i="64"/>
  <c r="V619" i="58"/>
  <c r="V599" i="58"/>
  <c r="K12" i="64"/>
  <c r="I12" i="64"/>
  <c r="W599" i="58" s="1"/>
  <c r="V598" i="58"/>
  <c r="V592" i="58"/>
  <c r="AC11" i="64"/>
  <c r="AA11" i="64"/>
  <c r="K8" i="64"/>
  <c r="Y587" i="58" s="1"/>
  <c r="V587" i="58"/>
  <c r="I8" i="64"/>
  <c r="W587" i="58" s="1"/>
  <c r="T13" i="64"/>
  <c r="R13" i="64"/>
  <c r="T9" i="64"/>
  <c r="R9" i="64"/>
  <c r="T22" i="64"/>
  <c r="Y624" i="58" s="1"/>
  <c r="V624" i="58"/>
  <c r="R22" i="64"/>
  <c r="W624" i="58" s="1"/>
  <c r="V605" i="58"/>
  <c r="K15" i="64"/>
  <c r="I15" i="64"/>
  <c r="W605" i="58" s="1"/>
  <c r="V623" i="58"/>
  <c r="K22" i="64"/>
  <c r="I22" i="64"/>
  <c r="W623" i="58" s="1"/>
  <c r="T8" i="64"/>
  <c r="V588" i="58"/>
  <c r="R8" i="64"/>
  <c r="W588" i="58" s="1"/>
  <c r="AC23" i="64"/>
  <c r="Y628" i="58" s="1"/>
  <c r="V628" i="58"/>
  <c r="AA23" i="64"/>
  <c r="W628" i="58" s="1"/>
  <c r="V616" i="58"/>
  <c r="AC18" i="64"/>
  <c r="Y616" i="58" s="1"/>
  <c r="AA18" i="64"/>
  <c r="W616" i="58" s="1"/>
  <c r="AC31" i="64"/>
  <c r="V649" i="58"/>
  <c r="AA31" i="64"/>
  <c r="W649" i="58" s="1"/>
  <c r="V629" i="58"/>
  <c r="K24" i="64"/>
  <c r="I24" i="64"/>
  <c r="W629" i="58" s="1"/>
  <c r="V648" i="58"/>
  <c r="T31" i="64"/>
  <c r="Y648" i="58" s="1"/>
  <c r="R31" i="64"/>
  <c r="W648" i="58" s="1"/>
  <c r="T16" i="64"/>
  <c r="Y609" i="58" s="1"/>
  <c r="V609" i="58"/>
  <c r="R16" i="64"/>
  <c r="W609" i="58" s="1"/>
  <c r="K28" i="64"/>
  <c r="Y638" i="58" s="1"/>
  <c r="V638" i="58"/>
  <c r="I28" i="64"/>
  <c r="V613" i="58"/>
  <c r="AC17" i="64"/>
  <c r="Y613" i="58" s="1"/>
  <c r="AA17" i="64"/>
  <c r="W613" i="58" s="1"/>
  <c r="AC15" i="64"/>
  <c r="V607" i="58"/>
  <c r="AA15" i="64"/>
  <c r="W607" i="58" s="1"/>
  <c r="T17" i="64"/>
  <c r="V612" i="58"/>
  <c r="R17" i="64"/>
  <c r="W612" i="58" s="1"/>
  <c r="V606" i="58"/>
  <c r="T15" i="64"/>
  <c r="Y606" i="58" s="1"/>
  <c r="R15" i="64"/>
  <c r="W606" i="58" s="1"/>
  <c r="T10" i="64"/>
  <c r="Y594" i="58" s="1"/>
  <c r="V594" i="58"/>
  <c r="R10" i="64"/>
  <c r="W594" i="58" s="1"/>
  <c r="V602" i="58"/>
  <c r="V617" i="58"/>
  <c r="K19" i="64"/>
  <c r="I19" i="64"/>
  <c r="AC13" i="64"/>
  <c r="AA13" i="64"/>
  <c r="AC27" i="64"/>
  <c r="Y637" i="58" s="1"/>
  <c r="V637" i="58"/>
  <c r="AA27" i="64"/>
  <c r="W637" i="58" s="1"/>
  <c r="V631" i="58"/>
  <c r="AC24" i="64"/>
  <c r="Y631" i="58" s="1"/>
  <c r="AA24" i="64"/>
  <c r="W631" i="58" s="1"/>
  <c r="AC25" i="64"/>
  <c r="V634" i="58"/>
  <c r="AA25" i="64"/>
  <c r="W634" i="58" s="1"/>
  <c r="T29" i="64"/>
  <c r="Y642" i="58" s="1"/>
  <c r="V642" i="58"/>
  <c r="R29" i="64"/>
  <c r="V630" i="58"/>
  <c r="T24" i="64"/>
  <c r="Y630" i="58" s="1"/>
  <c r="R24" i="64"/>
  <c r="K31" i="64"/>
  <c r="Y647" i="58" s="1"/>
  <c r="V647" i="58"/>
  <c r="I31" i="64"/>
  <c r="W647" i="58" s="1"/>
  <c r="V595" i="58"/>
  <c r="AC10" i="64"/>
  <c r="Y595" i="58" s="1"/>
  <c r="AA10" i="64"/>
  <c r="W595" i="58" s="1"/>
  <c r="V589" i="58"/>
  <c r="AC8" i="64"/>
  <c r="Y589" i="58" s="1"/>
  <c r="AA8" i="64"/>
  <c r="R6" i="64"/>
  <c r="W585" i="58" s="1"/>
  <c r="T6" i="64"/>
  <c r="Y585" i="58" s="1"/>
  <c r="K6" i="64"/>
  <c r="Y584" i="58" s="1"/>
  <c r="I6" i="64"/>
  <c r="W584" i="58" s="1"/>
  <c r="AC6" i="64"/>
  <c r="Y586" i="58" s="1"/>
  <c r="AA6" i="64"/>
  <c r="W586" i="58" s="1"/>
  <c r="I53" i="43"/>
  <c r="W578" i="58" s="1"/>
  <c r="K53" i="43"/>
  <c r="AA22" i="46"/>
  <c r="Y474" i="58" s="1"/>
  <c r="Y22" i="46"/>
  <c r="W474" i="58" s="1"/>
  <c r="R53" i="43"/>
  <c r="W579" i="58" s="1"/>
  <c r="T53" i="43"/>
  <c r="O24" i="53"/>
  <c r="M24" i="53"/>
  <c r="W575" i="58" s="1"/>
  <c r="V575" i="58"/>
  <c r="V577" i="58"/>
  <c r="AM24" i="53"/>
  <c r="AK24" i="53"/>
  <c r="W577" i="58" s="1"/>
  <c r="AK22" i="46"/>
  <c r="W501" i="58" s="1"/>
  <c r="AM22" i="46"/>
  <c r="Y501" i="58" s="1"/>
  <c r="V576" i="58"/>
  <c r="AA24" i="53"/>
  <c r="Y24" i="53"/>
  <c r="W576" i="58" s="1"/>
  <c r="AC53" i="43"/>
  <c r="Y580" i="58" s="1"/>
  <c r="AA53" i="43"/>
  <c r="W580" i="58" s="1"/>
  <c r="M22" i="46"/>
  <c r="W447" i="58" s="1"/>
  <c r="O22" i="46"/>
  <c r="Y447" i="58" s="1"/>
  <c r="V573" i="58"/>
  <c r="AA34" i="46"/>
  <c r="Y34" i="46"/>
  <c r="W573" i="58" s="1"/>
  <c r="V574" i="58"/>
  <c r="AM34" i="46"/>
  <c r="AK34" i="46"/>
  <c r="W574" i="58" s="1"/>
  <c r="O34" i="46"/>
  <c r="V572" i="58"/>
  <c r="M34" i="46"/>
  <c r="W572" i="58" s="1"/>
  <c r="R21" i="40"/>
  <c r="W156" i="58" s="1"/>
  <c r="V156" i="58"/>
  <c r="T21" i="40"/>
  <c r="V193" i="58"/>
  <c r="AC28" i="40"/>
  <c r="AA28" i="40"/>
  <c r="W193" i="58" s="1"/>
  <c r="O23" i="53"/>
  <c r="Y529" i="58" s="1"/>
  <c r="V529" i="58"/>
  <c r="V463" i="58"/>
  <c r="Y8" i="46"/>
  <c r="AA8" i="46"/>
  <c r="Y463" i="58" s="1"/>
  <c r="V107" i="58"/>
  <c r="AA46" i="51"/>
  <c r="W107" i="58" s="1"/>
  <c r="AC46" i="51"/>
  <c r="V80" i="58"/>
  <c r="AA12" i="51"/>
  <c r="W80" i="58" s="1"/>
  <c r="AC12" i="51"/>
  <c r="V397" i="58"/>
  <c r="AA22" i="44"/>
  <c r="Y22" i="44"/>
  <c r="W397" i="58" s="1"/>
  <c r="V126" i="58"/>
  <c r="K23" i="40"/>
  <c r="Y126" i="58" s="1"/>
  <c r="I23" i="40"/>
  <c r="W126" i="58" s="1"/>
  <c r="V194" i="58"/>
  <c r="AC29" i="40"/>
  <c r="Y194" i="58" s="1"/>
  <c r="AA29" i="40"/>
  <c r="AA30" i="43"/>
  <c r="W310" i="58" s="1"/>
  <c r="V310" i="58"/>
  <c r="AC30" i="43"/>
  <c r="AC38" i="40"/>
  <c r="AA38" i="40"/>
  <c r="W202" i="58" s="1"/>
  <c r="V202" i="58"/>
  <c r="I21" i="40"/>
  <c r="W125" i="58" s="1"/>
  <c r="V125" i="58"/>
  <c r="K21" i="40"/>
  <c r="Y125" i="58" s="1"/>
  <c r="K26" i="40"/>
  <c r="Y129" i="58" s="1"/>
  <c r="V129" i="58"/>
  <c r="I26" i="40"/>
  <c r="W129" i="58" s="1"/>
  <c r="V190" i="58"/>
  <c r="AC25" i="40"/>
  <c r="AA25" i="40"/>
  <c r="W190" i="58" s="1"/>
  <c r="I32" i="40"/>
  <c r="W135" i="58" s="1"/>
  <c r="V135" i="58"/>
  <c r="K32" i="40"/>
  <c r="Y135" i="58" s="1"/>
  <c r="V196" i="58"/>
  <c r="AC31" i="40"/>
  <c r="AA31" i="40"/>
  <c r="W196" i="58" s="1"/>
  <c r="V146" i="58"/>
  <c r="I36" i="40"/>
  <c r="W138" i="58" s="1"/>
  <c r="V138" i="58"/>
  <c r="K36" i="40"/>
  <c r="Y138" i="58" s="1"/>
  <c r="V177" i="58"/>
  <c r="V170" i="58"/>
  <c r="R37" i="40"/>
  <c r="W170" i="58" s="1"/>
  <c r="T37" i="40"/>
  <c r="V119" i="58"/>
  <c r="K15" i="40"/>
  <c r="Y119" i="58" s="1"/>
  <c r="I15" i="40"/>
  <c r="W119" i="58" s="1"/>
  <c r="T38" i="40"/>
  <c r="V171" i="58"/>
  <c r="R38" i="40"/>
  <c r="W171" i="58" s="1"/>
  <c r="V552" i="58"/>
  <c r="Y29" i="53"/>
  <c r="W552" i="58" s="1"/>
  <c r="AA29" i="53"/>
  <c r="V487" i="58"/>
  <c r="Y39" i="46"/>
  <c r="AA39" i="46"/>
  <c r="Y487" i="58" s="1"/>
  <c r="AM11" i="53"/>
  <c r="Y557" i="58" s="1"/>
  <c r="AK11" i="53"/>
  <c r="V557" i="58"/>
  <c r="AC9" i="47"/>
  <c r="AA9" i="47"/>
  <c r="W352" i="58" s="1"/>
  <c r="V352" i="58"/>
  <c r="O16" i="46"/>
  <c r="Y442" i="58" s="1"/>
  <c r="V442" i="58"/>
  <c r="V503" i="58"/>
  <c r="AM25" i="46"/>
  <c r="Y503" i="58" s="1"/>
  <c r="AK25" i="46"/>
  <c r="AA41" i="43"/>
  <c r="W320" i="58" s="1"/>
  <c r="V320" i="58"/>
  <c r="AC41" i="43"/>
  <c r="V473" i="58"/>
  <c r="AA20" i="46"/>
  <c r="Y20" i="46"/>
  <c r="W473" i="58" s="1"/>
  <c r="V543" i="58"/>
  <c r="AA18" i="53"/>
  <c r="Y18" i="53"/>
  <c r="W543" i="58" s="1"/>
  <c r="AC11" i="47"/>
  <c r="AA11" i="47"/>
  <c r="W354" i="58" s="1"/>
  <c r="V354" i="58"/>
  <c r="O29" i="46"/>
  <c r="Y452" i="58" s="1"/>
  <c r="V452" i="58"/>
  <c r="V514" i="58"/>
  <c r="AK39" i="46"/>
  <c r="W514" i="58" s="1"/>
  <c r="AM39" i="46"/>
  <c r="V327" i="58"/>
  <c r="AA51" i="43"/>
  <c r="W327" i="58" s="1"/>
  <c r="AC51" i="43"/>
  <c r="O11" i="46"/>
  <c r="Y438" i="58" s="1"/>
  <c r="V438" i="58"/>
  <c r="V568" i="58"/>
  <c r="AM26" i="53"/>
  <c r="Y568" i="58" s="1"/>
  <c r="AK26" i="53"/>
  <c r="AA27" i="43"/>
  <c r="W307" i="58" s="1"/>
  <c r="V307" i="58"/>
  <c r="AC27" i="43"/>
  <c r="V462" i="58"/>
  <c r="Y7" i="46"/>
  <c r="W462" i="58" s="1"/>
  <c r="AA7" i="46"/>
  <c r="O18" i="53"/>
  <c r="Y524" i="58" s="1"/>
  <c r="V524" i="58"/>
  <c r="AC55" i="43"/>
  <c r="Y329" i="58" s="1"/>
  <c r="AA55" i="43"/>
  <c r="V329" i="58"/>
  <c r="O21" i="46"/>
  <c r="Y581" i="58" s="1"/>
  <c r="V509" i="58"/>
  <c r="AM32" i="46"/>
  <c r="AK32" i="46"/>
  <c r="W509" i="58" s="1"/>
  <c r="AC29" i="43"/>
  <c r="V309" i="58"/>
  <c r="AA29" i="43"/>
  <c r="W309" i="58" s="1"/>
  <c r="V104" i="58"/>
  <c r="AA42" i="51"/>
  <c r="W104" i="58" s="1"/>
  <c r="AC42" i="51"/>
  <c r="V65" i="58"/>
  <c r="R38" i="51"/>
  <c r="W65" i="58" s="1"/>
  <c r="T38" i="51"/>
  <c r="V10" i="58"/>
  <c r="K15" i="51"/>
  <c r="I15" i="51"/>
  <c r="W10" i="58" s="1"/>
  <c r="V74" i="58"/>
  <c r="AA5" i="51"/>
  <c r="W74" i="58" s="1"/>
  <c r="AC5" i="51"/>
  <c r="V27" i="58"/>
  <c r="I36" i="51"/>
  <c r="W27" i="58" s="1"/>
  <c r="K36" i="51"/>
  <c r="V91" i="58"/>
  <c r="AA26" i="51"/>
  <c r="W91" i="58" s="1"/>
  <c r="AC26" i="51"/>
  <c r="V28" i="58"/>
  <c r="K37" i="51"/>
  <c r="I37" i="51"/>
  <c r="W28" i="58" s="1"/>
  <c r="V92" i="58"/>
  <c r="AC27" i="51"/>
  <c r="AA27" i="51"/>
  <c r="W92" i="58" s="1"/>
  <c r="V45" i="58"/>
  <c r="T13" i="51"/>
  <c r="R13" i="51"/>
  <c r="W45" i="58" s="1"/>
  <c r="V109" i="58"/>
  <c r="AA48" i="51"/>
  <c r="W109" i="58" s="1"/>
  <c r="AC48" i="51"/>
  <c r="V46" i="58"/>
  <c r="T15" i="51"/>
  <c r="R15" i="51"/>
  <c r="W46" i="58" s="1"/>
  <c r="V23" i="58"/>
  <c r="I31" i="51"/>
  <c r="W23" i="58" s="1"/>
  <c r="K31" i="51"/>
  <c r="V87" i="58"/>
  <c r="AA21" i="51"/>
  <c r="W87" i="58" s="1"/>
  <c r="AC21" i="51"/>
  <c r="O7" i="53"/>
  <c r="Y516" i="58" s="1"/>
  <c r="V516" i="58"/>
  <c r="O33" i="44"/>
  <c r="Y381" i="58" s="1"/>
  <c r="V381" i="58"/>
  <c r="V384" i="58"/>
  <c r="AA8" i="44"/>
  <c r="Y8" i="44"/>
  <c r="W384" i="58" s="1"/>
  <c r="V423" i="58"/>
  <c r="AM22" i="44"/>
  <c r="AK22" i="44"/>
  <c r="W423" i="58" s="1"/>
  <c r="V417" i="58"/>
  <c r="AM16" i="44"/>
  <c r="AK16" i="44"/>
  <c r="W417" i="58" s="1"/>
  <c r="V410" i="58"/>
  <c r="AK8" i="44"/>
  <c r="W410" i="58" s="1"/>
  <c r="AM8" i="44"/>
  <c r="V162" i="58"/>
  <c r="T28" i="40"/>
  <c r="R28" i="40"/>
  <c r="W162" i="58" s="1"/>
  <c r="AC21" i="43"/>
  <c r="Y302" i="58" s="1"/>
  <c r="AA21" i="43"/>
  <c r="V302" i="58"/>
  <c r="V468" i="58"/>
  <c r="V81" i="58"/>
  <c r="AA13" i="51"/>
  <c r="W81" i="58" s="1"/>
  <c r="AC13" i="51"/>
  <c r="V61" i="58"/>
  <c r="T33" i="51"/>
  <c r="R33" i="51"/>
  <c r="W61" i="58" s="1"/>
  <c r="V383" i="58"/>
  <c r="Y7" i="44"/>
  <c r="W383" i="58" s="1"/>
  <c r="AA7" i="44"/>
  <c r="O20" i="44"/>
  <c r="Y369" i="58" s="1"/>
  <c r="V369" i="58"/>
  <c r="V157" i="58"/>
  <c r="T23" i="40"/>
  <c r="Y157" i="58" s="1"/>
  <c r="R23" i="40"/>
  <c r="V124" i="58"/>
  <c r="K20" i="40"/>
  <c r="Y124" i="58" s="1"/>
  <c r="I20" i="40"/>
  <c r="W124" i="58" s="1"/>
  <c r="V550" i="58"/>
  <c r="AA27" i="53"/>
  <c r="Y27" i="53"/>
  <c r="W550" i="58" s="1"/>
  <c r="V143" i="58"/>
  <c r="T7" i="40"/>
  <c r="R7" i="40"/>
  <c r="W143" i="58" s="1"/>
  <c r="R16" i="40"/>
  <c r="W151" i="58" s="1"/>
  <c r="T16" i="40"/>
  <c r="V151" i="58"/>
  <c r="T25" i="40"/>
  <c r="V159" i="58"/>
  <c r="R25" i="40"/>
  <c r="W159" i="58" s="1"/>
  <c r="T29" i="40"/>
  <c r="R29" i="40"/>
  <c r="W163" i="58" s="1"/>
  <c r="V163" i="58"/>
  <c r="V134" i="58"/>
  <c r="K31" i="40"/>
  <c r="Y134" i="58" s="1"/>
  <c r="I31" i="40"/>
  <c r="W134" i="58" s="1"/>
  <c r="V145" i="58"/>
  <c r="T9" i="40"/>
  <c r="R9" i="40"/>
  <c r="W145" i="58" s="1"/>
  <c r="K29" i="40"/>
  <c r="Y132" i="58" s="1"/>
  <c r="I29" i="40"/>
  <c r="W132" i="58" s="1"/>
  <c r="V132" i="58"/>
  <c r="V154" i="58"/>
  <c r="T19" i="40"/>
  <c r="R19" i="40"/>
  <c r="W154" i="58" s="1"/>
  <c r="V110" i="58"/>
  <c r="K4" i="40"/>
  <c r="Y110" i="58" s="1"/>
  <c r="I4" i="40"/>
  <c r="W110" i="58" s="1"/>
  <c r="V185" i="58"/>
  <c r="AC19" i="40"/>
  <c r="AA19" i="40"/>
  <c r="W185" i="58" s="1"/>
  <c r="V179" i="58"/>
  <c r="AA13" i="40"/>
  <c r="W179" i="58" s="1"/>
  <c r="AC13" i="40"/>
  <c r="K24" i="40"/>
  <c r="Y127" i="58" s="1"/>
  <c r="V127" i="58"/>
  <c r="I24" i="40"/>
  <c r="W127" i="58" s="1"/>
  <c r="AC14" i="40"/>
  <c r="V180" i="58"/>
  <c r="AA14" i="40"/>
  <c r="W180" i="58" s="1"/>
  <c r="V495" i="58"/>
  <c r="V563" i="58"/>
  <c r="AM19" i="53"/>
  <c r="AK19" i="53"/>
  <c r="W563" i="58" s="1"/>
  <c r="V294" i="58"/>
  <c r="AA11" i="43"/>
  <c r="AC11" i="43"/>
  <c r="Y294" i="58" s="1"/>
  <c r="V467" i="58"/>
  <c r="Y13" i="46"/>
  <c r="W467" i="58" s="1"/>
  <c r="AA13" i="46"/>
  <c r="O25" i="46"/>
  <c r="Y449" i="58" s="1"/>
  <c r="V449" i="58"/>
  <c r="V511" i="58"/>
  <c r="AM36" i="46"/>
  <c r="Y511" i="58" s="1"/>
  <c r="AK36" i="46"/>
  <c r="V536" i="58"/>
  <c r="AA8" i="53"/>
  <c r="Y8" i="53"/>
  <c r="W536" i="58" s="1"/>
  <c r="V481" i="58"/>
  <c r="AA31" i="46"/>
  <c r="Y31" i="46"/>
  <c r="W481" i="58" s="1"/>
  <c r="AA28" i="53"/>
  <c r="Y28" i="53"/>
  <c r="W551" i="58" s="1"/>
  <c r="V551" i="58"/>
  <c r="AA14" i="43"/>
  <c r="W296" i="58" s="1"/>
  <c r="V296" i="58"/>
  <c r="AC14" i="43"/>
  <c r="O38" i="46"/>
  <c r="Y459" i="58" s="1"/>
  <c r="V459" i="58"/>
  <c r="O39" i="46"/>
  <c r="Y460" i="58" s="1"/>
  <c r="V460" i="58"/>
  <c r="O16" i="53"/>
  <c r="Y523" i="58" s="1"/>
  <c r="V523" i="58"/>
  <c r="V539" i="58"/>
  <c r="T7" i="47"/>
  <c r="R7" i="47"/>
  <c r="W342" i="58" s="1"/>
  <c r="V342" i="58"/>
  <c r="V507" i="58"/>
  <c r="AK30" i="46"/>
  <c r="W507" i="58" s="1"/>
  <c r="AM30" i="46"/>
  <c r="V315" i="58"/>
  <c r="AC35" i="43"/>
  <c r="AA35" i="43"/>
  <c r="W315" i="58" s="1"/>
  <c r="V566" i="58"/>
  <c r="AM22" i="53"/>
  <c r="AK22" i="53"/>
  <c r="W566" i="58" s="1"/>
  <c r="V470" i="58"/>
  <c r="AA17" i="46"/>
  <c r="Y17" i="46"/>
  <c r="W470" i="58" s="1"/>
  <c r="O28" i="53"/>
  <c r="Y532" i="58" s="1"/>
  <c r="V532" i="58"/>
  <c r="V547" i="58"/>
  <c r="AA22" i="53"/>
  <c r="Y22" i="53"/>
  <c r="W547" i="58" s="1"/>
  <c r="T8" i="47"/>
  <c r="R8" i="47"/>
  <c r="W343" i="58" s="1"/>
  <c r="V343" i="58"/>
  <c r="O32" i="46"/>
  <c r="Y455" i="58" s="1"/>
  <c r="V455" i="58"/>
  <c r="O11" i="53"/>
  <c r="Y519" i="58" s="1"/>
  <c r="V519" i="58"/>
  <c r="K6" i="47"/>
  <c r="Y333" i="58" s="1"/>
  <c r="V333" i="58"/>
  <c r="AA37" i="43"/>
  <c r="W317" i="58" s="1"/>
  <c r="V317" i="58"/>
  <c r="AC37" i="43"/>
  <c r="V9" i="58"/>
  <c r="I13" i="51"/>
  <c r="W9" i="58" s="1"/>
  <c r="K13" i="51"/>
  <c r="V73" i="58"/>
  <c r="T48" i="51"/>
  <c r="R48" i="51"/>
  <c r="W73" i="58" s="1"/>
  <c r="V18" i="58"/>
  <c r="K25" i="51"/>
  <c r="I25" i="51"/>
  <c r="W18" i="58" s="1"/>
  <c r="V82" i="58"/>
  <c r="AA15" i="51"/>
  <c r="W82" i="58" s="1"/>
  <c r="AC15" i="51"/>
  <c r="V35" i="58"/>
  <c r="I46" i="51"/>
  <c r="W35" i="58" s="1"/>
  <c r="K46" i="51"/>
  <c r="V99" i="58"/>
  <c r="AA36" i="51"/>
  <c r="W99" i="58" s="1"/>
  <c r="AC36" i="51"/>
  <c r="V36" i="58"/>
  <c r="K47" i="51"/>
  <c r="I47" i="51"/>
  <c r="W36" i="58" s="1"/>
  <c r="V100" i="58"/>
  <c r="AA37" i="51"/>
  <c r="W100" i="58" s="1"/>
  <c r="AC37" i="51"/>
  <c r="V53" i="58"/>
  <c r="R23" i="51"/>
  <c r="W53" i="58" s="1"/>
  <c r="T23" i="51"/>
  <c r="V24" i="58"/>
  <c r="I32" i="51"/>
  <c r="W24" i="58" s="1"/>
  <c r="K32" i="51"/>
  <c r="V54" i="58"/>
  <c r="T25" i="51"/>
  <c r="R25" i="51"/>
  <c r="W54" i="58" s="1"/>
  <c r="V40" i="58"/>
  <c r="R7" i="51"/>
  <c r="W40" i="58" s="1"/>
  <c r="T7" i="51"/>
  <c r="V31" i="58"/>
  <c r="I41" i="51"/>
  <c r="W31" i="58" s="1"/>
  <c r="K41" i="51"/>
  <c r="V95" i="58"/>
  <c r="AA31" i="51"/>
  <c r="W95" i="58" s="1"/>
  <c r="AC31" i="51"/>
  <c r="O14" i="44"/>
  <c r="Y363" i="58" s="1"/>
  <c r="V363" i="58"/>
  <c r="V427" i="58"/>
  <c r="AM26" i="44"/>
  <c r="Y427" i="58" s="1"/>
  <c r="AK26" i="44"/>
  <c r="V396" i="58"/>
  <c r="Y21" i="44"/>
  <c r="AA21" i="44"/>
  <c r="Y396" i="58" s="1"/>
  <c r="V389" i="58"/>
  <c r="Y14" i="44"/>
  <c r="W389" i="58" s="1"/>
  <c r="AA14" i="44"/>
  <c r="O8" i="44"/>
  <c r="Y358" i="58" s="1"/>
  <c r="V358" i="58"/>
  <c r="V422" i="58"/>
  <c r="AK21" i="44"/>
  <c r="W422" i="58" s="1"/>
  <c r="AM21" i="44"/>
  <c r="V392" i="58"/>
  <c r="AA17" i="44"/>
  <c r="Y17" i="44"/>
  <c r="W392" i="58" s="1"/>
  <c r="O12" i="44"/>
  <c r="Y361" i="58" s="1"/>
  <c r="V361" i="58"/>
  <c r="V425" i="58"/>
  <c r="AM24" i="44"/>
  <c r="AK24" i="44"/>
  <c r="W425" i="58" s="1"/>
  <c r="V418" i="58"/>
  <c r="AK17" i="44"/>
  <c r="AM17" i="44"/>
  <c r="Y418" i="58" s="1"/>
  <c r="V112" i="58"/>
  <c r="I7" i="40"/>
  <c r="W112" i="58" s="1"/>
  <c r="K7" i="40"/>
  <c r="Y112" i="58" s="1"/>
  <c r="O36" i="46"/>
  <c r="Y457" i="58" s="1"/>
  <c r="V457" i="58"/>
  <c r="V477" i="58"/>
  <c r="Y26" i="46"/>
  <c r="W477" i="58" s="1"/>
  <c r="AA26" i="46"/>
  <c r="V26" i="58"/>
  <c r="K35" i="51"/>
  <c r="I35" i="51"/>
  <c r="W26" i="58" s="1"/>
  <c r="V62" i="58"/>
  <c r="T35" i="51"/>
  <c r="R35" i="51"/>
  <c r="W62" i="58" s="1"/>
  <c r="V144" i="58"/>
  <c r="T8" i="40"/>
  <c r="R8" i="40"/>
  <c r="W144" i="58" s="1"/>
  <c r="AC21" i="40"/>
  <c r="AA21" i="40"/>
  <c r="W187" i="58" s="1"/>
  <c r="V187" i="58"/>
  <c r="AC6" i="47"/>
  <c r="AA6" i="47"/>
  <c r="W349" i="58" s="1"/>
  <c r="V349" i="58"/>
  <c r="V555" i="58"/>
  <c r="AM8" i="53"/>
  <c r="Y555" i="58" s="1"/>
  <c r="AK8" i="53"/>
  <c r="V17" i="58"/>
  <c r="K23" i="51"/>
  <c r="I23" i="51"/>
  <c r="W17" i="58" s="1"/>
  <c r="V103" i="58"/>
  <c r="AC41" i="51"/>
  <c r="AA41" i="51"/>
  <c r="W103" i="58" s="1"/>
  <c r="V400" i="58"/>
  <c r="Y25" i="44"/>
  <c r="AA25" i="44"/>
  <c r="Y400" i="58" s="1"/>
  <c r="V433" i="58"/>
  <c r="AM33" i="44"/>
  <c r="AK33" i="44"/>
  <c r="W433" i="58" s="1"/>
  <c r="V167" i="58"/>
  <c r="T34" i="40"/>
  <c r="R34" i="40"/>
  <c r="W167" i="58" s="1"/>
  <c r="O24" i="46"/>
  <c r="Y448" i="58" s="1"/>
  <c r="V448" i="58"/>
  <c r="O7" i="46"/>
  <c r="Y435" i="58" s="1"/>
  <c r="V435" i="58"/>
  <c r="V565" i="58"/>
  <c r="AM21" i="53"/>
  <c r="Y565" i="58" s="1"/>
  <c r="AK21" i="53"/>
  <c r="V312" i="58"/>
  <c r="AC32" i="43"/>
  <c r="AA32" i="43"/>
  <c r="W312" i="58" s="1"/>
  <c r="K9" i="47"/>
  <c r="Y336" i="58" s="1"/>
  <c r="V336" i="58"/>
  <c r="V475" i="58"/>
  <c r="Y24" i="46"/>
  <c r="W475" i="58" s="1"/>
  <c r="AA24" i="46"/>
  <c r="V553" i="58"/>
  <c r="AM6" i="53"/>
  <c r="AK6" i="53"/>
  <c r="W553" i="58" s="1"/>
  <c r="V290" i="58"/>
  <c r="AA7" i="43"/>
  <c r="W290" i="58" s="1"/>
  <c r="AC7" i="43"/>
  <c r="O28" i="46"/>
  <c r="Y451" i="58" s="1"/>
  <c r="V451" i="58"/>
  <c r="V461" i="58"/>
  <c r="AA6" i="46"/>
  <c r="Y6" i="46"/>
  <c r="W461" i="58" s="1"/>
  <c r="K11" i="47"/>
  <c r="Y338" i="58" s="1"/>
  <c r="V338" i="58"/>
  <c r="V328" i="58"/>
  <c r="AC52" i="43"/>
  <c r="AA52" i="43"/>
  <c r="W328" i="58" s="1"/>
  <c r="AC49" i="43"/>
  <c r="AA49" i="43"/>
  <c r="W326" i="58" s="1"/>
  <c r="V326" i="58"/>
  <c r="V485" i="58"/>
  <c r="AA37" i="46"/>
  <c r="Y37" i="46"/>
  <c r="W485" i="58" s="1"/>
  <c r="AA9" i="43"/>
  <c r="W292" i="58" s="1"/>
  <c r="V292" i="58"/>
  <c r="AC9" i="43"/>
  <c r="O8" i="46"/>
  <c r="Y436" i="58" s="1"/>
  <c r="V436" i="58"/>
  <c r="V471" i="58"/>
  <c r="Y18" i="46"/>
  <c r="AA18" i="46"/>
  <c r="Y471" i="58" s="1"/>
  <c r="O29" i="53"/>
  <c r="Y533" i="58" s="1"/>
  <c r="V533" i="58"/>
  <c r="V541" i="58"/>
  <c r="AA15" i="53"/>
  <c r="Y15" i="53"/>
  <c r="W541" i="58" s="1"/>
  <c r="AA56" i="43"/>
  <c r="W330" i="58" s="1"/>
  <c r="V330" i="58"/>
  <c r="AC56" i="43"/>
  <c r="V25" i="58"/>
  <c r="K33" i="51"/>
  <c r="I33" i="51"/>
  <c r="W25" i="58" s="1"/>
  <c r="V89" i="58"/>
  <c r="AA23" i="51"/>
  <c r="W89" i="58" s="1"/>
  <c r="AC23" i="51"/>
  <c r="V34" i="58"/>
  <c r="K45" i="51"/>
  <c r="I45" i="51"/>
  <c r="W34" i="58" s="1"/>
  <c r="V98" i="58"/>
  <c r="AA35" i="51"/>
  <c r="W98" i="58" s="1"/>
  <c r="AC35" i="51"/>
  <c r="V51" i="58"/>
  <c r="R21" i="51"/>
  <c r="W51" i="58" s="1"/>
  <c r="T21" i="51"/>
  <c r="V16" i="58"/>
  <c r="I22" i="51"/>
  <c r="W16" i="58" s="1"/>
  <c r="K22" i="51"/>
  <c r="V52" i="58"/>
  <c r="R22" i="51"/>
  <c r="W52" i="58" s="1"/>
  <c r="T22" i="51"/>
  <c r="V32" i="58"/>
  <c r="I42" i="51"/>
  <c r="W32" i="58" s="1"/>
  <c r="K42" i="51"/>
  <c r="V69" i="58"/>
  <c r="T43" i="51"/>
  <c r="R43" i="51"/>
  <c r="W69" i="58" s="1"/>
  <c r="V5" i="58"/>
  <c r="K8" i="51"/>
  <c r="I8" i="51"/>
  <c r="W5" i="58" s="1"/>
  <c r="V70" i="58"/>
  <c r="T45" i="51"/>
  <c r="R45" i="51"/>
  <c r="W70" i="58" s="1"/>
  <c r="V4" i="58"/>
  <c r="K7" i="51"/>
  <c r="I7" i="51"/>
  <c r="W4" i="58" s="1"/>
  <c r="V47" i="58"/>
  <c r="T16" i="51"/>
  <c r="R16" i="51"/>
  <c r="W47" i="58" s="1"/>
  <c r="O31" i="44"/>
  <c r="Y379" i="58" s="1"/>
  <c r="V379" i="58"/>
  <c r="V412" i="58"/>
  <c r="AM11" i="44"/>
  <c r="AK11" i="44"/>
  <c r="W412" i="58" s="1"/>
  <c r="V405" i="58"/>
  <c r="AA31" i="44"/>
  <c r="Y31" i="44"/>
  <c r="W405" i="58" s="1"/>
  <c r="O25" i="44"/>
  <c r="Y374" i="58" s="1"/>
  <c r="V374" i="58"/>
  <c r="V431" i="58"/>
  <c r="AM31" i="44"/>
  <c r="AK31" i="44"/>
  <c r="W431" i="58" s="1"/>
  <c r="V408" i="58"/>
  <c r="AM6" i="44"/>
  <c r="AK6" i="44"/>
  <c r="W408" i="58" s="1"/>
  <c r="O28" i="44"/>
  <c r="Y377" i="58" s="1"/>
  <c r="V377" i="58"/>
  <c r="V399" i="58"/>
  <c r="Y24" i="44"/>
  <c r="W399" i="58" s="1"/>
  <c r="AA24" i="44"/>
  <c r="O11" i="44"/>
  <c r="Y360" i="58" s="1"/>
  <c r="V360" i="58"/>
  <c r="V304" i="58"/>
  <c r="AA24" i="43"/>
  <c r="W304" i="58" s="1"/>
  <c r="AC24" i="43"/>
  <c r="O8" i="53"/>
  <c r="Y517" i="58" s="1"/>
  <c r="V517" i="58"/>
  <c r="V44" i="58"/>
  <c r="R12" i="51"/>
  <c r="W44" i="58" s="1"/>
  <c r="T12" i="51"/>
  <c r="I16" i="40"/>
  <c r="W120" i="58" s="1"/>
  <c r="V120" i="58"/>
  <c r="K16" i="40"/>
  <c r="Y120" i="58" s="1"/>
  <c r="I5" i="40"/>
  <c r="W111" i="58" s="1"/>
  <c r="V111" i="58"/>
  <c r="K5" i="40"/>
  <c r="Y111" i="58" s="1"/>
  <c r="T32" i="40"/>
  <c r="R32" i="40"/>
  <c r="W166" i="58" s="1"/>
  <c r="V166" i="58"/>
  <c r="V176" i="58"/>
  <c r="AC9" i="40"/>
  <c r="AA9" i="40"/>
  <c r="W176" i="58" s="1"/>
  <c r="K35" i="40"/>
  <c r="Y137" i="58" s="1"/>
  <c r="V137" i="58"/>
  <c r="I35" i="40"/>
  <c r="W137" i="58" s="1"/>
  <c r="V199" i="58"/>
  <c r="AC35" i="40"/>
  <c r="AA35" i="40"/>
  <c r="W199" i="58" s="1"/>
  <c r="AA36" i="40"/>
  <c r="W200" i="58" s="1"/>
  <c r="V200" i="58"/>
  <c r="AC36" i="40"/>
  <c r="R5" i="40"/>
  <c r="W142" i="58" s="1"/>
  <c r="V142" i="58"/>
  <c r="T5" i="40"/>
  <c r="V201" i="58"/>
  <c r="AC37" i="40"/>
  <c r="AA37" i="40"/>
  <c r="W201" i="58" s="1"/>
  <c r="O33" i="46"/>
  <c r="Y456" i="58" s="1"/>
  <c r="V456" i="58"/>
  <c r="K7" i="47"/>
  <c r="Y334" i="58" s="1"/>
  <c r="V334" i="58"/>
  <c r="AC40" i="43"/>
  <c r="AA40" i="43"/>
  <c r="W319" i="58" s="1"/>
  <c r="V319" i="58"/>
  <c r="V558" i="58"/>
  <c r="O17" i="46"/>
  <c r="Y443" i="58" s="1"/>
  <c r="V443" i="58"/>
  <c r="V504" i="58"/>
  <c r="AM26" i="46"/>
  <c r="AK26" i="46"/>
  <c r="W504" i="58" s="1"/>
  <c r="V321" i="58"/>
  <c r="AA42" i="43"/>
  <c r="W321" i="58" s="1"/>
  <c r="AC42" i="43"/>
  <c r="V483" i="58"/>
  <c r="AA33" i="46"/>
  <c r="Y33" i="46"/>
  <c r="W483" i="58" s="1"/>
  <c r="V560" i="58"/>
  <c r="AM15" i="53"/>
  <c r="Y560" i="58" s="1"/>
  <c r="AK15" i="53"/>
  <c r="AC16" i="43"/>
  <c r="V298" i="58"/>
  <c r="AA16" i="43"/>
  <c r="W298" i="58" s="1"/>
  <c r="V505" i="58"/>
  <c r="AM28" i="46"/>
  <c r="Y505" i="58" s="1"/>
  <c r="AK28" i="46"/>
  <c r="V469" i="58"/>
  <c r="Y16" i="46"/>
  <c r="W469" i="58" s="1"/>
  <c r="AA16" i="46"/>
  <c r="O27" i="53"/>
  <c r="Y531" i="58" s="1"/>
  <c r="V531" i="58"/>
  <c r="V348" i="58"/>
  <c r="AC4" i="47"/>
  <c r="AA4" i="47"/>
  <c r="W348" i="58" s="1"/>
  <c r="V493" i="58"/>
  <c r="AK12" i="46"/>
  <c r="W493" i="58" s="1"/>
  <c r="AM12" i="46"/>
  <c r="V569" i="58"/>
  <c r="AK27" i="53"/>
  <c r="W569" i="58" s="1"/>
  <c r="AM27" i="53"/>
  <c r="V300" i="58"/>
  <c r="AC19" i="43"/>
  <c r="AA19" i="43"/>
  <c r="W300" i="58" s="1"/>
  <c r="V490" i="58"/>
  <c r="AM8" i="46"/>
  <c r="AK8" i="46"/>
  <c r="W490" i="58" s="1"/>
  <c r="V478" i="58"/>
  <c r="AA28" i="46"/>
  <c r="Y28" i="46"/>
  <c r="W478" i="58" s="1"/>
  <c r="V548" i="58"/>
  <c r="AA23" i="53"/>
  <c r="Y23" i="53"/>
  <c r="W548" i="58" s="1"/>
  <c r="R9" i="47"/>
  <c r="W344" i="58" s="1"/>
  <c r="T9" i="47"/>
  <c r="V344" i="58"/>
  <c r="V33" i="58"/>
  <c r="K43" i="51"/>
  <c r="I43" i="51"/>
  <c r="W33" i="58" s="1"/>
  <c r="V97" i="58"/>
  <c r="AA33" i="51"/>
  <c r="W97" i="58" s="1"/>
  <c r="AC33" i="51"/>
  <c r="V42" i="58"/>
  <c r="R10" i="51"/>
  <c r="W42" i="58" s="1"/>
  <c r="T10" i="51"/>
  <c r="V106" i="58"/>
  <c r="AA45" i="51"/>
  <c r="W106" i="58" s="1"/>
  <c r="AC45" i="51"/>
  <c r="V59" i="58"/>
  <c r="R31" i="51"/>
  <c r="W59" i="58" s="1"/>
  <c r="T31" i="51"/>
  <c r="V64" i="58"/>
  <c r="T37" i="51"/>
  <c r="R37" i="51"/>
  <c r="W64" i="58" s="1"/>
  <c r="V60" i="58"/>
  <c r="R32" i="51"/>
  <c r="W60" i="58" s="1"/>
  <c r="T32" i="51"/>
  <c r="V2" i="58"/>
  <c r="I5" i="51"/>
  <c r="K5" i="51"/>
  <c r="V77" i="58"/>
  <c r="AA8" i="51"/>
  <c r="W77" i="58" s="1"/>
  <c r="AC8" i="51"/>
  <c r="V6" i="58"/>
  <c r="I10" i="51"/>
  <c r="W6" i="58" s="1"/>
  <c r="K10" i="51"/>
  <c r="V78" i="58"/>
  <c r="AA10" i="51"/>
  <c r="W78" i="58" s="1"/>
  <c r="AC10" i="51"/>
  <c r="V21" i="58"/>
  <c r="K28" i="51"/>
  <c r="I28" i="51"/>
  <c r="W21" i="58" s="1"/>
  <c r="V55" i="58"/>
  <c r="T26" i="51"/>
  <c r="R26" i="51"/>
  <c r="W55" i="58" s="1"/>
  <c r="V387" i="58"/>
  <c r="AA12" i="44"/>
  <c r="Y12" i="44"/>
  <c r="W387" i="58" s="1"/>
  <c r="O7" i="44"/>
  <c r="Y357" i="58" s="1"/>
  <c r="V357" i="58"/>
  <c r="V420" i="58"/>
  <c r="AM19" i="44"/>
  <c r="AK19" i="44"/>
  <c r="W420" i="58" s="1"/>
  <c r="V413" i="58"/>
  <c r="AM12" i="44"/>
  <c r="AK12" i="44"/>
  <c r="W413" i="58" s="1"/>
  <c r="V382" i="58"/>
  <c r="Y6" i="44"/>
  <c r="W382" i="58" s="1"/>
  <c r="AA6" i="44"/>
  <c r="O9" i="44"/>
  <c r="Y359" i="58" s="1"/>
  <c r="V359" i="58"/>
  <c r="V416" i="58"/>
  <c r="AM15" i="44"/>
  <c r="AK15" i="44"/>
  <c r="W416" i="58" s="1"/>
  <c r="V385" i="58"/>
  <c r="AA9" i="44"/>
  <c r="Y9" i="44"/>
  <c r="W385" i="58" s="1"/>
  <c r="V318" i="58"/>
  <c r="AC38" i="43"/>
  <c r="AA38" i="43"/>
  <c r="W318" i="58" s="1"/>
  <c r="V118" i="58"/>
  <c r="I14" i="40"/>
  <c r="W118" i="58" s="1"/>
  <c r="K14" i="40"/>
  <c r="Y118" i="58" s="1"/>
  <c r="V116" i="58"/>
  <c r="K12" i="40"/>
  <c r="Y116" i="58" s="1"/>
  <c r="I12" i="40"/>
  <c r="W116" i="58" s="1"/>
  <c r="V502" i="58"/>
  <c r="AK24" i="46"/>
  <c r="W502" i="58" s="1"/>
  <c r="AM24" i="46"/>
  <c r="O21" i="53"/>
  <c r="Y527" i="58" s="1"/>
  <c r="V527" i="58"/>
  <c r="O30" i="46"/>
  <c r="Y453" i="58" s="1"/>
  <c r="V453" i="58"/>
  <c r="V108" i="58"/>
  <c r="AA47" i="51"/>
  <c r="W108" i="58" s="1"/>
  <c r="AC47" i="51"/>
  <c r="O22" i="44"/>
  <c r="Y371" i="58" s="1"/>
  <c r="V371" i="58"/>
  <c r="V404" i="58"/>
  <c r="AA30" i="44"/>
  <c r="Y30" i="44"/>
  <c r="W404" i="58" s="1"/>
  <c r="V426" i="58"/>
  <c r="AM25" i="44"/>
  <c r="AK25" i="44"/>
  <c r="W426" i="58" s="1"/>
  <c r="V152" i="58"/>
  <c r="R17" i="40"/>
  <c r="W152" i="58" s="1"/>
  <c r="T17" i="40"/>
  <c r="AA34" i="40"/>
  <c r="W198" i="58" s="1"/>
  <c r="AC34" i="40"/>
  <c r="V198" i="58"/>
  <c r="V510" i="58"/>
  <c r="AM33" i="46"/>
  <c r="AK33" i="46"/>
  <c r="W510" i="58" s="1"/>
  <c r="AC12" i="40"/>
  <c r="AA12" i="40"/>
  <c r="W178" i="58" s="1"/>
  <c r="V178" i="58"/>
  <c r="V181" i="58"/>
  <c r="AA15" i="40"/>
  <c r="W181" i="58" s="1"/>
  <c r="AC15" i="40"/>
  <c r="R26" i="40"/>
  <c r="W160" i="58" s="1"/>
  <c r="T26" i="40"/>
  <c r="V160" i="58"/>
  <c r="V115" i="58"/>
  <c r="R4" i="40"/>
  <c r="W141" i="58" s="1"/>
  <c r="V141" i="58"/>
  <c r="T4" i="40"/>
  <c r="V189" i="58"/>
  <c r="AC24" i="40"/>
  <c r="AA24" i="40"/>
  <c r="W189" i="58" s="1"/>
  <c r="V128" i="58"/>
  <c r="I25" i="40"/>
  <c r="W128" i="58" s="1"/>
  <c r="K25" i="40"/>
  <c r="Y128" i="58" s="1"/>
  <c r="V165" i="58"/>
  <c r="R31" i="40"/>
  <c r="W165" i="58" s="1"/>
  <c r="T31" i="40"/>
  <c r="I9" i="40"/>
  <c r="W114" i="58" s="1"/>
  <c r="V114" i="58"/>
  <c r="K9" i="40"/>
  <c r="Y114" i="58" s="1"/>
  <c r="AC8" i="40"/>
  <c r="AA8" i="40"/>
  <c r="W175" i="58" s="1"/>
  <c r="V175" i="58"/>
  <c r="V123" i="58"/>
  <c r="K19" i="40"/>
  <c r="Y123" i="58" s="1"/>
  <c r="I19" i="40"/>
  <c r="W123" i="58" s="1"/>
  <c r="V184" i="58"/>
  <c r="AC18" i="40"/>
  <c r="AA18" i="40"/>
  <c r="W184" i="58" s="1"/>
  <c r="R12" i="40"/>
  <c r="W147" i="58" s="1"/>
  <c r="V147" i="58"/>
  <c r="T12" i="40"/>
  <c r="T13" i="40"/>
  <c r="V148" i="58"/>
  <c r="R13" i="40"/>
  <c r="W148" i="58" s="1"/>
  <c r="AC4" i="40"/>
  <c r="V172" i="58"/>
  <c r="AA4" i="40"/>
  <c r="W172" i="58" s="1"/>
  <c r="V150" i="58"/>
  <c r="R15" i="40"/>
  <c r="W150" i="58" s="1"/>
  <c r="T15" i="40"/>
  <c r="O18" i="46"/>
  <c r="Y444" i="58" s="1"/>
  <c r="V444" i="58"/>
  <c r="V464" i="58"/>
  <c r="AA9" i="46"/>
  <c r="Y9" i="46"/>
  <c r="W464" i="58" s="1"/>
  <c r="O20" i="53"/>
  <c r="Y526" i="58" s="1"/>
  <c r="V526" i="58"/>
  <c r="V535" i="58"/>
  <c r="AA7" i="53"/>
  <c r="Y7" i="53"/>
  <c r="W535" i="58" s="1"/>
  <c r="AC33" i="43"/>
  <c r="AA33" i="43"/>
  <c r="W313" i="58" s="1"/>
  <c r="V313" i="58"/>
  <c r="V480" i="58"/>
  <c r="AA30" i="46"/>
  <c r="Y30" i="46"/>
  <c r="W480" i="58" s="1"/>
  <c r="V564" i="58"/>
  <c r="AM20" i="53"/>
  <c r="Y564" i="58" s="1"/>
  <c r="AK20" i="53"/>
  <c r="AC13" i="43"/>
  <c r="AA13" i="43"/>
  <c r="W295" i="58" s="1"/>
  <c r="V295" i="58"/>
  <c r="AA21" i="46"/>
  <c r="Y582" i="58" s="1"/>
  <c r="Y21" i="46"/>
  <c r="W582" i="58" s="1"/>
  <c r="O26" i="46"/>
  <c r="Y450" i="58" s="1"/>
  <c r="V450" i="58"/>
  <c r="V512" i="58"/>
  <c r="AK37" i="46"/>
  <c r="W512" i="58" s="1"/>
  <c r="AM37" i="46"/>
  <c r="V325" i="58"/>
  <c r="AA48" i="43"/>
  <c r="W325" i="58" s="1"/>
  <c r="AC48" i="43"/>
  <c r="V305" i="58"/>
  <c r="AC25" i="43"/>
  <c r="AA25" i="43"/>
  <c r="W305" i="58" s="1"/>
  <c r="V491" i="58"/>
  <c r="AM9" i="46"/>
  <c r="AK9" i="46"/>
  <c r="W491" i="58" s="1"/>
  <c r="V567" i="58"/>
  <c r="AK23" i="53"/>
  <c r="AM23" i="53"/>
  <c r="Y567" i="58" s="1"/>
  <c r="AC26" i="43"/>
  <c r="V306" i="58"/>
  <c r="AA26" i="43"/>
  <c r="W306" i="58" s="1"/>
  <c r="V476" i="58"/>
  <c r="AA25" i="46"/>
  <c r="Y25" i="46"/>
  <c r="W476" i="58" s="1"/>
  <c r="V546" i="58"/>
  <c r="Y21" i="53"/>
  <c r="W546" i="58" s="1"/>
  <c r="AA21" i="53"/>
  <c r="AC7" i="47"/>
  <c r="AA7" i="47"/>
  <c r="W350" i="58" s="1"/>
  <c r="V350" i="58"/>
  <c r="O12" i="46"/>
  <c r="Y439" i="58" s="1"/>
  <c r="V439" i="58"/>
  <c r="V500" i="58"/>
  <c r="AK20" i="46"/>
  <c r="AM20" i="46"/>
  <c r="Y500" i="58" s="1"/>
  <c r="V308" i="58"/>
  <c r="AC28" i="43"/>
  <c r="AA28" i="43"/>
  <c r="W308" i="58" s="1"/>
  <c r="V486" i="58"/>
  <c r="Y38" i="46"/>
  <c r="W486" i="58" s="1"/>
  <c r="AA38" i="46"/>
  <c r="V556" i="58"/>
  <c r="AK10" i="53"/>
  <c r="W556" i="58" s="1"/>
  <c r="AM10" i="53"/>
  <c r="AC8" i="47"/>
  <c r="AA8" i="47"/>
  <c r="W351" i="58" s="1"/>
  <c r="V351" i="58"/>
  <c r="V41" i="58"/>
  <c r="R8" i="51"/>
  <c r="W41" i="58" s="1"/>
  <c r="T8" i="51"/>
  <c r="V105" i="58"/>
  <c r="AA43" i="51"/>
  <c r="W105" i="58" s="1"/>
  <c r="AC43" i="51"/>
  <c r="V50" i="58"/>
  <c r="T20" i="51"/>
  <c r="R20" i="51"/>
  <c r="W50" i="58" s="1"/>
  <c r="V72" i="58"/>
  <c r="R47" i="51"/>
  <c r="W72" i="58" s="1"/>
  <c r="T47" i="51"/>
  <c r="V67" i="58"/>
  <c r="R41" i="51"/>
  <c r="W67" i="58" s="1"/>
  <c r="T41" i="51"/>
  <c r="V11" i="58"/>
  <c r="I16" i="51"/>
  <c r="W11" i="58" s="1"/>
  <c r="K16" i="51"/>
  <c r="V68" i="58"/>
  <c r="R42" i="51"/>
  <c r="W68" i="58" s="1"/>
  <c r="T42" i="51"/>
  <c r="V13" i="58"/>
  <c r="I18" i="51"/>
  <c r="W13" i="58" s="1"/>
  <c r="K18" i="51"/>
  <c r="V85" i="58"/>
  <c r="AA18" i="51"/>
  <c r="W85" i="58" s="1"/>
  <c r="AC18" i="51"/>
  <c r="V22" i="58"/>
  <c r="K30" i="51"/>
  <c r="I30" i="51"/>
  <c r="W22" i="58" s="1"/>
  <c r="V86" i="58"/>
  <c r="AA20" i="51"/>
  <c r="W86" i="58" s="1"/>
  <c r="AC20" i="51"/>
  <c r="V14" i="58"/>
  <c r="I20" i="51"/>
  <c r="W14" i="58" s="1"/>
  <c r="K20" i="51"/>
  <c r="V63" i="58"/>
  <c r="R36" i="51"/>
  <c r="W63" i="58" s="1"/>
  <c r="T36" i="51"/>
  <c r="V395" i="58"/>
  <c r="AA20" i="44"/>
  <c r="Y20" i="44"/>
  <c r="W395" i="58" s="1"/>
  <c r="V428" i="58"/>
  <c r="AM27" i="44"/>
  <c r="AK27" i="44"/>
  <c r="W428" i="58" s="1"/>
  <c r="V421" i="58"/>
  <c r="AM20" i="44"/>
  <c r="AK20" i="44"/>
  <c r="W421" i="58" s="1"/>
  <c r="V390" i="58"/>
  <c r="AA15" i="44"/>
  <c r="Y15" i="44"/>
  <c r="W390" i="58" s="1"/>
  <c r="V407" i="58"/>
  <c r="Y33" i="44"/>
  <c r="W407" i="58" s="1"/>
  <c r="AA33" i="44"/>
  <c r="V424" i="58"/>
  <c r="AM23" i="44"/>
  <c r="Y424" i="58" s="1"/>
  <c r="AK23" i="44"/>
  <c r="V386" i="58"/>
  <c r="Y11" i="44"/>
  <c r="AA11" i="44"/>
  <c r="Y386" i="58" s="1"/>
  <c r="R18" i="40"/>
  <c r="W153" i="58" s="1"/>
  <c r="V153" i="58"/>
  <c r="T18" i="40"/>
  <c r="AK29" i="53"/>
  <c r="W571" i="58" s="1"/>
  <c r="V571" i="58"/>
  <c r="AM29" i="53"/>
  <c r="V489" i="58"/>
  <c r="AK7" i="46"/>
  <c r="AM7" i="46"/>
  <c r="Y489" i="58" s="1"/>
  <c r="O26" i="53"/>
  <c r="Y530" i="58" s="1"/>
  <c r="V530" i="58"/>
  <c r="O19" i="53"/>
  <c r="Y525" i="58" s="1"/>
  <c r="V525" i="58"/>
  <c r="V90" i="58"/>
  <c r="AA25" i="51"/>
  <c r="W90" i="58" s="1"/>
  <c r="AC25" i="51"/>
  <c r="V88" i="58"/>
  <c r="AA22" i="51"/>
  <c r="W88" i="58" s="1"/>
  <c r="AC22" i="51"/>
  <c r="O17" i="44"/>
  <c r="Y366" i="58" s="1"/>
  <c r="V366" i="58"/>
  <c r="AA5" i="40"/>
  <c r="W173" i="58" s="1"/>
  <c r="V173" i="58"/>
  <c r="AC5" i="40"/>
  <c r="V149" i="58"/>
  <c r="T14" i="40"/>
  <c r="R14" i="40"/>
  <c r="W149" i="58" s="1"/>
  <c r="I38" i="40"/>
  <c r="W140" i="58" s="1"/>
  <c r="V140" i="58"/>
  <c r="K38" i="40"/>
  <c r="Y140" i="58" s="1"/>
  <c r="V465" i="58"/>
  <c r="Y11" i="46"/>
  <c r="W465" i="58" s="1"/>
  <c r="AA11" i="46"/>
  <c r="T11" i="47"/>
  <c r="R11" i="47"/>
  <c r="W346" i="58" s="1"/>
  <c r="V346" i="58"/>
  <c r="K8" i="40"/>
  <c r="Y113" i="58" s="1"/>
  <c r="V113" i="58"/>
  <c r="I8" i="40"/>
  <c r="W113" i="58" s="1"/>
  <c r="V174" i="58"/>
  <c r="AA7" i="40"/>
  <c r="W174" i="58" s="1"/>
  <c r="AC7" i="40"/>
  <c r="V122" i="58"/>
  <c r="I18" i="40"/>
  <c r="W122" i="58" s="1"/>
  <c r="K18" i="40"/>
  <c r="Y122" i="58" s="1"/>
  <c r="V183" i="58"/>
  <c r="AA17" i="40"/>
  <c r="W183" i="58" s="1"/>
  <c r="AC17" i="40"/>
  <c r="V131" i="58"/>
  <c r="I28" i="40"/>
  <c r="W131" i="58" s="1"/>
  <c r="K28" i="40"/>
  <c r="Y131" i="58" s="1"/>
  <c r="R20" i="40"/>
  <c r="W155" i="58" s="1"/>
  <c r="V155" i="58"/>
  <c r="T20" i="40"/>
  <c r="V133" i="58"/>
  <c r="I30" i="40"/>
  <c r="W133" i="58" s="1"/>
  <c r="K30" i="40"/>
  <c r="Y133" i="58" s="1"/>
  <c r="T36" i="40"/>
  <c r="V169" i="58"/>
  <c r="R36" i="40"/>
  <c r="W169" i="58" s="1"/>
  <c r="V158" i="58"/>
  <c r="T24" i="40"/>
  <c r="R24" i="40"/>
  <c r="W158" i="58" s="1"/>
  <c r="V498" i="58"/>
  <c r="AK18" i="46"/>
  <c r="W498" i="58" s="1"/>
  <c r="AM18" i="46"/>
  <c r="AA16" i="53"/>
  <c r="V542" i="58"/>
  <c r="Y16" i="53"/>
  <c r="W542" i="58" s="1"/>
  <c r="V331" i="58"/>
  <c r="AC57" i="43"/>
  <c r="AA57" i="43"/>
  <c r="W331" i="58" s="1"/>
  <c r="R6" i="47"/>
  <c r="W341" i="58" s="1"/>
  <c r="V341" i="58"/>
  <c r="T6" i="47"/>
  <c r="V488" i="58"/>
  <c r="AK6" i="46"/>
  <c r="W488" i="58" s="1"/>
  <c r="AM6" i="46"/>
  <c r="O37" i="46"/>
  <c r="Y458" i="58" s="1"/>
  <c r="V458" i="58"/>
  <c r="K8" i="47"/>
  <c r="Y335" i="58" s="1"/>
  <c r="V335" i="58"/>
  <c r="R4" i="47"/>
  <c r="V340" i="58"/>
  <c r="T4" i="47"/>
  <c r="Y340" i="58" s="1"/>
  <c r="O9" i="46"/>
  <c r="Y437" i="58" s="1"/>
  <c r="V437" i="58"/>
  <c r="AA34" i="43"/>
  <c r="W314" i="58" s="1"/>
  <c r="V314" i="58"/>
  <c r="AC34" i="43"/>
  <c r="V484" i="58"/>
  <c r="Y36" i="46"/>
  <c r="W484" i="58" s="1"/>
  <c r="AA36" i="46"/>
  <c r="V554" i="58"/>
  <c r="AK7" i="53"/>
  <c r="W554" i="58" s="1"/>
  <c r="AM7" i="53"/>
  <c r="AC8" i="43"/>
  <c r="V291" i="58"/>
  <c r="AA8" i="43"/>
  <c r="W291" i="58" s="1"/>
  <c r="V482" i="58"/>
  <c r="Y32" i="46"/>
  <c r="AA32" i="46"/>
  <c r="Y482" i="58" s="1"/>
  <c r="O20" i="46"/>
  <c r="Y446" i="58" s="1"/>
  <c r="V446" i="58"/>
  <c r="V508" i="58"/>
  <c r="AM31" i="46"/>
  <c r="Y508" i="58" s="1"/>
  <c r="AK31" i="46"/>
  <c r="AC36" i="43"/>
  <c r="V316" i="58"/>
  <c r="AA36" i="43"/>
  <c r="W316" i="58" s="1"/>
  <c r="V544" i="58"/>
  <c r="AA19" i="53"/>
  <c r="Y19" i="53"/>
  <c r="W544" i="58" s="1"/>
  <c r="V494" i="58"/>
  <c r="AM13" i="46"/>
  <c r="AK13" i="46"/>
  <c r="W494" i="58" s="1"/>
  <c r="V562" i="58"/>
  <c r="AK18" i="53"/>
  <c r="W562" i="58" s="1"/>
  <c r="AM18" i="53"/>
  <c r="V293" i="58"/>
  <c r="AC10" i="43"/>
  <c r="AA10" i="43"/>
  <c r="W293" i="58" s="1"/>
  <c r="V8" i="58"/>
  <c r="I12" i="51"/>
  <c r="W8" i="58" s="1"/>
  <c r="K12" i="51"/>
  <c r="V49" i="58"/>
  <c r="R18" i="51"/>
  <c r="W49" i="58" s="1"/>
  <c r="T18" i="51"/>
  <c r="V48" i="58"/>
  <c r="R17" i="51"/>
  <c r="W48" i="58" s="1"/>
  <c r="T17" i="51"/>
  <c r="V58" i="58"/>
  <c r="T30" i="51"/>
  <c r="R30" i="51"/>
  <c r="W58" i="58" s="1"/>
  <c r="V3" i="58"/>
  <c r="I6" i="51"/>
  <c r="W3" i="58" s="1"/>
  <c r="K6" i="51"/>
  <c r="V75" i="58"/>
  <c r="AA6" i="51"/>
  <c r="W75" i="58" s="1"/>
  <c r="AC6" i="51"/>
  <c r="V12" i="58"/>
  <c r="K17" i="51"/>
  <c r="I17" i="51"/>
  <c r="W12" i="58" s="1"/>
  <c r="V76" i="58"/>
  <c r="AA7" i="51"/>
  <c r="W76" i="58" s="1"/>
  <c r="AC7" i="51"/>
  <c r="V29" i="58"/>
  <c r="I38" i="51"/>
  <c r="W29" i="58" s="1"/>
  <c r="K38" i="51"/>
  <c r="V93" i="58"/>
  <c r="AA28" i="51"/>
  <c r="W93" i="58" s="1"/>
  <c r="AC28" i="51"/>
  <c r="V30" i="58"/>
  <c r="I40" i="51"/>
  <c r="W30" i="58" s="1"/>
  <c r="K40" i="51"/>
  <c r="V94" i="58"/>
  <c r="AA30" i="51"/>
  <c r="W94" i="58" s="1"/>
  <c r="AC30" i="51"/>
  <c r="V7" i="58"/>
  <c r="K11" i="51"/>
  <c r="I11" i="51"/>
  <c r="W7" i="58" s="1"/>
  <c r="V71" i="58"/>
  <c r="T46" i="51"/>
  <c r="R46" i="51"/>
  <c r="W71" i="58" s="1"/>
  <c r="V415" i="58"/>
  <c r="AK14" i="44"/>
  <c r="AM14" i="44"/>
  <c r="Y415" i="58" s="1"/>
  <c r="V403" i="58"/>
  <c r="Y28" i="44"/>
  <c r="W403" i="58" s="1"/>
  <c r="AA28" i="44"/>
  <c r="O23" i="44"/>
  <c r="Y372" i="58" s="1"/>
  <c r="V372" i="58"/>
  <c r="V429" i="58"/>
  <c r="AK28" i="44"/>
  <c r="W429" i="58" s="1"/>
  <c r="AM28" i="44"/>
  <c r="V398" i="58"/>
  <c r="AA23" i="44"/>
  <c r="Y23" i="44"/>
  <c r="W398" i="58" s="1"/>
  <c r="O19" i="44"/>
  <c r="Y368" i="58" s="1"/>
  <c r="V368" i="58"/>
  <c r="V432" i="58"/>
  <c r="AK32" i="44"/>
  <c r="AM32" i="44"/>
  <c r="Y432" i="58" s="1"/>
  <c r="V401" i="58"/>
  <c r="AA26" i="44"/>
  <c r="Y26" i="44"/>
  <c r="W401" i="58" s="1"/>
  <c r="V394" i="58"/>
  <c r="Y19" i="44"/>
  <c r="W394" i="58" s="1"/>
  <c r="AA19" i="44"/>
  <c r="T6" i="43"/>
  <c r="Y246" i="58" s="1"/>
  <c r="V246" i="58"/>
  <c r="R6" i="43"/>
  <c r="V186" i="58"/>
  <c r="AC20" i="40"/>
  <c r="AA20" i="40"/>
  <c r="W186" i="58" s="1"/>
  <c r="V188" i="58"/>
  <c r="AA23" i="40"/>
  <c r="W188" i="58" s="1"/>
  <c r="AC23" i="40"/>
  <c r="V513" i="58"/>
  <c r="AK38" i="46"/>
  <c r="AM38" i="46"/>
  <c r="Y513" i="58" s="1"/>
  <c r="AC12" i="47"/>
  <c r="V355" i="58"/>
  <c r="AA12" i="47"/>
  <c r="W355" i="58" s="1"/>
  <c r="V545" i="58"/>
  <c r="AA20" i="53"/>
  <c r="Y20" i="53"/>
  <c r="W545" i="58" s="1"/>
  <c r="V324" i="58"/>
  <c r="AA45" i="43"/>
  <c r="W324" i="58" s="1"/>
  <c r="AC45" i="43"/>
  <c r="AA6" i="53"/>
  <c r="Y534" i="58" s="1"/>
  <c r="Y6" i="53"/>
  <c r="W534" i="58" s="1"/>
  <c r="V43" i="58"/>
  <c r="R11" i="51"/>
  <c r="W43" i="58" s="1"/>
  <c r="T11" i="51"/>
  <c r="V39" i="58"/>
  <c r="T6" i="51"/>
  <c r="R6" i="51"/>
  <c r="W39" i="58" s="1"/>
  <c r="V430" i="58"/>
  <c r="AM30" i="44"/>
  <c r="AK30" i="44"/>
  <c r="W430" i="58" s="1"/>
  <c r="V117" i="58"/>
  <c r="I13" i="40"/>
  <c r="W117" i="58" s="1"/>
  <c r="K13" i="40"/>
  <c r="Y117" i="58" s="1"/>
  <c r="AA30" i="40"/>
  <c r="W195" i="58" s="1"/>
  <c r="AC30" i="40"/>
  <c r="V195" i="58"/>
  <c r="V497" i="58"/>
  <c r="AM17" i="46"/>
  <c r="Y497" i="58" s="1"/>
  <c r="AK17" i="46"/>
  <c r="V121" i="58"/>
  <c r="I17" i="40"/>
  <c r="W121" i="58" s="1"/>
  <c r="K17" i="40"/>
  <c r="Y121" i="58" s="1"/>
  <c r="AC16" i="40"/>
  <c r="AA16" i="40"/>
  <c r="W182" i="58" s="1"/>
  <c r="V182" i="58"/>
  <c r="AC26" i="40"/>
  <c r="AA26" i="40"/>
  <c r="W191" i="58" s="1"/>
  <c r="V191" i="58"/>
  <c r="V136" i="58"/>
  <c r="K34" i="40"/>
  <c r="Y136" i="58" s="1"/>
  <c r="I34" i="40"/>
  <c r="W136" i="58" s="1"/>
  <c r="V197" i="58"/>
  <c r="AC32" i="40"/>
  <c r="AA32" i="40"/>
  <c r="W197" i="58" s="1"/>
  <c r="V168" i="58"/>
  <c r="R35" i="40"/>
  <c r="W168" i="58" s="1"/>
  <c r="T35" i="40"/>
  <c r="V164" i="58"/>
  <c r="R30" i="40"/>
  <c r="W164" i="58" s="1"/>
  <c r="T30" i="40"/>
  <c r="K37" i="40"/>
  <c r="Y139" i="58" s="1"/>
  <c r="I37" i="40"/>
  <c r="W139" i="58" s="1"/>
  <c r="V139" i="58"/>
  <c r="V479" i="58"/>
  <c r="Y29" i="46"/>
  <c r="AA29" i="46"/>
  <c r="Y479" i="58" s="1"/>
  <c r="Y26" i="53"/>
  <c r="W549" i="58" s="1"/>
  <c r="V549" i="58"/>
  <c r="AA26" i="53"/>
  <c r="V496" i="58"/>
  <c r="AM16" i="46"/>
  <c r="AK16" i="46"/>
  <c r="W496" i="58" s="1"/>
  <c r="V311" i="58"/>
  <c r="AA31" i="43"/>
  <c r="AC31" i="43"/>
  <c r="Y311" i="58" s="1"/>
  <c r="V538" i="58"/>
  <c r="Y11" i="53"/>
  <c r="W538" i="58" s="1"/>
  <c r="AA11" i="53"/>
  <c r="V466" i="58"/>
  <c r="AA12" i="46"/>
  <c r="Y466" i="58" s="1"/>
  <c r="Y12" i="46"/>
  <c r="O22" i="53"/>
  <c r="Y528" i="58" s="1"/>
  <c r="V528" i="58"/>
  <c r="Y10" i="53"/>
  <c r="W537" i="58" s="1"/>
  <c r="V537" i="58"/>
  <c r="AA10" i="53"/>
  <c r="T12" i="47"/>
  <c r="R12" i="47"/>
  <c r="W347" i="58" s="1"/>
  <c r="V347" i="58"/>
  <c r="V506" i="58"/>
  <c r="AK29" i="46"/>
  <c r="W506" i="58" s="1"/>
  <c r="AM29" i="46"/>
  <c r="AC44" i="43"/>
  <c r="AA44" i="43"/>
  <c r="W323" i="58" s="1"/>
  <c r="V323" i="58"/>
  <c r="V297" i="58"/>
  <c r="AA15" i="43"/>
  <c r="W297" i="58" s="1"/>
  <c r="AC15" i="43"/>
  <c r="V492" i="58"/>
  <c r="AM11" i="46"/>
  <c r="Y492" i="58" s="1"/>
  <c r="AK11" i="46"/>
  <c r="V561" i="58"/>
  <c r="AM16" i="53"/>
  <c r="Y561" i="58" s="1"/>
  <c r="AK16" i="53"/>
  <c r="AA17" i="43"/>
  <c r="W299" i="58" s="1"/>
  <c r="V299" i="58"/>
  <c r="AC17" i="43"/>
  <c r="O15" i="53"/>
  <c r="Y522" i="58" s="1"/>
  <c r="V522" i="58"/>
  <c r="O31" i="46"/>
  <c r="Y454" i="58" s="1"/>
  <c r="V454" i="58"/>
  <c r="O10" i="53"/>
  <c r="Y518" i="58" s="1"/>
  <c r="V518" i="58"/>
  <c r="K12" i="47"/>
  <c r="Y339" i="58" s="1"/>
  <c r="V339" i="58"/>
  <c r="O13" i="46"/>
  <c r="Y440" i="58" s="1"/>
  <c r="V440" i="58"/>
  <c r="AM21" i="46"/>
  <c r="Y583" i="58" s="1"/>
  <c r="AK21" i="46"/>
  <c r="W583" i="58" s="1"/>
  <c r="V570" i="58"/>
  <c r="AM28" i="53"/>
  <c r="AK28" i="53"/>
  <c r="W570" i="58" s="1"/>
  <c r="AC20" i="43"/>
  <c r="V301" i="58"/>
  <c r="AA20" i="43"/>
  <c r="W301" i="58" s="1"/>
  <c r="V56" i="58"/>
  <c r="T27" i="51"/>
  <c r="R27" i="51"/>
  <c r="W56" i="58" s="1"/>
  <c r="V57" i="58"/>
  <c r="R28" i="51"/>
  <c r="W57" i="58" s="1"/>
  <c r="T28" i="51"/>
  <c r="V96" i="58"/>
  <c r="AA32" i="51"/>
  <c r="W96" i="58" s="1"/>
  <c r="AC32" i="51"/>
  <c r="V66" i="58"/>
  <c r="R40" i="51"/>
  <c r="W66" i="58" s="1"/>
  <c r="T40" i="51"/>
  <c r="V19" i="58"/>
  <c r="K26" i="51"/>
  <c r="I26" i="51"/>
  <c r="W19" i="58" s="1"/>
  <c r="V83" i="58"/>
  <c r="AA16" i="51"/>
  <c r="W83" i="58" s="1"/>
  <c r="AC16" i="51"/>
  <c r="V20" i="58"/>
  <c r="K27" i="51"/>
  <c r="I27" i="51"/>
  <c r="W20" i="58" s="1"/>
  <c r="V84" i="58"/>
  <c r="AA17" i="51"/>
  <c r="W84" i="58" s="1"/>
  <c r="AC17" i="51"/>
  <c r="V37" i="58"/>
  <c r="K48" i="51"/>
  <c r="I48" i="51"/>
  <c r="W37" i="58" s="1"/>
  <c r="V101" i="58"/>
  <c r="AA38" i="51"/>
  <c r="W101" i="58" s="1"/>
  <c r="AC38" i="51"/>
  <c r="V38" i="58"/>
  <c r="T5" i="51"/>
  <c r="R5" i="51"/>
  <c r="W38" i="58" s="1"/>
  <c r="V102" i="58"/>
  <c r="AC40" i="51"/>
  <c r="AA40" i="51"/>
  <c r="W102" i="58" s="1"/>
  <c r="V15" i="58"/>
  <c r="I21" i="51"/>
  <c r="W15" i="58" s="1"/>
  <c r="K21" i="51"/>
  <c r="V79" i="58"/>
  <c r="AA11" i="51"/>
  <c r="W79" i="58" s="1"/>
  <c r="AC11" i="51"/>
  <c r="O30" i="44"/>
  <c r="Y378" i="58" s="1"/>
  <c r="V378" i="58"/>
  <c r="V411" i="58"/>
  <c r="AM9" i="44"/>
  <c r="AK9" i="44"/>
  <c r="W411" i="58" s="1"/>
  <c r="O32" i="44"/>
  <c r="Y380" i="58" s="1"/>
  <c r="V380" i="58"/>
  <c r="O24" i="44"/>
  <c r="Y373" i="58" s="1"/>
  <c r="V373" i="58"/>
  <c r="V391" i="58"/>
  <c r="AA16" i="44"/>
  <c r="Y391" i="58" s="1"/>
  <c r="Y16" i="44"/>
  <c r="V406" i="58"/>
  <c r="Y32" i="44"/>
  <c r="W406" i="58" s="1"/>
  <c r="AA32" i="44"/>
  <c r="O27" i="44"/>
  <c r="Y376" i="58" s="1"/>
  <c r="V376" i="58"/>
  <c r="O26" i="44"/>
  <c r="Y375" i="58" s="1"/>
  <c r="V375" i="58"/>
  <c r="V409" i="58"/>
  <c r="AM7" i="44"/>
  <c r="Y409" i="58" s="1"/>
  <c r="AK7" i="44"/>
  <c r="V402" i="58"/>
  <c r="AA27" i="44"/>
  <c r="Y27" i="44"/>
  <c r="W402" i="58" s="1"/>
  <c r="AA6" i="43"/>
  <c r="W289" i="58" s="1"/>
  <c r="V289" i="58"/>
  <c r="AC6" i="43"/>
  <c r="M6" i="53"/>
  <c r="W515" i="58" s="1"/>
  <c r="O6" i="53"/>
  <c r="Y515" i="58" s="1"/>
  <c r="I4" i="47"/>
  <c r="W332" i="58" s="1"/>
  <c r="K4" i="47"/>
  <c r="Y332" i="58" s="1"/>
  <c r="T28" i="43"/>
  <c r="Y265" i="58" s="1"/>
  <c r="R28" i="43"/>
  <c r="W265" i="58" s="1"/>
  <c r="R30" i="43"/>
  <c r="W267" i="58" s="1"/>
  <c r="T30" i="43"/>
  <c r="Y267" i="58" s="1"/>
  <c r="T14" i="43"/>
  <c r="Y253" i="58" s="1"/>
  <c r="R14" i="43"/>
  <c r="W253" i="58" s="1"/>
  <c r="R16" i="43"/>
  <c r="W255" i="58" s="1"/>
  <c r="T16" i="43"/>
  <c r="T55" i="43"/>
  <c r="Y286" i="58" s="1"/>
  <c r="R55" i="43"/>
  <c r="W286" i="58" s="1"/>
  <c r="T10" i="43"/>
  <c r="Y250" i="58" s="1"/>
  <c r="R10" i="43"/>
  <c r="W250" i="58" s="1"/>
  <c r="T40" i="43"/>
  <c r="Y276" i="58" s="1"/>
  <c r="R40" i="43"/>
  <c r="T24" i="43"/>
  <c r="Y261" i="58" s="1"/>
  <c r="R24" i="43"/>
  <c r="W261" i="58" s="1"/>
  <c r="T26" i="43"/>
  <c r="Y263" i="58" s="1"/>
  <c r="R26" i="43"/>
  <c r="T20" i="43"/>
  <c r="Y258" i="58" s="1"/>
  <c r="R20" i="43"/>
  <c r="W258" i="58" s="1"/>
  <c r="T31" i="43"/>
  <c r="Y268" i="58" s="1"/>
  <c r="R31" i="43"/>
  <c r="W268" i="58" s="1"/>
  <c r="T32" i="43"/>
  <c r="Y269" i="58" s="1"/>
  <c r="R32" i="43"/>
  <c r="W269" i="58" s="1"/>
  <c r="R34" i="43"/>
  <c r="W271" i="58" s="1"/>
  <c r="T34" i="43"/>
  <c r="Y271" i="58" s="1"/>
  <c r="R8" i="43"/>
  <c r="W248" i="58" s="1"/>
  <c r="T8" i="43"/>
  <c r="T44" i="43"/>
  <c r="Y280" i="58" s="1"/>
  <c r="R44" i="43"/>
  <c r="T17" i="43"/>
  <c r="Y256" i="58" s="1"/>
  <c r="R17" i="43"/>
  <c r="W256" i="58" s="1"/>
  <c r="T29" i="43"/>
  <c r="Y266" i="58" s="1"/>
  <c r="R29" i="43"/>
  <c r="T42" i="43"/>
  <c r="Y278" i="58" s="1"/>
  <c r="R42" i="43"/>
  <c r="W278" i="58" s="1"/>
  <c r="T15" i="43"/>
  <c r="Y254" i="58" s="1"/>
  <c r="R15" i="43"/>
  <c r="T9" i="43"/>
  <c r="Y249" i="58" s="1"/>
  <c r="R9" i="43"/>
  <c r="W249" i="58" s="1"/>
  <c r="R37" i="43"/>
  <c r="W274" i="58" s="1"/>
  <c r="T37" i="43"/>
  <c r="Y274" i="58" s="1"/>
  <c r="T48" i="43"/>
  <c r="Y282" i="58" s="1"/>
  <c r="R48" i="43"/>
  <c r="W282" i="58" s="1"/>
  <c r="T25" i="43"/>
  <c r="Y262" i="58" s="1"/>
  <c r="R25" i="43"/>
  <c r="W262" i="58" s="1"/>
  <c r="R41" i="43"/>
  <c r="W277" i="58" s="1"/>
  <c r="T41" i="43"/>
  <c r="T51" i="43"/>
  <c r="Y284" i="58" s="1"/>
  <c r="R51" i="43"/>
  <c r="T27" i="43"/>
  <c r="Y264" i="58" s="1"/>
  <c r="R27" i="43"/>
  <c r="W264" i="58" s="1"/>
  <c r="T19" i="43"/>
  <c r="Y257" i="58" s="1"/>
  <c r="R19" i="43"/>
  <c r="T33" i="43"/>
  <c r="Y270" i="58" s="1"/>
  <c r="R33" i="43"/>
  <c r="W270" i="58" s="1"/>
  <c r="T35" i="43"/>
  <c r="Y272" i="58" s="1"/>
  <c r="R35" i="43"/>
  <c r="W272" i="58" s="1"/>
  <c r="T57" i="43"/>
  <c r="Y288" i="58" s="1"/>
  <c r="R57" i="43"/>
  <c r="W288" i="58" s="1"/>
  <c r="T38" i="43"/>
  <c r="Y275" i="58" s="1"/>
  <c r="R38" i="43"/>
  <c r="W275" i="58" s="1"/>
  <c r="T56" i="43"/>
  <c r="Y287" i="58" s="1"/>
  <c r="R56" i="43"/>
  <c r="W287" i="58" s="1"/>
  <c r="T11" i="43"/>
  <c r="Y251" i="58" s="1"/>
  <c r="R11" i="43"/>
  <c r="W251" i="58" s="1"/>
  <c r="R13" i="43"/>
  <c r="W252" i="58" s="1"/>
  <c r="T13" i="43"/>
  <c r="T45" i="43"/>
  <c r="Y281" i="58" s="1"/>
  <c r="R45" i="43"/>
  <c r="W281" i="58" s="1"/>
  <c r="T36" i="43"/>
  <c r="Y273" i="58" s="1"/>
  <c r="R36" i="43"/>
  <c r="W273" i="58" s="1"/>
  <c r="R21" i="43"/>
  <c r="W259" i="58" s="1"/>
  <c r="T21" i="43"/>
  <c r="T49" i="43"/>
  <c r="Y283" i="58" s="1"/>
  <c r="R49" i="43"/>
  <c r="W283" i="58" s="1"/>
  <c r="T7" i="43"/>
  <c r="Y247" i="58" s="1"/>
  <c r="R7" i="43"/>
  <c r="W247" i="58" s="1"/>
  <c r="R52" i="43"/>
  <c r="W285" i="58" s="1"/>
  <c r="T52" i="43"/>
  <c r="Y285" i="58" s="1"/>
  <c r="I7" i="43"/>
  <c r="W204" i="58" s="1"/>
  <c r="K7" i="43"/>
  <c r="I48" i="43"/>
  <c r="W239" i="58" s="1"/>
  <c r="K48" i="43"/>
  <c r="I26" i="43"/>
  <c r="W220" i="58" s="1"/>
  <c r="K26" i="43"/>
  <c r="Y220" i="58" s="1"/>
  <c r="I27" i="43"/>
  <c r="W221" i="58" s="1"/>
  <c r="K27" i="43"/>
  <c r="I6" i="43"/>
  <c r="W203" i="58" s="1"/>
  <c r="K6" i="43"/>
  <c r="K8" i="43"/>
  <c r="Y205" i="58" s="1"/>
  <c r="I8" i="43"/>
  <c r="K36" i="43"/>
  <c r="Y230" i="58" s="1"/>
  <c r="I36" i="43"/>
  <c r="W230" i="58" s="1"/>
  <c r="K20" i="43"/>
  <c r="Y215" i="58" s="1"/>
  <c r="I20" i="43"/>
  <c r="I31" i="43"/>
  <c r="W225" i="58" s="1"/>
  <c r="K31" i="43"/>
  <c r="K37" i="43"/>
  <c r="Y231" i="58" s="1"/>
  <c r="I37" i="43"/>
  <c r="W231" i="58" s="1"/>
  <c r="I45" i="43"/>
  <c r="W238" i="58" s="1"/>
  <c r="K45" i="43"/>
  <c r="K56" i="43"/>
  <c r="Y244" i="58" s="1"/>
  <c r="I56" i="43"/>
  <c r="I14" i="43"/>
  <c r="W210" i="58" s="1"/>
  <c r="K14" i="43"/>
  <c r="I24" i="43"/>
  <c r="W218" i="58" s="1"/>
  <c r="K24" i="43"/>
  <c r="Y218" i="58" s="1"/>
  <c r="I49" i="43"/>
  <c r="W240" i="58" s="1"/>
  <c r="K49" i="43"/>
  <c r="K55" i="43"/>
  <c r="Y243" i="58" s="1"/>
  <c r="I55" i="43"/>
  <c r="K29" i="43"/>
  <c r="Y223" i="58" s="1"/>
  <c r="I29" i="43"/>
  <c r="W223" i="58" s="1"/>
  <c r="I41" i="43"/>
  <c r="W234" i="58" s="1"/>
  <c r="K41" i="43"/>
  <c r="Y234" i="58" s="1"/>
  <c r="K57" i="43"/>
  <c r="Y245" i="58" s="1"/>
  <c r="I57" i="43"/>
  <c r="I42" i="43"/>
  <c r="W235" i="58" s="1"/>
  <c r="K42" i="43"/>
  <c r="I16" i="43"/>
  <c r="W212" i="58" s="1"/>
  <c r="K16" i="43"/>
  <c r="Y212" i="58" s="1"/>
  <c r="I52" i="43"/>
  <c r="W242" i="58" s="1"/>
  <c r="K52" i="43"/>
  <c r="Y242" i="58" s="1"/>
  <c r="I15" i="43"/>
  <c r="W211" i="58" s="1"/>
  <c r="K15" i="43"/>
  <c r="I34" i="43"/>
  <c r="W228" i="58" s="1"/>
  <c r="K34" i="43"/>
  <c r="Y228" i="58" s="1"/>
  <c r="K9" i="43"/>
  <c r="Y206" i="58" s="1"/>
  <c r="I9" i="43"/>
  <c r="W206" i="58" s="1"/>
  <c r="I21" i="43"/>
  <c r="W216" i="58" s="1"/>
  <c r="K21" i="43"/>
  <c r="Y216" i="58" s="1"/>
  <c r="I32" i="43"/>
  <c r="W226" i="58" s="1"/>
  <c r="K32" i="43"/>
  <c r="I11" i="43"/>
  <c r="W208" i="58" s="1"/>
  <c r="K11" i="43"/>
  <c r="Y208" i="58" s="1"/>
  <c r="I25" i="43"/>
  <c r="W219" i="58" s="1"/>
  <c r="K25" i="43"/>
  <c r="I44" i="43"/>
  <c r="W237" i="58" s="1"/>
  <c r="K44" i="43"/>
  <c r="Y237" i="58" s="1"/>
  <c r="K19" i="43"/>
  <c r="Y214" i="58" s="1"/>
  <c r="I19" i="43"/>
  <c r="W214" i="58" s="1"/>
  <c r="K30" i="43"/>
  <c r="Y224" i="58" s="1"/>
  <c r="I30" i="43"/>
  <c r="W224" i="58" s="1"/>
  <c r="I13" i="43"/>
  <c r="W209" i="58" s="1"/>
  <c r="K13" i="43"/>
  <c r="I33" i="43"/>
  <c r="W227" i="58" s="1"/>
  <c r="K33" i="43"/>
  <c r="I51" i="43"/>
  <c r="W241" i="58" s="1"/>
  <c r="K51" i="43"/>
  <c r="Y241" i="58" s="1"/>
  <c r="K28" i="43"/>
  <c r="Y222" i="58" s="1"/>
  <c r="I28" i="43"/>
  <c r="I35" i="43"/>
  <c r="W229" i="58" s="1"/>
  <c r="K35" i="43"/>
  <c r="Y229" i="58" s="1"/>
  <c r="K10" i="43"/>
  <c r="Y207" i="58" s="1"/>
  <c r="I10" i="43"/>
  <c r="I40" i="43"/>
  <c r="W233" i="58" s="1"/>
  <c r="K40" i="43"/>
  <c r="Y233" i="58" s="1"/>
  <c r="K17" i="43"/>
  <c r="Y213" i="58" s="1"/>
  <c r="I17" i="43"/>
  <c r="K38" i="43"/>
  <c r="Y232" i="58" s="1"/>
  <c r="I38" i="43"/>
  <c r="W232" i="58" s="1"/>
  <c r="O6" i="46"/>
  <c r="Y434" i="58" s="1"/>
  <c r="M6" i="46"/>
  <c r="W434" i="58" s="1"/>
  <c r="M6" i="44"/>
  <c r="W356" i="58" s="1"/>
  <c r="O6" i="44"/>
  <c r="Y356" i="58" s="1"/>
  <c r="O16" i="44"/>
  <c r="Y365" i="58" s="1"/>
  <c r="M16" i="44"/>
  <c r="W365" i="58" s="1"/>
  <c r="M21" i="44"/>
  <c r="W370" i="58" s="1"/>
  <c r="O21" i="44"/>
  <c r="Y370" i="58" s="1"/>
  <c r="M15" i="44"/>
  <c r="W364" i="58" s="1"/>
  <c r="O15" i="44"/>
  <c r="Z24" i="51"/>
  <c r="Z4" i="51"/>
  <c r="Q19" i="51"/>
  <c r="Q39" i="51"/>
  <c r="Q29" i="51"/>
  <c r="Q4" i="51"/>
  <c r="Z39" i="51"/>
  <c r="Q9" i="51"/>
  <c r="Z44" i="51"/>
  <c r="Z19" i="51"/>
  <c r="Z29" i="51"/>
  <c r="Q14" i="51"/>
  <c r="Z14" i="51"/>
  <c r="Q24" i="51"/>
  <c r="Q34" i="51"/>
  <c r="Z34" i="51"/>
  <c r="Q44" i="51"/>
  <c r="Z9" i="51"/>
  <c r="D24" i="2"/>
  <c r="D20" i="2"/>
  <c r="D21" i="2"/>
  <c r="AB12" i="64" l="1"/>
  <c r="X601" i="58" s="1"/>
  <c r="S17" i="64"/>
  <c r="X612" i="58" s="1"/>
  <c r="AB8" i="64"/>
  <c r="X589" i="58" s="1"/>
  <c r="AB30" i="64"/>
  <c r="X646" i="58" s="1"/>
  <c r="AB14" i="65"/>
  <c r="X724" i="58" s="1"/>
  <c r="Y724" i="58"/>
  <c r="AB30" i="65"/>
  <c r="X738" i="58" s="1"/>
  <c r="Y738" i="58"/>
  <c r="AB37" i="65"/>
  <c r="X743" i="58" s="1"/>
  <c r="Y743" i="58"/>
  <c r="AB26" i="65"/>
  <c r="X734" i="58" s="1"/>
  <c r="Y734" i="58"/>
  <c r="AB20" i="65"/>
  <c r="X730" i="58" s="1"/>
  <c r="Y730" i="58"/>
  <c r="AB15" i="65"/>
  <c r="X725" i="58" s="1"/>
  <c r="Y725" i="58"/>
  <c r="AB38" i="65"/>
  <c r="X744" i="58" s="1"/>
  <c r="Y744" i="58"/>
  <c r="AB40" i="65"/>
  <c r="X746" i="58" s="1"/>
  <c r="Y746" i="58"/>
  <c r="AB10" i="65"/>
  <c r="X720" i="58" s="1"/>
  <c r="Y720" i="58"/>
  <c r="AB9" i="65"/>
  <c r="X719" i="58" s="1"/>
  <c r="Y719" i="58"/>
  <c r="AB11" i="65"/>
  <c r="X721" i="58" s="1"/>
  <c r="Y721" i="58"/>
  <c r="AB18" i="65"/>
  <c r="X728" i="58" s="1"/>
  <c r="Y728" i="58"/>
  <c r="AB19" i="65"/>
  <c r="X729" i="58" s="1"/>
  <c r="Y729" i="58"/>
  <c r="AB42" i="65"/>
  <c r="X748" i="58" s="1"/>
  <c r="Y748" i="58"/>
  <c r="AB31" i="65"/>
  <c r="X739" i="58" s="1"/>
  <c r="Y739" i="58"/>
  <c r="AB22" i="65"/>
  <c r="X732" i="58" s="1"/>
  <c r="Y732" i="58"/>
  <c r="AB39" i="65"/>
  <c r="X745" i="58" s="1"/>
  <c r="Y745" i="58"/>
  <c r="AB41" i="65"/>
  <c r="X747" i="58" s="1"/>
  <c r="Y747" i="58"/>
  <c r="AB25" i="65"/>
  <c r="X733" i="58" s="1"/>
  <c r="W733" i="58"/>
  <c r="AB33" i="65"/>
  <c r="X741" i="58" s="1"/>
  <c r="Y741" i="58"/>
  <c r="AB7" i="65"/>
  <c r="X717" i="58" s="1"/>
  <c r="Y717" i="58"/>
  <c r="S14" i="65"/>
  <c r="X691" i="58" s="1"/>
  <c r="Y691" i="58"/>
  <c r="S11" i="65"/>
  <c r="X688" i="58" s="1"/>
  <c r="Y688" i="58"/>
  <c r="S38" i="65"/>
  <c r="X711" i="58" s="1"/>
  <c r="Y711" i="58"/>
  <c r="S20" i="65"/>
  <c r="X697" i="58" s="1"/>
  <c r="Y697" i="58"/>
  <c r="S9" i="65"/>
  <c r="X686" i="58" s="1"/>
  <c r="Y686" i="58"/>
  <c r="S27" i="65"/>
  <c r="X702" i="58" s="1"/>
  <c r="Y702" i="58"/>
  <c r="S13" i="65"/>
  <c r="X690" i="58" s="1"/>
  <c r="Y690" i="58"/>
  <c r="S40" i="65"/>
  <c r="X713" i="58" s="1"/>
  <c r="Y713" i="58"/>
  <c r="S32" i="65"/>
  <c r="X707" i="58" s="1"/>
  <c r="Y707" i="58"/>
  <c r="S8" i="65"/>
  <c r="X685" i="58" s="1"/>
  <c r="Y685" i="58"/>
  <c r="S28" i="65"/>
  <c r="X703" i="58" s="1"/>
  <c r="Y703" i="58"/>
  <c r="S29" i="65"/>
  <c r="X704" i="58" s="1"/>
  <c r="Y704" i="58"/>
  <c r="S19" i="65"/>
  <c r="X696" i="58" s="1"/>
  <c r="Y696" i="58"/>
  <c r="S26" i="65"/>
  <c r="X701" i="58" s="1"/>
  <c r="Y701" i="58"/>
  <c r="S12" i="65"/>
  <c r="X689" i="58" s="1"/>
  <c r="Y689" i="58"/>
  <c r="S37" i="65"/>
  <c r="X710" i="58" s="1"/>
  <c r="Y710" i="58"/>
  <c r="S42" i="65"/>
  <c r="X715" i="58" s="1"/>
  <c r="Y715" i="58"/>
  <c r="S30" i="65"/>
  <c r="X705" i="58" s="1"/>
  <c r="Y705" i="58"/>
  <c r="S39" i="65"/>
  <c r="X712" i="58" s="1"/>
  <c r="Y712" i="58"/>
  <c r="S7" i="65"/>
  <c r="X684" i="58" s="1"/>
  <c r="Y684" i="58"/>
  <c r="S21" i="65"/>
  <c r="X698" i="58" s="1"/>
  <c r="Y698" i="58"/>
  <c r="S10" i="65"/>
  <c r="X687" i="58" s="1"/>
  <c r="Y687" i="58"/>
  <c r="S33" i="65"/>
  <c r="X708" i="58" s="1"/>
  <c r="Y708" i="58"/>
  <c r="J14" i="65"/>
  <c r="X658" i="58" s="1"/>
  <c r="Y658" i="58"/>
  <c r="J37" i="65"/>
  <c r="X677" i="58" s="1"/>
  <c r="W677" i="58"/>
  <c r="J27" i="65"/>
  <c r="X669" i="58" s="1"/>
  <c r="Y669" i="58"/>
  <c r="J17" i="65"/>
  <c r="X661" i="58" s="1"/>
  <c r="Y661" i="58"/>
  <c r="J8" i="65"/>
  <c r="X652" i="58" s="1"/>
  <c r="Y652" i="58"/>
  <c r="J18" i="65"/>
  <c r="X662" i="58" s="1"/>
  <c r="Y662" i="58"/>
  <c r="J41" i="65"/>
  <c r="X681" i="58" s="1"/>
  <c r="Y681" i="58"/>
  <c r="J28" i="65"/>
  <c r="X670" i="58" s="1"/>
  <c r="Y670" i="58"/>
  <c r="J7" i="65"/>
  <c r="X651" i="58" s="1"/>
  <c r="Y651" i="58"/>
  <c r="J38" i="65"/>
  <c r="X678" i="58" s="1"/>
  <c r="Y678" i="58"/>
  <c r="J39" i="65"/>
  <c r="X679" i="58" s="1"/>
  <c r="Y679" i="58"/>
  <c r="J10" i="65"/>
  <c r="X654" i="58" s="1"/>
  <c r="Y654" i="58"/>
  <c r="J42" i="65"/>
  <c r="X682" i="58" s="1"/>
  <c r="Y682" i="58"/>
  <c r="J12" i="65"/>
  <c r="X656" i="58" s="1"/>
  <c r="Y656" i="58"/>
  <c r="J29" i="65"/>
  <c r="X671" i="58" s="1"/>
  <c r="Y671" i="58"/>
  <c r="J11" i="65"/>
  <c r="X655" i="58" s="1"/>
  <c r="Y655" i="58"/>
  <c r="J33" i="65"/>
  <c r="X675" i="58" s="1"/>
  <c r="Y675" i="58"/>
  <c r="J32" i="65"/>
  <c r="X674" i="58" s="1"/>
  <c r="Y674" i="58"/>
  <c r="J31" i="65"/>
  <c r="X673" i="58" s="1"/>
  <c r="Y673" i="58"/>
  <c r="J16" i="65"/>
  <c r="X660" i="58" s="1"/>
  <c r="Y660" i="58"/>
  <c r="J40" i="65"/>
  <c r="X680" i="58" s="1"/>
  <c r="Y680" i="58"/>
  <c r="J19" i="65"/>
  <c r="X663" i="58" s="1"/>
  <c r="Y663" i="58"/>
  <c r="J20" i="65"/>
  <c r="X664" i="58" s="1"/>
  <c r="Y664" i="58"/>
  <c r="S25" i="65"/>
  <c r="X700" i="58" s="1"/>
  <c r="S25" i="64"/>
  <c r="X633" i="58" s="1"/>
  <c r="J13" i="64"/>
  <c r="AB27" i="65"/>
  <c r="X735" i="58" s="1"/>
  <c r="S34" i="65"/>
  <c r="X709" i="58" s="1"/>
  <c r="AB34" i="65"/>
  <c r="X742" i="58" s="1"/>
  <c r="S41" i="65"/>
  <c r="X714" i="58" s="1"/>
  <c r="J26" i="65"/>
  <c r="X668" i="58" s="1"/>
  <c r="S18" i="65"/>
  <c r="X695" i="58" s="1"/>
  <c r="AB16" i="65"/>
  <c r="X726" i="58" s="1"/>
  <c r="S31" i="65"/>
  <c r="X706" i="58" s="1"/>
  <c r="AB28" i="65"/>
  <c r="X736" i="58" s="1"/>
  <c r="S6" i="65"/>
  <c r="X683" i="58" s="1"/>
  <c r="S22" i="65"/>
  <c r="X699" i="58" s="1"/>
  <c r="J30" i="65"/>
  <c r="X672" i="58" s="1"/>
  <c r="AB8" i="65"/>
  <c r="X718" i="58" s="1"/>
  <c r="S16" i="65"/>
  <c r="X693" i="58" s="1"/>
  <c r="AB12" i="65"/>
  <c r="X722" i="58" s="1"/>
  <c r="AB17" i="65"/>
  <c r="X727" i="58" s="1"/>
  <c r="J13" i="65"/>
  <c r="X657" i="58" s="1"/>
  <c r="J15" i="65"/>
  <c r="X659" i="58" s="1"/>
  <c r="J9" i="65"/>
  <c r="X653" i="58" s="1"/>
  <c r="S15" i="65"/>
  <c r="X692" i="58" s="1"/>
  <c r="J25" i="65"/>
  <c r="X667" i="58" s="1"/>
  <c r="S17" i="65"/>
  <c r="X694" i="58" s="1"/>
  <c r="AB21" i="65"/>
  <c r="X731" i="58" s="1"/>
  <c r="AB29" i="65"/>
  <c r="X737" i="58" s="1"/>
  <c r="AB32" i="65"/>
  <c r="X740" i="58" s="1"/>
  <c r="J21" i="65"/>
  <c r="X665" i="58" s="1"/>
  <c r="J22" i="65"/>
  <c r="X666" i="58" s="1"/>
  <c r="AB6" i="65"/>
  <c r="X716" i="58" s="1"/>
  <c r="J6" i="65"/>
  <c r="X650" i="58" s="1"/>
  <c r="AB13" i="65"/>
  <c r="X723" i="58" s="1"/>
  <c r="J34" i="65"/>
  <c r="X676" i="58" s="1"/>
  <c r="J18" i="64"/>
  <c r="X614" i="58" s="1"/>
  <c r="J28" i="64"/>
  <c r="X638" i="58" s="1"/>
  <c r="S29" i="64"/>
  <c r="X642" i="58" s="1"/>
  <c r="S18" i="64"/>
  <c r="X615" i="58" s="1"/>
  <c r="AB11" i="64"/>
  <c r="J27" i="64"/>
  <c r="X635" i="58" s="1"/>
  <c r="AB22" i="64"/>
  <c r="X625" i="58" s="1"/>
  <c r="J20" i="64"/>
  <c r="X620" i="58" s="1"/>
  <c r="S19" i="64"/>
  <c r="J30" i="64"/>
  <c r="X644" i="58" s="1"/>
  <c r="J11" i="64"/>
  <c r="J15" i="64"/>
  <c r="X605" i="58" s="1"/>
  <c r="S27" i="64"/>
  <c r="X636" i="58" s="1"/>
  <c r="W638" i="58"/>
  <c r="J31" i="64"/>
  <c r="X647" i="58" s="1"/>
  <c r="AB13" i="64"/>
  <c r="J22" i="64"/>
  <c r="X623" i="58" s="1"/>
  <c r="J29" i="64"/>
  <c r="X641" i="58" s="1"/>
  <c r="J16" i="64"/>
  <c r="X608" i="58" s="1"/>
  <c r="AB18" i="64"/>
  <c r="X616" i="58" s="1"/>
  <c r="S15" i="64"/>
  <c r="X606" i="58" s="1"/>
  <c r="J12" i="64"/>
  <c r="X599" i="58" s="1"/>
  <c r="S11" i="64"/>
  <c r="S28" i="64"/>
  <c r="X639" i="58" s="1"/>
  <c r="S9" i="64"/>
  <c r="W601" i="58"/>
  <c r="S24" i="64"/>
  <c r="X630" i="58" s="1"/>
  <c r="AB27" i="64"/>
  <c r="X637" i="58" s="1"/>
  <c r="S31" i="64"/>
  <c r="X648" i="58" s="1"/>
  <c r="AB23" i="64"/>
  <c r="X628" i="58" s="1"/>
  <c r="AB19" i="64"/>
  <c r="S13" i="64"/>
  <c r="S8" i="64"/>
  <c r="X588" i="58" s="1"/>
  <c r="S23" i="64"/>
  <c r="X627" i="58" s="1"/>
  <c r="J25" i="64"/>
  <c r="X632" i="58" s="1"/>
  <c r="W633" i="58"/>
  <c r="J19" i="64"/>
  <c r="AB15" i="64"/>
  <c r="X607" i="58" s="1"/>
  <c r="J24" i="64"/>
  <c r="X629" i="58" s="1"/>
  <c r="AB16" i="64"/>
  <c r="X610" i="58" s="1"/>
  <c r="J8" i="64"/>
  <c r="X587" i="58" s="1"/>
  <c r="S30" i="64"/>
  <c r="X645" i="58" s="1"/>
  <c r="S12" i="64"/>
  <c r="X600" i="58" s="1"/>
  <c r="Y625" i="58"/>
  <c r="W614" i="58"/>
  <c r="AB17" i="64"/>
  <c r="X613" i="58" s="1"/>
  <c r="AB28" i="64"/>
  <c r="X640" i="58" s="1"/>
  <c r="J9" i="64"/>
  <c r="Y607" i="58"/>
  <c r="J17" i="64"/>
  <c r="X611" i="58" s="1"/>
  <c r="W630" i="58"/>
  <c r="Y629" i="58"/>
  <c r="Y623" i="58"/>
  <c r="AB25" i="64"/>
  <c r="X634" i="58" s="1"/>
  <c r="AB31" i="64"/>
  <c r="X649" i="58" s="1"/>
  <c r="J23" i="64"/>
  <c r="X626" i="58" s="1"/>
  <c r="S20" i="64"/>
  <c r="X621" i="58" s="1"/>
  <c r="AB29" i="64"/>
  <c r="X643" i="58" s="1"/>
  <c r="Y649" i="58"/>
  <c r="Y646" i="58"/>
  <c r="AB10" i="64"/>
  <c r="X595" i="58" s="1"/>
  <c r="AB24" i="64"/>
  <c r="X631" i="58" s="1"/>
  <c r="S10" i="64"/>
  <c r="X594" i="58" s="1"/>
  <c r="AB9" i="64"/>
  <c r="AB20" i="64"/>
  <c r="X622" i="58" s="1"/>
  <c r="Y621" i="58"/>
  <c r="S22" i="64"/>
  <c r="X624" i="58" s="1"/>
  <c r="J10" i="64"/>
  <c r="X593" i="58" s="1"/>
  <c r="W642" i="58"/>
  <c r="W589" i="58"/>
  <c r="Y620" i="58"/>
  <c r="S16" i="64"/>
  <c r="X609" i="58" s="1"/>
  <c r="Y634" i="58"/>
  <c r="W598" i="58"/>
  <c r="W592" i="58"/>
  <c r="Y592" i="58"/>
  <c r="Y598" i="58"/>
  <c r="Y601" i="58"/>
  <c r="W619" i="58"/>
  <c r="W604" i="58"/>
  <c r="Y604" i="58"/>
  <c r="Y619" i="58"/>
  <c r="Y636" i="58"/>
  <c r="Y612" i="58"/>
  <c r="Y645" i="58"/>
  <c r="Y597" i="58"/>
  <c r="Y591" i="58"/>
  <c r="Y627" i="58"/>
  <c r="Y588" i="58"/>
  <c r="W597" i="58"/>
  <c r="W591" i="58"/>
  <c r="W603" i="58"/>
  <c r="W618" i="58"/>
  <c r="Y618" i="58"/>
  <c r="Y603" i="58"/>
  <c r="Y605" i="58"/>
  <c r="Y626" i="58"/>
  <c r="W590" i="58"/>
  <c r="W596" i="58"/>
  <c r="Y635" i="58"/>
  <c r="Y590" i="58"/>
  <c r="Y596" i="58"/>
  <c r="Y599" i="58"/>
  <c r="Y593" i="58"/>
  <c r="Y617" i="58"/>
  <c r="Y602" i="58"/>
  <c r="W602" i="58"/>
  <c r="W617" i="58"/>
  <c r="W644" i="58"/>
  <c r="AB6" i="64"/>
  <c r="X586" i="58" s="1"/>
  <c r="S6" i="64"/>
  <c r="X585" i="58" s="1"/>
  <c r="J6" i="64"/>
  <c r="X584" i="58" s="1"/>
  <c r="S53" i="43"/>
  <c r="X579" i="58" s="1"/>
  <c r="Y579" i="58"/>
  <c r="J53" i="43"/>
  <c r="X578" i="58" s="1"/>
  <c r="Y578" i="58"/>
  <c r="AL22" i="46"/>
  <c r="X501" i="58" s="1"/>
  <c r="Y576" i="58"/>
  <c r="Z24" i="53"/>
  <c r="X576" i="58" s="1"/>
  <c r="Y575" i="58"/>
  <c r="N24" i="53"/>
  <c r="X575" i="58" s="1"/>
  <c r="N22" i="46"/>
  <c r="X447" i="58" s="1"/>
  <c r="AL24" i="53"/>
  <c r="X577" i="58" s="1"/>
  <c r="Y577" i="58"/>
  <c r="Z22" i="46"/>
  <c r="X474" i="58" s="1"/>
  <c r="AB53" i="43"/>
  <c r="X580" i="58" s="1"/>
  <c r="Y574" i="58"/>
  <c r="AL34" i="46"/>
  <c r="X574" i="58" s="1"/>
  <c r="N34" i="46"/>
  <c r="X572" i="58" s="1"/>
  <c r="Y572" i="58"/>
  <c r="Z34" i="46"/>
  <c r="X573" i="58" s="1"/>
  <c r="Y573" i="58"/>
  <c r="Z6" i="53"/>
  <c r="X534" i="58" s="1"/>
  <c r="Z7" i="53"/>
  <c r="X535" i="58" s="1"/>
  <c r="Y535" i="58"/>
  <c r="AB12" i="40"/>
  <c r="X178" i="58" s="1"/>
  <c r="Y178" i="58"/>
  <c r="Y461" i="58"/>
  <c r="Z6" i="46"/>
  <c r="X461" i="58" s="1"/>
  <c r="AL8" i="53"/>
  <c r="X555" i="58" s="1"/>
  <c r="W555" i="58"/>
  <c r="J41" i="51"/>
  <c r="X31" i="58" s="1"/>
  <c r="Y31" i="58"/>
  <c r="Y35" i="58"/>
  <c r="J46" i="51"/>
  <c r="X35" i="58" s="1"/>
  <c r="AB11" i="43"/>
  <c r="X294" i="58" s="1"/>
  <c r="W294" i="58"/>
  <c r="Y154" i="58"/>
  <c r="S19" i="40"/>
  <c r="X154" i="58" s="1"/>
  <c r="Y163" i="58"/>
  <c r="S29" i="40"/>
  <c r="X163" i="58" s="1"/>
  <c r="Y143" i="58"/>
  <c r="S7" i="40"/>
  <c r="X143" i="58" s="1"/>
  <c r="S23" i="40"/>
  <c r="X157" i="58" s="1"/>
  <c r="W157" i="58"/>
  <c r="Y162" i="58"/>
  <c r="S28" i="40"/>
  <c r="X162" i="58" s="1"/>
  <c r="AL8" i="44"/>
  <c r="X410" i="58" s="1"/>
  <c r="Y410" i="58"/>
  <c r="Y87" i="58"/>
  <c r="AB21" i="51"/>
  <c r="X87" i="58" s="1"/>
  <c r="Y92" i="58"/>
  <c r="AB27" i="51"/>
  <c r="X92" i="58" s="1"/>
  <c r="AL25" i="46"/>
  <c r="X503" i="58" s="1"/>
  <c r="W503" i="58"/>
  <c r="AB29" i="40"/>
  <c r="X194" i="58" s="1"/>
  <c r="W194" i="58"/>
  <c r="J10" i="43"/>
  <c r="X207" i="58" s="1"/>
  <c r="W207" i="58"/>
  <c r="J33" i="43"/>
  <c r="X227" i="58" s="1"/>
  <c r="Y227" i="58"/>
  <c r="J32" i="43"/>
  <c r="X226" i="58" s="1"/>
  <c r="Y226" i="58"/>
  <c r="J15" i="43"/>
  <c r="X211" i="58" s="1"/>
  <c r="Y211" i="58"/>
  <c r="J42" i="43"/>
  <c r="X235" i="58" s="1"/>
  <c r="Y235" i="58"/>
  <c r="J14" i="43"/>
  <c r="X210" i="58" s="1"/>
  <c r="Y210" i="58"/>
  <c r="J31" i="43"/>
  <c r="X225" i="58" s="1"/>
  <c r="Y225" i="58"/>
  <c r="J8" i="43"/>
  <c r="X205" i="58" s="1"/>
  <c r="W205" i="58"/>
  <c r="J48" i="43"/>
  <c r="X239" i="58" s="1"/>
  <c r="Y239" i="58"/>
  <c r="S13" i="43"/>
  <c r="X252" i="58" s="1"/>
  <c r="Y252" i="58"/>
  <c r="S19" i="43"/>
  <c r="X257" i="58" s="1"/>
  <c r="W257" i="58"/>
  <c r="S41" i="43"/>
  <c r="X277" i="58" s="1"/>
  <c r="Y277" i="58"/>
  <c r="Y102" i="58"/>
  <c r="AB40" i="51"/>
  <c r="X102" i="58" s="1"/>
  <c r="AC39" i="51"/>
  <c r="AL29" i="46"/>
  <c r="X506" i="58" s="1"/>
  <c r="Y506" i="58"/>
  <c r="Y537" i="58"/>
  <c r="Z10" i="53"/>
  <c r="X537" i="58" s="1"/>
  <c r="Z11" i="53"/>
  <c r="X538" i="58" s="1"/>
  <c r="Y538" i="58"/>
  <c r="S35" i="40"/>
  <c r="X168" i="58" s="1"/>
  <c r="Y168" i="58"/>
  <c r="AL38" i="46"/>
  <c r="X513" i="58" s="1"/>
  <c r="W513" i="58"/>
  <c r="S6" i="43"/>
  <c r="X246" i="58" s="1"/>
  <c r="W246" i="58"/>
  <c r="S46" i="51"/>
  <c r="X71" i="58" s="1"/>
  <c r="Y71" i="58"/>
  <c r="K39" i="51"/>
  <c r="Y30" i="58"/>
  <c r="J40" i="51"/>
  <c r="X30" i="58" s="1"/>
  <c r="Y48" i="58"/>
  <c r="S17" i="51"/>
  <c r="X48" i="58" s="1"/>
  <c r="Y494" i="58"/>
  <c r="AL13" i="46"/>
  <c r="X494" i="58" s="1"/>
  <c r="AL31" i="46"/>
  <c r="X508" i="58" s="1"/>
  <c r="W508" i="58"/>
  <c r="S6" i="47"/>
  <c r="X341" i="58" s="1"/>
  <c r="Y341" i="58"/>
  <c r="Z16" i="53"/>
  <c r="X542" i="58" s="1"/>
  <c r="Y542" i="58"/>
  <c r="Y158" i="58"/>
  <c r="S24" i="40"/>
  <c r="X158" i="58" s="1"/>
  <c r="S20" i="40"/>
  <c r="X155" i="58" s="1"/>
  <c r="Y155" i="58"/>
  <c r="Z33" i="44"/>
  <c r="X407" i="58" s="1"/>
  <c r="Y407" i="58"/>
  <c r="AB43" i="51"/>
  <c r="X105" i="58" s="1"/>
  <c r="Y105" i="58"/>
  <c r="Y351" i="58"/>
  <c r="AB8" i="47"/>
  <c r="X351" i="58" s="1"/>
  <c r="Y308" i="58"/>
  <c r="AB28" i="43"/>
  <c r="X308" i="58" s="1"/>
  <c r="Y150" i="58"/>
  <c r="S15" i="40"/>
  <c r="X150" i="58" s="1"/>
  <c r="Y148" i="58"/>
  <c r="S13" i="40"/>
  <c r="X148" i="58" s="1"/>
  <c r="S31" i="40"/>
  <c r="X165" i="58" s="1"/>
  <c r="Y165" i="58"/>
  <c r="Y160" i="58"/>
  <c r="S26" i="40"/>
  <c r="X160" i="58" s="1"/>
  <c r="Y502" i="58"/>
  <c r="AL24" i="46"/>
  <c r="X502" i="58" s="1"/>
  <c r="Z9" i="44"/>
  <c r="X385" i="58" s="1"/>
  <c r="Y385" i="58"/>
  <c r="AC44" i="51"/>
  <c r="AB45" i="51"/>
  <c r="X106" i="58" s="1"/>
  <c r="Y106" i="58"/>
  <c r="Z23" i="53"/>
  <c r="X548" i="58" s="1"/>
  <c r="Y548" i="58"/>
  <c r="Y321" i="58"/>
  <c r="AB42" i="43"/>
  <c r="X321" i="58" s="1"/>
  <c r="Y200" i="58"/>
  <c r="AB36" i="40"/>
  <c r="X200" i="58" s="1"/>
  <c r="AL6" i="44"/>
  <c r="X408" i="58" s="1"/>
  <c r="Y408" i="58"/>
  <c r="Y405" i="58"/>
  <c r="Z31" i="44"/>
  <c r="X405" i="58" s="1"/>
  <c r="Y47" i="58"/>
  <c r="S16" i="51"/>
  <c r="X47" i="58" s="1"/>
  <c r="Y89" i="58"/>
  <c r="AB23" i="51"/>
  <c r="X89" i="58" s="1"/>
  <c r="AB52" i="43"/>
  <c r="X328" i="58" s="1"/>
  <c r="Y328" i="58"/>
  <c r="Y24" i="58"/>
  <c r="J32" i="51"/>
  <c r="X24" i="58" s="1"/>
  <c r="Y470" i="58"/>
  <c r="Z17" i="46"/>
  <c r="X470" i="58" s="1"/>
  <c r="AL30" i="46"/>
  <c r="X507" i="58" s="1"/>
  <c r="Y507" i="58"/>
  <c r="S33" i="51"/>
  <c r="X61" i="58" s="1"/>
  <c r="Y61" i="58"/>
  <c r="AB48" i="51"/>
  <c r="X109" i="58" s="1"/>
  <c r="Y109" i="58"/>
  <c r="Y65" i="58"/>
  <c r="S38" i="51"/>
  <c r="X65" i="58" s="1"/>
  <c r="AB29" i="43"/>
  <c r="X309" i="58" s="1"/>
  <c r="Y309" i="58"/>
  <c r="Z20" i="46"/>
  <c r="X473" i="58" s="1"/>
  <c r="Y473" i="58"/>
  <c r="AL11" i="53"/>
  <c r="X557" i="58" s="1"/>
  <c r="W557" i="58"/>
  <c r="Y421" i="58"/>
  <c r="AL20" i="44"/>
  <c r="X421" i="58" s="1"/>
  <c r="AL9" i="46"/>
  <c r="X491" i="58" s="1"/>
  <c r="Y491" i="58"/>
  <c r="Y189" i="58"/>
  <c r="AB24" i="40"/>
  <c r="X189" i="58" s="1"/>
  <c r="AB32" i="43"/>
  <c r="X312" i="58" s="1"/>
  <c r="Y312" i="58"/>
  <c r="Y187" i="58"/>
  <c r="AB21" i="40"/>
  <c r="X187" i="58" s="1"/>
  <c r="AL26" i="44"/>
  <c r="X427" i="58" s="1"/>
  <c r="W427" i="58"/>
  <c r="Y37" i="58"/>
  <c r="J48" i="51"/>
  <c r="X37" i="58" s="1"/>
  <c r="Z26" i="53"/>
  <c r="X549" i="58" s="1"/>
  <c r="Y549" i="58"/>
  <c r="J30" i="51"/>
  <c r="X22" i="58" s="1"/>
  <c r="K29" i="51"/>
  <c r="Y22" i="58"/>
  <c r="AL10" i="53"/>
  <c r="X556" i="58" s="1"/>
  <c r="Y556" i="58"/>
  <c r="S22" i="51"/>
  <c r="X52" i="58" s="1"/>
  <c r="Y52" i="58"/>
  <c r="S8" i="40"/>
  <c r="X144" i="58" s="1"/>
  <c r="Y144" i="58"/>
  <c r="S8" i="47"/>
  <c r="X343" i="58" s="1"/>
  <c r="Y343" i="58"/>
  <c r="Y185" i="58"/>
  <c r="AB19" i="40"/>
  <c r="X185" i="58" s="1"/>
  <c r="Y397" i="58"/>
  <c r="Z22" i="44"/>
  <c r="X397" i="58" s="1"/>
  <c r="J57" i="43"/>
  <c r="X245" i="58" s="1"/>
  <c r="W245" i="58"/>
  <c r="J55" i="43"/>
  <c r="X243" i="58" s="1"/>
  <c r="W243" i="58"/>
  <c r="J56" i="43"/>
  <c r="X244" i="58" s="1"/>
  <c r="W244" i="58"/>
  <c r="J6" i="43"/>
  <c r="X203" i="58" s="1"/>
  <c r="Y203" i="58"/>
  <c r="J7" i="43"/>
  <c r="X204" i="58" s="1"/>
  <c r="Y204" i="58"/>
  <c r="S21" i="43"/>
  <c r="X259" i="58" s="1"/>
  <c r="Y259" i="58"/>
  <c r="S15" i="43"/>
  <c r="X254" i="58" s="1"/>
  <c r="W254" i="58"/>
  <c r="S44" i="43"/>
  <c r="X280" i="58" s="1"/>
  <c r="W280" i="58"/>
  <c r="S26" i="43"/>
  <c r="X263" i="58" s="1"/>
  <c r="W263" i="58"/>
  <c r="Y289" i="58"/>
  <c r="AB6" i="43"/>
  <c r="X289" i="58" s="1"/>
  <c r="Z32" i="44"/>
  <c r="X406" i="58" s="1"/>
  <c r="Y406" i="58"/>
  <c r="Y96" i="58"/>
  <c r="AB32" i="51"/>
  <c r="X96" i="58" s="1"/>
  <c r="AL21" i="46"/>
  <c r="X583" i="58" s="1"/>
  <c r="AB15" i="43"/>
  <c r="X297" i="58" s="1"/>
  <c r="Y297" i="58"/>
  <c r="AL17" i="46"/>
  <c r="X497" i="58" s="1"/>
  <c r="W497" i="58"/>
  <c r="Z20" i="53"/>
  <c r="X545" i="58" s="1"/>
  <c r="Y545" i="58"/>
  <c r="AB23" i="40"/>
  <c r="X188" i="58" s="1"/>
  <c r="Y188" i="58"/>
  <c r="Z26" i="44"/>
  <c r="X401" i="58" s="1"/>
  <c r="Y401" i="58"/>
  <c r="Z23" i="44"/>
  <c r="X398" i="58" s="1"/>
  <c r="Y398" i="58"/>
  <c r="J6" i="51"/>
  <c r="X3" i="58" s="1"/>
  <c r="Y3" i="58"/>
  <c r="AB10" i="43"/>
  <c r="X293" i="58" s="1"/>
  <c r="Y293" i="58"/>
  <c r="Y291" i="58"/>
  <c r="AB8" i="43"/>
  <c r="X291" i="58" s="1"/>
  <c r="S11" i="47"/>
  <c r="X346" i="58" s="1"/>
  <c r="Y346" i="58"/>
  <c r="Y149" i="58"/>
  <c r="S14" i="40"/>
  <c r="X149" i="58" s="1"/>
  <c r="AL27" i="44"/>
  <c r="X428" i="58" s="1"/>
  <c r="Y428" i="58"/>
  <c r="J20" i="51"/>
  <c r="X14" i="58" s="1"/>
  <c r="Y14" i="58"/>
  <c r="K19" i="51"/>
  <c r="Y72" i="58"/>
  <c r="S47" i="51"/>
  <c r="X72" i="58" s="1"/>
  <c r="Y546" i="58"/>
  <c r="Z21" i="53"/>
  <c r="X546" i="58" s="1"/>
  <c r="AB26" i="43"/>
  <c r="X306" i="58" s="1"/>
  <c r="Y306" i="58"/>
  <c r="AB25" i="43"/>
  <c r="X305" i="58" s="1"/>
  <c r="Y305" i="58"/>
  <c r="AL20" i="53"/>
  <c r="X564" i="58" s="1"/>
  <c r="W564" i="58"/>
  <c r="AB33" i="43"/>
  <c r="X313" i="58" s="1"/>
  <c r="Y313" i="58"/>
  <c r="AB15" i="40"/>
  <c r="X181" i="58" s="1"/>
  <c r="Y181" i="58"/>
  <c r="AL25" i="44"/>
  <c r="X426" i="58" s="1"/>
  <c r="Y426" i="58"/>
  <c r="J43" i="51"/>
  <c r="X33" i="58" s="1"/>
  <c r="Y33" i="58"/>
  <c r="AB4" i="47"/>
  <c r="X348" i="58" s="1"/>
  <c r="Y348" i="58"/>
  <c r="AL15" i="53"/>
  <c r="X560" i="58" s="1"/>
  <c r="W560" i="58"/>
  <c r="AB9" i="40"/>
  <c r="X176" i="58" s="1"/>
  <c r="Y176" i="58"/>
  <c r="Z24" i="44"/>
  <c r="X399" i="58" s="1"/>
  <c r="Y399" i="58"/>
  <c r="AC34" i="51"/>
  <c r="AB35" i="51"/>
  <c r="X98" i="58" s="1"/>
  <c r="Y98" i="58"/>
  <c r="Y541" i="58"/>
  <c r="Z15" i="53"/>
  <c r="X541" i="58" s="1"/>
  <c r="Z37" i="46"/>
  <c r="X485" i="58" s="1"/>
  <c r="Y485" i="58"/>
  <c r="Y103" i="58"/>
  <c r="AB41" i="51"/>
  <c r="X103" i="58" s="1"/>
  <c r="AL17" i="44"/>
  <c r="X418" i="58" s="1"/>
  <c r="W418" i="58"/>
  <c r="Z17" i="44"/>
  <c r="X392" i="58" s="1"/>
  <c r="Y392" i="58"/>
  <c r="Y40" i="58"/>
  <c r="S7" i="51"/>
  <c r="X40" i="58" s="1"/>
  <c r="Y36" i="58"/>
  <c r="J47" i="51"/>
  <c r="X36" i="58" s="1"/>
  <c r="Y82" i="58"/>
  <c r="AB15" i="51"/>
  <c r="X82" i="58" s="1"/>
  <c r="AC14" i="51"/>
  <c r="Y563" i="58"/>
  <c r="AL19" i="53"/>
  <c r="X563" i="58" s="1"/>
  <c r="Y159" i="58"/>
  <c r="S25" i="40"/>
  <c r="X159" i="58" s="1"/>
  <c r="Y550" i="58"/>
  <c r="Z27" i="53"/>
  <c r="X550" i="58" s="1"/>
  <c r="AB13" i="51"/>
  <c r="X81" i="58" s="1"/>
  <c r="Y81" i="58"/>
  <c r="Y23" i="58"/>
  <c r="J31" i="51"/>
  <c r="X23" i="58" s="1"/>
  <c r="Y28" i="58"/>
  <c r="J37" i="51"/>
  <c r="X28" i="58" s="1"/>
  <c r="Y74" i="58"/>
  <c r="AC4" i="51"/>
  <c r="AB5" i="51"/>
  <c r="X74" i="58" s="1"/>
  <c r="AL32" i="46"/>
  <c r="X509" i="58" s="1"/>
  <c r="Y509" i="58"/>
  <c r="Y320" i="58"/>
  <c r="AB41" i="43"/>
  <c r="X320" i="58" s="1"/>
  <c r="Y171" i="58"/>
  <c r="S38" i="40"/>
  <c r="X171" i="58" s="1"/>
  <c r="Z8" i="46"/>
  <c r="X463" i="58" s="1"/>
  <c r="W463" i="58"/>
  <c r="Y193" i="58"/>
  <c r="AB28" i="40"/>
  <c r="X193" i="58" s="1"/>
  <c r="J27" i="51"/>
  <c r="X20" i="58" s="1"/>
  <c r="Y20" i="58"/>
  <c r="AL11" i="46"/>
  <c r="X492" i="58" s="1"/>
  <c r="W492" i="58"/>
  <c r="Z6" i="44"/>
  <c r="X382" i="58" s="1"/>
  <c r="Y382" i="58"/>
  <c r="Y27" i="58"/>
  <c r="J36" i="51"/>
  <c r="X27" i="58" s="1"/>
  <c r="Y56" i="58"/>
  <c r="S27" i="51"/>
  <c r="X56" i="58" s="1"/>
  <c r="S42" i="51"/>
  <c r="X68" i="58" s="1"/>
  <c r="Y68" i="58"/>
  <c r="Y5" i="58"/>
  <c r="J8" i="51"/>
  <c r="X5" i="58" s="1"/>
  <c r="Y167" i="58"/>
  <c r="S34" i="40"/>
  <c r="X167" i="58" s="1"/>
  <c r="AL7" i="44"/>
  <c r="X409" i="58" s="1"/>
  <c r="W409" i="58"/>
  <c r="S5" i="51"/>
  <c r="X38" i="58" s="1"/>
  <c r="T4" i="51"/>
  <c r="Y38" i="58"/>
  <c r="Y84" i="58"/>
  <c r="AB17" i="51"/>
  <c r="X84" i="58" s="1"/>
  <c r="Y191" i="58"/>
  <c r="AB26" i="40"/>
  <c r="X191" i="58" s="1"/>
  <c r="Y7" i="58"/>
  <c r="J11" i="51"/>
  <c r="X7" i="58" s="1"/>
  <c r="Y93" i="58"/>
  <c r="AB28" i="51"/>
  <c r="X93" i="58" s="1"/>
  <c r="Y49" i="58"/>
  <c r="S18" i="51"/>
  <c r="X49" i="58" s="1"/>
  <c r="Y544" i="58"/>
  <c r="Z19" i="53"/>
  <c r="X544" i="58" s="1"/>
  <c r="AL7" i="53"/>
  <c r="X554" i="58" s="1"/>
  <c r="Y554" i="58"/>
  <c r="Z11" i="46"/>
  <c r="X465" i="58" s="1"/>
  <c r="Y465" i="58"/>
  <c r="Z11" i="44"/>
  <c r="X386" i="58" s="1"/>
  <c r="W386" i="58"/>
  <c r="AB18" i="51"/>
  <c r="X85" i="58" s="1"/>
  <c r="Y85" i="58"/>
  <c r="S8" i="51"/>
  <c r="X41" i="58" s="1"/>
  <c r="Y41" i="58"/>
  <c r="AL20" i="46"/>
  <c r="X500" i="58" s="1"/>
  <c r="W500" i="58"/>
  <c r="Y416" i="58"/>
  <c r="AL15" i="44"/>
  <c r="X416" i="58" s="1"/>
  <c r="Y413" i="58"/>
  <c r="AL12" i="44"/>
  <c r="X413" i="58" s="1"/>
  <c r="Y387" i="58"/>
  <c r="Z12" i="44"/>
  <c r="X387" i="58" s="1"/>
  <c r="Y78" i="58"/>
  <c r="AB10" i="51"/>
  <c r="X78" i="58" s="1"/>
  <c r="AC9" i="51"/>
  <c r="S37" i="51"/>
  <c r="X64" i="58" s="1"/>
  <c r="Y64" i="58"/>
  <c r="S10" i="51"/>
  <c r="X42" i="58" s="1"/>
  <c r="T9" i="51"/>
  <c r="Y42" i="58"/>
  <c r="Y478" i="58"/>
  <c r="Z28" i="46"/>
  <c r="X478" i="58" s="1"/>
  <c r="AL27" i="53"/>
  <c r="X569" i="58" s="1"/>
  <c r="Y569" i="58"/>
  <c r="Y201" i="58"/>
  <c r="AB37" i="40"/>
  <c r="X201" i="58" s="1"/>
  <c r="Y431" i="58"/>
  <c r="AL31" i="44"/>
  <c r="X431" i="58" s="1"/>
  <c r="AL11" i="44"/>
  <c r="X412" i="58" s="1"/>
  <c r="Y412" i="58"/>
  <c r="Y4" i="58"/>
  <c r="J7" i="51"/>
  <c r="X4" i="58" s="1"/>
  <c r="AB9" i="43"/>
  <c r="X292" i="58" s="1"/>
  <c r="Y292" i="58"/>
  <c r="Y290" i="58"/>
  <c r="AB7" i="43"/>
  <c r="X290" i="58" s="1"/>
  <c r="Y53" i="58"/>
  <c r="S23" i="51"/>
  <c r="X53" i="58" s="1"/>
  <c r="J13" i="51"/>
  <c r="X9" i="58" s="1"/>
  <c r="Y9" i="58"/>
  <c r="Z22" i="53"/>
  <c r="X547" i="58" s="1"/>
  <c r="Y547" i="58"/>
  <c r="Y566" i="58"/>
  <c r="AL22" i="53"/>
  <c r="X566" i="58" s="1"/>
  <c r="Z13" i="46"/>
  <c r="X467" i="58" s="1"/>
  <c r="Y467" i="58"/>
  <c r="AL16" i="44"/>
  <c r="X417" i="58" s="1"/>
  <c r="Y417" i="58"/>
  <c r="AB42" i="51"/>
  <c r="X104" i="58" s="1"/>
  <c r="Y104" i="58"/>
  <c r="AB11" i="47"/>
  <c r="X354" i="58" s="1"/>
  <c r="Y354" i="58"/>
  <c r="Z39" i="46"/>
  <c r="X487" i="58" s="1"/>
  <c r="W487" i="58"/>
  <c r="Y196" i="58"/>
  <c r="AB31" i="40"/>
  <c r="X196" i="58" s="1"/>
  <c r="AB38" i="40"/>
  <c r="X202" i="58" s="1"/>
  <c r="Y202" i="58"/>
  <c r="Y80" i="58"/>
  <c r="AB12" i="51"/>
  <c r="X80" i="58" s="1"/>
  <c r="Y570" i="58"/>
  <c r="AL28" i="53"/>
  <c r="X570" i="58" s="1"/>
  <c r="AB44" i="43"/>
  <c r="X323" i="58" s="1"/>
  <c r="Y323" i="58"/>
  <c r="Y496" i="58"/>
  <c r="AL16" i="46"/>
  <c r="X496" i="58" s="1"/>
  <c r="AB6" i="51"/>
  <c r="X75" i="58" s="1"/>
  <c r="Y75" i="58"/>
  <c r="AB36" i="43"/>
  <c r="X316" i="58" s="1"/>
  <c r="Y316" i="58"/>
  <c r="S36" i="51"/>
  <c r="X63" i="58" s="1"/>
  <c r="Y63" i="58"/>
  <c r="S41" i="51"/>
  <c r="X67" i="58" s="1"/>
  <c r="Y67" i="58"/>
  <c r="Y60" i="58"/>
  <c r="S32" i="51"/>
  <c r="X60" i="58" s="1"/>
  <c r="S21" i="51"/>
  <c r="X51" i="58" s="1"/>
  <c r="Y51" i="58"/>
  <c r="Z18" i="46"/>
  <c r="X471" i="58" s="1"/>
  <c r="W471" i="58"/>
  <c r="AL6" i="53"/>
  <c r="X553" i="58" s="1"/>
  <c r="Y553" i="58"/>
  <c r="Z25" i="44"/>
  <c r="X400" i="58" s="1"/>
  <c r="W400" i="58"/>
  <c r="Y26" i="58"/>
  <c r="K34" i="51"/>
  <c r="J35" i="51"/>
  <c r="X26" i="58" s="1"/>
  <c r="AB14" i="43"/>
  <c r="X296" i="58" s="1"/>
  <c r="Y296" i="58"/>
  <c r="Y83" i="58"/>
  <c r="AB16" i="51"/>
  <c r="X83" i="58" s="1"/>
  <c r="Y43" i="58"/>
  <c r="S11" i="51"/>
  <c r="X43" i="58" s="1"/>
  <c r="Y108" i="58"/>
  <c r="AB47" i="51"/>
  <c r="X108" i="58" s="1"/>
  <c r="Y77" i="58"/>
  <c r="AB8" i="51"/>
  <c r="X77" i="58" s="1"/>
  <c r="Y298" i="58"/>
  <c r="AB16" i="43"/>
  <c r="X298" i="58" s="1"/>
  <c r="Z24" i="46"/>
  <c r="X475" i="58" s="1"/>
  <c r="Y475" i="58"/>
  <c r="Z26" i="46"/>
  <c r="X477" i="58" s="1"/>
  <c r="Y477" i="58"/>
  <c r="Y73" i="58"/>
  <c r="S48" i="51"/>
  <c r="X73" i="58" s="1"/>
  <c r="Z8" i="44"/>
  <c r="X384" i="58" s="1"/>
  <c r="Y384" i="58"/>
  <c r="AB27" i="43"/>
  <c r="X307" i="58" s="1"/>
  <c r="Y307" i="58"/>
  <c r="Y327" i="58"/>
  <c r="AB51" i="43"/>
  <c r="X327" i="58" s="1"/>
  <c r="Y190" i="58"/>
  <c r="AB25" i="40"/>
  <c r="X190" i="58" s="1"/>
  <c r="J17" i="43"/>
  <c r="X213" i="58" s="1"/>
  <c r="W213" i="58"/>
  <c r="J28" i="43"/>
  <c r="X222" i="58" s="1"/>
  <c r="W222" i="58"/>
  <c r="J13" i="43"/>
  <c r="X209" i="58" s="1"/>
  <c r="Y209" i="58"/>
  <c r="J25" i="43"/>
  <c r="X219" i="58" s="1"/>
  <c r="Y219" i="58"/>
  <c r="J49" i="43"/>
  <c r="X240" i="58" s="1"/>
  <c r="Y240" i="58"/>
  <c r="J45" i="43"/>
  <c r="X238" i="58" s="1"/>
  <c r="Y238" i="58"/>
  <c r="J20" i="43"/>
  <c r="X215" i="58" s="1"/>
  <c r="W215" i="58"/>
  <c r="J27" i="43"/>
  <c r="X221" i="58" s="1"/>
  <c r="Y221" i="58"/>
  <c r="S8" i="43"/>
  <c r="X248" i="58" s="1"/>
  <c r="Y248" i="58"/>
  <c r="S16" i="43"/>
  <c r="X255" i="58" s="1"/>
  <c r="Y255" i="58"/>
  <c r="J21" i="51"/>
  <c r="X15" i="58" s="1"/>
  <c r="Y15" i="58"/>
  <c r="AL16" i="53"/>
  <c r="X561" i="58" s="1"/>
  <c r="W561" i="58"/>
  <c r="AB31" i="43"/>
  <c r="X311" i="58" s="1"/>
  <c r="W311" i="58"/>
  <c r="AB32" i="40"/>
  <c r="X197" i="58" s="1"/>
  <c r="Y197" i="58"/>
  <c r="AL30" i="44"/>
  <c r="X430" i="58" s="1"/>
  <c r="Y430" i="58"/>
  <c r="Y429" i="58"/>
  <c r="AL28" i="44"/>
  <c r="X429" i="58" s="1"/>
  <c r="Y562" i="58"/>
  <c r="AL18" i="53"/>
  <c r="X562" i="58" s="1"/>
  <c r="AB34" i="43"/>
  <c r="X314" i="58" s="1"/>
  <c r="Y314" i="58"/>
  <c r="AB57" i="43"/>
  <c r="X331" i="58" s="1"/>
  <c r="Y331" i="58"/>
  <c r="AL18" i="46"/>
  <c r="X498" i="58" s="1"/>
  <c r="Y498" i="58"/>
  <c r="Y169" i="58"/>
  <c r="S36" i="40"/>
  <c r="X169" i="58" s="1"/>
  <c r="Y174" i="58"/>
  <c r="AB7" i="40"/>
  <c r="X174" i="58" s="1"/>
  <c r="Y173" i="58"/>
  <c r="AB5" i="40"/>
  <c r="X173" i="58" s="1"/>
  <c r="AC24" i="51"/>
  <c r="AB25" i="51"/>
  <c r="X90" i="58" s="1"/>
  <c r="Y90" i="58"/>
  <c r="AL7" i="46"/>
  <c r="X489" i="58" s="1"/>
  <c r="W489" i="58"/>
  <c r="S18" i="40"/>
  <c r="X153" i="58" s="1"/>
  <c r="Y153" i="58"/>
  <c r="Z15" i="44"/>
  <c r="X390" i="58" s="1"/>
  <c r="Y390" i="58"/>
  <c r="Y11" i="58"/>
  <c r="J16" i="51"/>
  <c r="X11" i="58" s="1"/>
  <c r="Y486" i="58"/>
  <c r="Z38" i="46"/>
  <c r="X486" i="58" s="1"/>
  <c r="AL23" i="53"/>
  <c r="X567" i="58" s="1"/>
  <c r="W567" i="58"/>
  <c r="Y325" i="58"/>
  <c r="AB48" i="43"/>
  <c r="X325" i="58" s="1"/>
  <c r="Z21" i="46"/>
  <c r="X582" i="58" s="1"/>
  <c r="Z9" i="46"/>
  <c r="X464" i="58" s="1"/>
  <c r="Y464" i="58"/>
  <c r="AB8" i="40"/>
  <c r="X175" i="58" s="1"/>
  <c r="Y175" i="58"/>
  <c r="Y198" i="58"/>
  <c r="AB34" i="40"/>
  <c r="X198" i="58" s="1"/>
  <c r="K4" i="51"/>
  <c r="Y2" i="58"/>
  <c r="J5" i="51"/>
  <c r="X2" i="58" s="1"/>
  <c r="AL28" i="46"/>
  <c r="X505" i="58" s="1"/>
  <c r="W505" i="58"/>
  <c r="Y504" i="58"/>
  <c r="AL26" i="46"/>
  <c r="X504" i="58" s="1"/>
  <c r="Y199" i="58"/>
  <c r="AB35" i="40"/>
  <c r="X199" i="58" s="1"/>
  <c r="S43" i="51"/>
  <c r="X69" i="58" s="1"/>
  <c r="Y69" i="58"/>
  <c r="Y16" i="58"/>
  <c r="J22" i="51"/>
  <c r="X16" i="58" s="1"/>
  <c r="Y25" i="58"/>
  <c r="J33" i="51"/>
  <c r="X25" i="58" s="1"/>
  <c r="Y433" i="58"/>
  <c r="AL33" i="44"/>
  <c r="X433" i="58" s="1"/>
  <c r="AB6" i="47"/>
  <c r="X349" i="58" s="1"/>
  <c r="Y349" i="58"/>
  <c r="S35" i="51"/>
  <c r="X62" i="58" s="1"/>
  <c r="Y62" i="58"/>
  <c r="T34" i="51"/>
  <c r="AL21" i="44"/>
  <c r="X422" i="58" s="1"/>
  <c r="Y422" i="58"/>
  <c r="AB31" i="51"/>
  <c r="X95" i="58" s="1"/>
  <c r="Y95" i="58"/>
  <c r="Y99" i="58"/>
  <c r="AB36" i="51"/>
  <c r="X99" i="58" s="1"/>
  <c r="Z28" i="53"/>
  <c r="X551" i="58" s="1"/>
  <c r="Y551" i="58"/>
  <c r="Z8" i="53"/>
  <c r="X536" i="58" s="1"/>
  <c r="Y536" i="58"/>
  <c r="Y151" i="58"/>
  <c r="S16" i="40"/>
  <c r="X151" i="58" s="1"/>
  <c r="Z7" i="44"/>
  <c r="X383" i="58" s="1"/>
  <c r="Y383" i="58"/>
  <c r="AB21" i="43"/>
  <c r="X302" i="58" s="1"/>
  <c r="W302" i="58"/>
  <c r="Y45" i="58"/>
  <c r="S13" i="51"/>
  <c r="X45" i="58" s="1"/>
  <c r="AB26" i="51"/>
  <c r="X91" i="58" s="1"/>
  <c r="Y91" i="58"/>
  <c r="AL26" i="53"/>
  <c r="X568" i="58" s="1"/>
  <c r="W568" i="58"/>
  <c r="AL39" i="46"/>
  <c r="X514" i="58" s="1"/>
  <c r="Y514" i="58"/>
  <c r="AB30" i="43"/>
  <c r="X310" i="58" s="1"/>
  <c r="Y310" i="58"/>
  <c r="Y156" i="58"/>
  <c r="S21" i="40"/>
  <c r="X156" i="58" s="1"/>
  <c r="Z14" i="44"/>
  <c r="X389" i="58" s="1"/>
  <c r="Y389" i="58"/>
  <c r="Y180" i="58"/>
  <c r="AB14" i="40"/>
  <c r="X180" i="58" s="1"/>
  <c r="Z16" i="44"/>
  <c r="X391" i="58" s="1"/>
  <c r="W391" i="58"/>
  <c r="Y411" i="58"/>
  <c r="AL9" i="44"/>
  <c r="X411" i="58" s="1"/>
  <c r="AB38" i="51"/>
  <c r="X101" i="58" s="1"/>
  <c r="Y101" i="58"/>
  <c r="Y19" i="58"/>
  <c r="J26" i="51"/>
  <c r="X19" i="58" s="1"/>
  <c r="S28" i="51"/>
  <c r="X57" i="58" s="1"/>
  <c r="Y57" i="58"/>
  <c r="AB20" i="43"/>
  <c r="X301" i="58" s="1"/>
  <c r="Y301" i="58"/>
  <c r="Z12" i="46"/>
  <c r="X466" i="58" s="1"/>
  <c r="W466" i="58"/>
  <c r="Z29" i="46"/>
  <c r="X479" i="58" s="1"/>
  <c r="W479" i="58"/>
  <c r="Y164" i="58"/>
  <c r="S30" i="40"/>
  <c r="X164" i="58" s="1"/>
  <c r="AL32" i="44"/>
  <c r="X432" i="58" s="1"/>
  <c r="W432" i="58"/>
  <c r="AL14" i="44"/>
  <c r="X415" i="58" s="1"/>
  <c r="W415" i="58"/>
  <c r="Y94" i="58"/>
  <c r="AB30" i="51"/>
  <c r="X94" i="58" s="1"/>
  <c r="AC29" i="51"/>
  <c r="Y12" i="58"/>
  <c r="J17" i="51"/>
  <c r="X12" i="58" s="1"/>
  <c r="AL6" i="46"/>
  <c r="X488" i="58" s="1"/>
  <c r="Y488" i="58"/>
  <c r="AL23" i="44"/>
  <c r="X424" i="58" s="1"/>
  <c r="W424" i="58"/>
  <c r="Z20" i="44"/>
  <c r="X395" i="58" s="1"/>
  <c r="Y395" i="58"/>
  <c r="Y86" i="58"/>
  <c r="AC19" i="51"/>
  <c r="AB20" i="51"/>
  <c r="X86" i="58" s="1"/>
  <c r="AB4" i="40"/>
  <c r="X172" i="58" s="1"/>
  <c r="Y172" i="58"/>
  <c r="Y184" i="58"/>
  <c r="AB18" i="40"/>
  <c r="X184" i="58" s="1"/>
  <c r="Y404" i="58"/>
  <c r="Z30" i="44"/>
  <c r="X404" i="58" s="1"/>
  <c r="AB38" i="43"/>
  <c r="X318" i="58" s="1"/>
  <c r="Y318" i="58"/>
  <c r="W2" i="58"/>
  <c r="I4" i="51"/>
  <c r="Y59" i="58"/>
  <c r="S31" i="51"/>
  <c r="X59" i="58" s="1"/>
  <c r="S9" i="47"/>
  <c r="X344" i="58" s="1"/>
  <c r="Y344" i="58"/>
  <c r="AB40" i="43"/>
  <c r="X319" i="58" s="1"/>
  <c r="Y319" i="58"/>
  <c r="Y142" i="58"/>
  <c r="S5" i="40"/>
  <c r="X142" i="58" s="1"/>
  <c r="S12" i="51"/>
  <c r="X44" i="58" s="1"/>
  <c r="Y44" i="58"/>
  <c r="AB24" i="43"/>
  <c r="X304" i="58" s="1"/>
  <c r="Y304" i="58"/>
  <c r="J23" i="51"/>
  <c r="X17" i="58" s="1"/>
  <c r="Y17" i="58"/>
  <c r="Y425" i="58"/>
  <c r="AL24" i="44"/>
  <c r="X425" i="58" s="1"/>
  <c r="Z21" i="44"/>
  <c r="X396" i="58" s="1"/>
  <c r="W396" i="58"/>
  <c r="Y342" i="58"/>
  <c r="S7" i="47"/>
  <c r="X342" i="58" s="1"/>
  <c r="Y179" i="58"/>
  <c r="AB13" i="40"/>
  <c r="X179" i="58" s="1"/>
  <c r="Y145" i="58"/>
  <c r="S9" i="40"/>
  <c r="X145" i="58" s="1"/>
  <c r="Z18" i="53"/>
  <c r="X543" i="58" s="1"/>
  <c r="Y543" i="58"/>
  <c r="Y552" i="58"/>
  <c r="Z29" i="53"/>
  <c r="X552" i="58" s="1"/>
  <c r="Y66" i="58"/>
  <c r="S40" i="51"/>
  <c r="X66" i="58" s="1"/>
  <c r="T39" i="51"/>
  <c r="S12" i="47"/>
  <c r="X347" i="58" s="1"/>
  <c r="Y347" i="58"/>
  <c r="Y39" i="58"/>
  <c r="S6" i="51"/>
  <c r="X39" i="58" s="1"/>
  <c r="Y512" i="58"/>
  <c r="AL37" i="46"/>
  <c r="X512" i="58" s="1"/>
  <c r="AB55" i="43"/>
  <c r="X329" i="58" s="1"/>
  <c r="W329" i="58"/>
  <c r="Z27" i="44"/>
  <c r="X402" i="58" s="1"/>
  <c r="Y402" i="58"/>
  <c r="Y79" i="58"/>
  <c r="AB11" i="51"/>
  <c r="X79" i="58" s="1"/>
  <c r="AB17" i="43"/>
  <c r="X299" i="58" s="1"/>
  <c r="Y299" i="58"/>
  <c r="Z28" i="44"/>
  <c r="X403" i="58" s="1"/>
  <c r="Y403" i="58"/>
  <c r="Y76" i="58"/>
  <c r="AB7" i="51"/>
  <c r="X76" i="58" s="1"/>
  <c r="Y88" i="58"/>
  <c r="AB22" i="51"/>
  <c r="X88" i="58" s="1"/>
  <c r="AB7" i="47"/>
  <c r="X350" i="58" s="1"/>
  <c r="Y350" i="58"/>
  <c r="AB13" i="43"/>
  <c r="X295" i="58" s="1"/>
  <c r="Y295" i="58"/>
  <c r="S12" i="40"/>
  <c r="X147" i="58" s="1"/>
  <c r="Y147" i="58"/>
  <c r="Y141" i="58"/>
  <c r="S4" i="40"/>
  <c r="X141" i="58" s="1"/>
  <c r="Y510" i="58"/>
  <c r="AL33" i="46"/>
  <c r="X510" i="58" s="1"/>
  <c r="J28" i="51"/>
  <c r="X21" i="58" s="1"/>
  <c r="Y21" i="58"/>
  <c r="Y300" i="58"/>
  <c r="AB19" i="43"/>
  <c r="X300" i="58" s="1"/>
  <c r="Z16" i="46"/>
  <c r="X469" i="58" s="1"/>
  <c r="Y469" i="58"/>
  <c r="AL21" i="53"/>
  <c r="X565" i="58" s="1"/>
  <c r="W565" i="58"/>
  <c r="N15" i="44"/>
  <c r="X364" i="58" s="1"/>
  <c r="Y364" i="58"/>
  <c r="S51" i="43"/>
  <c r="X284" i="58" s="1"/>
  <c r="W284" i="58"/>
  <c r="S29" i="43"/>
  <c r="X266" i="58" s="1"/>
  <c r="W266" i="58"/>
  <c r="S40" i="43"/>
  <c r="X276" i="58" s="1"/>
  <c r="W276" i="58"/>
  <c r="Y182" i="58"/>
  <c r="AB16" i="40"/>
  <c r="X182" i="58" s="1"/>
  <c r="Y195" i="58"/>
  <c r="AB30" i="40"/>
  <c r="X195" i="58" s="1"/>
  <c r="AB45" i="43"/>
  <c r="X324" i="58" s="1"/>
  <c r="Y324" i="58"/>
  <c r="Y355" i="58"/>
  <c r="AB12" i="47"/>
  <c r="X355" i="58" s="1"/>
  <c r="Y186" i="58"/>
  <c r="AB20" i="40"/>
  <c r="X186" i="58" s="1"/>
  <c r="Z19" i="44"/>
  <c r="X394" i="58" s="1"/>
  <c r="Y394" i="58"/>
  <c r="J38" i="51"/>
  <c r="X29" i="58" s="1"/>
  <c r="Y29" i="58"/>
  <c r="S30" i="51"/>
  <c r="X58" i="58" s="1"/>
  <c r="Y58" i="58"/>
  <c r="T29" i="51"/>
  <c r="Y8" i="58"/>
  <c r="J12" i="51"/>
  <c r="X8" i="58" s="1"/>
  <c r="Z32" i="46"/>
  <c r="X482" i="58" s="1"/>
  <c r="W482" i="58"/>
  <c r="Y484" i="58"/>
  <c r="Z36" i="46"/>
  <c r="X484" i="58" s="1"/>
  <c r="S4" i="47"/>
  <c r="X340" i="58" s="1"/>
  <c r="W340" i="58"/>
  <c r="Y183" i="58"/>
  <c r="AB17" i="40"/>
  <c r="X183" i="58" s="1"/>
  <c r="Y571" i="58"/>
  <c r="AL29" i="53"/>
  <c r="X571" i="58" s="1"/>
  <c r="J18" i="51"/>
  <c r="X13" i="58" s="1"/>
  <c r="Y13" i="58"/>
  <c r="T19" i="51"/>
  <c r="S20" i="51"/>
  <c r="X50" i="58" s="1"/>
  <c r="Y50" i="58"/>
  <c r="Y476" i="58"/>
  <c r="Z25" i="46"/>
  <c r="X476" i="58" s="1"/>
  <c r="Y480" i="58"/>
  <c r="Z30" i="46"/>
  <c r="X480" i="58" s="1"/>
  <c r="Y152" i="58"/>
  <c r="S17" i="40"/>
  <c r="X152" i="58" s="1"/>
  <c r="AL19" i="44"/>
  <c r="X420" i="58" s="1"/>
  <c r="Y420" i="58"/>
  <c r="S26" i="51"/>
  <c r="X55" i="58" s="1"/>
  <c r="Y55" i="58"/>
  <c r="J10" i="51"/>
  <c r="X6" i="58" s="1"/>
  <c r="K9" i="51"/>
  <c r="Y6" i="58"/>
  <c r="Y97" i="58"/>
  <c r="AB33" i="51"/>
  <c r="X97" i="58" s="1"/>
  <c r="AL8" i="46"/>
  <c r="X490" i="58" s="1"/>
  <c r="Y490" i="58"/>
  <c r="AL12" i="46"/>
  <c r="X493" i="58" s="1"/>
  <c r="Y493" i="58"/>
  <c r="Z33" i="46"/>
  <c r="X483" i="58" s="1"/>
  <c r="Y483" i="58"/>
  <c r="Y166" i="58"/>
  <c r="S32" i="40"/>
  <c r="X166" i="58" s="1"/>
  <c r="Y70" i="58"/>
  <c r="T44" i="51"/>
  <c r="S45" i="51"/>
  <c r="X70" i="58" s="1"/>
  <c r="Y32" i="58"/>
  <c r="J42" i="51"/>
  <c r="X32" i="58" s="1"/>
  <c r="K44" i="51"/>
  <c r="J45" i="51"/>
  <c r="X34" i="58" s="1"/>
  <c r="Y34" i="58"/>
  <c r="AB56" i="43"/>
  <c r="X330" i="58" s="1"/>
  <c r="Y330" i="58"/>
  <c r="AB49" i="43"/>
  <c r="X326" i="58" s="1"/>
  <c r="Y326" i="58"/>
  <c r="T24" i="51"/>
  <c r="Y54" i="58"/>
  <c r="S25" i="51"/>
  <c r="X54" i="58" s="1"/>
  <c r="AB37" i="51"/>
  <c r="X100" i="58" s="1"/>
  <c r="Y100" i="58"/>
  <c r="J25" i="51"/>
  <c r="X18" i="58" s="1"/>
  <c r="K24" i="51"/>
  <c r="Y18" i="58"/>
  <c r="Y317" i="58"/>
  <c r="AB37" i="43"/>
  <c r="X317" i="58" s="1"/>
  <c r="Y315" i="58"/>
  <c r="AB35" i="43"/>
  <c r="X315" i="58" s="1"/>
  <c r="Z31" i="46"/>
  <c r="X481" i="58" s="1"/>
  <c r="Y481" i="58"/>
  <c r="AL36" i="46"/>
  <c r="X511" i="58" s="1"/>
  <c r="W511" i="58"/>
  <c r="Y423" i="58"/>
  <c r="AL22" i="44"/>
  <c r="X423" i="58" s="1"/>
  <c r="T14" i="51"/>
  <c r="Y46" i="58"/>
  <c r="S15" i="51"/>
  <c r="X46" i="58" s="1"/>
  <c r="K14" i="51"/>
  <c r="Y10" i="58"/>
  <c r="J15" i="51"/>
  <c r="X10" i="58" s="1"/>
  <c r="Y462" i="58"/>
  <c r="Z7" i="46"/>
  <c r="X462" i="58" s="1"/>
  <c r="AB9" i="47"/>
  <c r="X352" i="58" s="1"/>
  <c r="Y352" i="58"/>
  <c r="Y170" i="58"/>
  <c r="S37" i="40"/>
  <c r="X170" i="58" s="1"/>
  <c r="Y107" i="58"/>
  <c r="AB46" i="51"/>
  <c r="X107" i="58" s="1"/>
  <c r="N6" i="53"/>
  <c r="X515" i="58" s="1"/>
  <c r="J4" i="47"/>
  <c r="X332" i="58" s="1"/>
  <c r="S9" i="43"/>
  <c r="X249" i="58" s="1"/>
  <c r="S30" i="43"/>
  <c r="X267" i="58" s="1"/>
  <c r="J38" i="43"/>
  <c r="X232" i="58" s="1"/>
  <c r="J35" i="43"/>
  <c r="X229" i="58" s="1"/>
  <c r="J44" i="43"/>
  <c r="X237" i="58" s="1"/>
  <c r="J21" i="43"/>
  <c r="X216" i="58" s="1"/>
  <c r="J52" i="43"/>
  <c r="X242" i="58" s="1"/>
  <c r="S27" i="43"/>
  <c r="X264" i="58" s="1"/>
  <c r="S24" i="43"/>
  <c r="X261" i="58" s="1"/>
  <c r="S7" i="43"/>
  <c r="X247" i="58" s="1"/>
  <c r="S45" i="43"/>
  <c r="X281" i="58" s="1"/>
  <c r="S38" i="43"/>
  <c r="X275" i="58" s="1"/>
  <c r="S37" i="43"/>
  <c r="X274" i="58" s="1"/>
  <c r="S34" i="43"/>
  <c r="X271" i="58" s="1"/>
  <c r="S20" i="43"/>
  <c r="X258" i="58" s="1"/>
  <c r="S14" i="43"/>
  <c r="X253" i="58" s="1"/>
  <c r="S36" i="43"/>
  <c r="X273" i="58" s="1"/>
  <c r="S48" i="43"/>
  <c r="X282" i="58" s="1"/>
  <c r="S49" i="43"/>
  <c r="X283" i="58" s="1"/>
  <c r="S57" i="43"/>
  <c r="X288" i="58" s="1"/>
  <c r="S17" i="43"/>
  <c r="X256" i="58" s="1"/>
  <c r="S32" i="43"/>
  <c r="X269" i="58" s="1"/>
  <c r="S10" i="43"/>
  <c r="X250" i="58" s="1"/>
  <c r="S52" i="43"/>
  <c r="X285" i="58" s="1"/>
  <c r="S33" i="43"/>
  <c r="X270" i="58" s="1"/>
  <c r="S31" i="43"/>
  <c r="X268" i="58" s="1"/>
  <c r="S56" i="43"/>
  <c r="X287" i="58" s="1"/>
  <c r="S42" i="43"/>
  <c r="X278" i="58" s="1"/>
  <c r="S11" i="43"/>
  <c r="X251" i="58" s="1"/>
  <c r="S35" i="43"/>
  <c r="X272" i="58" s="1"/>
  <c r="S25" i="43"/>
  <c r="X262" i="58" s="1"/>
  <c r="S55" i="43"/>
  <c r="X286" i="58" s="1"/>
  <c r="S28" i="43"/>
  <c r="X265" i="58" s="1"/>
  <c r="J37" i="43"/>
  <c r="X231" i="58" s="1"/>
  <c r="J9" i="43"/>
  <c r="X206" i="58" s="1"/>
  <c r="J40" i="43"/>
  <c r="X233" i="58" s="1"/>
  <c r="J51" i="43"/>
  <c r="X241" i="58" s="1"/>
  <c r="J30" i="43"/>
  <c r="X224" i="58" s="1"/>
  <c r="J11" i="43"/>
  <c r="X208" i="58" s="1"/>
  <c r="J34" i="43"/>
  <c r="X228" i="58" s="1"/>
  <c r="J16" i="43"/>
  <c r="X212" i="58" s="1"/>
  <c r="J41" i="43"/>
  <c r="X234" i="58" s="1"/>
  <c r="J24" i="43"/>
  <c r="X218" i="58" s="1"/>
  <c r="J36" i="43"/>
  <c r="X230" i="58" s="1"/>
  <c r="J26" i="43"/>
  <c r="X220" i="58" s="1"/>
  <c r="J19" i="43"/>
  <c r="X214" i="58" s="1"/>
  <c r="J29" i="43"/>
  <c r="X223" i="58" s="1"/>
  <c r="N6" i="46"/>
  <c r="X434" i="58" s="1"/>
  <c r="N6" i="44"/>
  <c r="X356" i="58" s="1"/>
  <c r="N16" i="44"/>
  <c r="X365" i="58" s="1"/>
  <c r="N21" i="44"/>
  <c r="X370" i="58" s="1"/>
  <c r="J13" i="40"/>
  <c r="X117" i="58" s="1"/>
  <c r="J23" i="40"/>
  <c r="X126" i="58" s="1"/>
  <c r="J14" i="40"/>
  <c r="X118" i="58" s="1"/>
  <c r="J4" i="40"/>
  <c r="X110" i="58" s="1"/>
  <c r="J38" i="40"/>
  <c r="X140" i="58" s="1"/>
  <c r="J37" i="40"/>
  <c r="X139" i="58" s="1"/>
  <c r="J31" i="40"/>
  <c r="X134" i="58" s="1"/>
  <c r="J28" i="40"/>
  <c r="X131" i="58" s="1"/>
  <c r="J17" i="40"/>
  <c r="X121" i="58" s="1"/>
  <c r="J35" i="40"/>
  <c r="X137" i="58" s="1"/>
  <c r="J34" i="40"/>
  <c r="X136" i="58" s="1"/>
  <c r="J9" i="40"/>
  <c r="X114" i="58" s="1"/>
  <c r="J24" i="40"/>
  <c r="X127" i="58" s="1"/>
  <c r="J7" i="40"/>
  <c r="X112" i="58" s="1"/>
  <c r="J32" i="40"/>
  <c r="X135" i="58" s="1"/>
  <c r="J20" i="40"/>
  <c r="X124" i="58" s="1"/>
  <c r="J18" i="40"/>
  <c r="X122" i="58" s="1"/>
  <c r="J12" i="40"/>
  <c r="X116" i="58" s="1"/>
  <c r="J26" i="40"/>
  <c r="X129" i="58" s="1"/>
  <c r="J8" i="40"/>
  <c r="X113" i="58" s="1"/>
  <c r="J19" i="40"/>
  <c r="X123" i="58" s="1"/>
  <c r="J5" i="40"/>
  <c r="X111" i="58" s="1"/>
  <c r="J15" i="40"/>
  <c r="X119" i="58" s="1"/>
  <c r="J21" i="40"/>
  <c r="X125" i="58" s="1"/>
  <c r="J30" i="40"/>
  <c r="X133" i="58" s="1"/>
  <c r="J16" i="40"/>
  <c r="X120" i="58" s="1"/>
  <c r="J36" i="40"/>
  <c r="X138" i="58" s="1"/>
  <c r="J25" i="40"/>
  <c r="X128" i="58" s="1"/>
  <c r="J29" i="40"/>
  <c r="X132" i="58" s="1"/>
  <c r="R19" i="51"/>
  <c r="R14" i="51"/>
  <c r="R24" i="51"/>
  <c r="AA19" i="51"/>
  <c r="AA14" i="51"/>
  <c r="AA24" i="51"/>
  <c r="R4" i="51"/>
  <c r="R29" i="51"/>
  <c r="R39" i="51"/>
  <c r="R34" i="51"/>
  <c r="R9" i="51"/>
  <c r="AA29" i="51"/>
  <c r="AA39" i="51"/>
  <c r="AA34" i="51"/>
  <c r="AA9" i="51"/>
  <c r="R44" i="51"/>
  <c r="AA44" i="51"/>
  <c r="M23" i="53"/>
  <c r="M21" i="53"/>
  <c r="M10" i="53"/>
  <c r="M8" i="53"/>
  <c r="X598" i="58" l="1"/>
  <c r="X592" i="58"/>
  <c r="X619" i="58"/>
  <c r="X604" i="58"/>
  <c r="X603" i="58"/>
  <c r="X618" i="58"/>
  <c r="X591" i="58"/>
  <c r="X597" i="58"/>
  <c r="X590" i="58"/>
  <c r="X596" i="58"/>
  <c r="X602" i="58"/>
  <c r="X617" i="58"/>
  <c r="S14" i="51"/>
  <c r="AB9" i="51"/>
  <c r="S9" i="51"/>
  <c r="S44" i="51"/>
  <c r="S4" i="51"/>
  <c r="AB24" i="51"/>
  <c r="AB39" i="51"/>
  <c r="S39" i="51"/>
  <c r="S24" i="51"/>
  <c r="S19" i="51"/>
  <c r="AB14" i="51"/>
  <c r="AB34" i="51"/>
  <c r="N10" i="53"/>
  <c r="X518" i="58" s="1"/>
  <c r="W518" i="58"/>
  <c r="AB29" i="51"/>
  <c r="AB19" i="51"/>
  <c r="N21" i="53"/>
  <c r="X527" i="58" s="1"/>
  <c r="W527" i="58"/>
  <c r="N8" i="53"/>
  <c r="X517" i="58" s="1"/>
  <c r="W517" i="58"/>
  <c r="J4" i="51"/>
  <c r="N23" i="53"/>
  <c r="X529" i="58" s="1"/>
  <c r="W529" i="58"/>
  <c r="S34" i="51"/>
  <c r="AB44" i="51"/>
  <c r="S29" i="51"/>
  <c r="AA4" i="51"/>
  <c r="AB4" i="51" s="1"/>
  <c r="M19" i="53"/>
  <c r="M27" i="53"/>
  <c r="M18" i="53"/>
  <c r="M22" i="53"/>
  <c r="M7" i="53"/>
  <c r="M11" i="53"/>
  <c r="M26" i="53"/>
  <c r="M28" i="53"/>
  <c r="M16" i="53"/>
  <c r="M20" i="53"/>
  <c r="M29" i="53"/>
  <c r="M15" i="53"/>
  <c r="N7" i="53" l="1"/>
  <c r="X516" i="58" s="1"/>
  <c r="W516" i="58"/>
  <c r="N15" i="53"/>
  <c r="X522" i="58" s="1"/>
  <c r="W522" i="58"/>
  <c r="N22" i="53"/>
  <c r="X528" i="58" s="1"/>
  <c r="W528" i="58"/>
  <c r="N18" i="53"/>
  <c r="X524" i="58" s="1"/>
  <c r="W524" i="58"/>
  <c r="N19" i="53"/>
  <c r="X525" i="58" s="1"/>
  <c r="W525" i="58"/>
  <c r="N29" i="53"/>
  <c r="X533" i="58" s="1"/>
  <c r="W533" i="58"/>
  <c r="N20" i="53"/>
  <c r="X526" i="58" s="1"/>
  <c r="W526" i="58"/>
  <c r="N16" i="53"/>
  <c r="X523" i="58" s="1"/>
  <c r="W523" i="58"/>
  <c r="N27" i="53"/>
  <c r="X531" i="58" s="1"/>
  <c r="W531" i="58"/>
  <c r="N28" i="53"/>
  <c r="X532" i="58" s="1"/>
  <c r="W532" i="58"/>
  <c r="N11" i="53"/>
  <c r="X519" i="58" s="1"/>
  <c r="W519" i="58"/>
  <c r="N26" i="53"/>
  <c r="X530" i="58" s="1"/>
  <c r="W530" i="58"/>
  <c r="D16" i="2"/>
  <c r="D28" i="2" l="1"/>
  <c r="D12" i="2"/>
  <c r="D8" i="2"/>
  <c r="D29" i="2"/>
  <c r="D13" i="2"/>
  <c r="D9" i="2"/>
  <c r="M25" i="46" l="1"/>
  <c r="M26" i="46"/>
  <c r="M28" i="46"/>
  <c r="M29" i="46"/>
  <c r="M30" i="46"/>
  <c r="M24" i="46"/>
  <c r="H19" i="51"/>
  <c r="H39" i="51"/>
  <c r="H34" i="51"/>
  <c r="H14" i="51"/>
  <c r="H9" i="51"/>
  <c r="H44" i="51"/>
  <c r="H4" i="51"/>
  <c r="H24" i="51"/>
  <c r="H29" i="51"/>
  <c r="N24" i="46" l="1"/>
  <c r="X448" i="58" s="1"/>
  <c r="W448" i="58"/>
  <c r="N30" i="46"/>
  <c r="X453" i="58" s="1"/>
  <c r="W453" i="58"/>
  <c r="N25" i="46"/>
  <c r="X449" i="58" s="1"/>
  <c r="W449" i="58"/>
  <c r="N29" i="46"/>
  <c r="X452" i="58" s="1"/>
  <c r="W452" i="58"/>
  <c r="N28" i="46"/>
  <c r="X451" i="58" s="1"/>
  <c r="W451" i="58"/>
  <c r="N26" i="46"/>
  <c r="X450" i="58" s="1"/>
  <c r="W450" i="58"/>
  <c r="I24" i="51"/>
  <c r="J24" i="51" s="1"/>
  <c r="I19" i="51"/>
  <c r="J19" i="51" s="1"/>
  <c r="I44" i="51"/>
  <c r="J44" i="51" s="1"/>
  <c r="I34" i="51"/>
  <c r="J34" i="51" s="1"/>
  <c r="I39" i="51"/>
  <c r="J39" i="51" s="1"/>
  <c r="I29" i="51"/>
  <c r="J29" i="51" s="1"/>
  <c r="I14" i="51" l="1"/>
  <c r="J14" i="51" s="1"/>
  <c r="I9" i="51"/>
  <c r="J9" i="51" s="1"/>
  <c r="M31" i="46" l="1"/>
  <c r="M26" i="44"/>
  <c r="M24" i="44"/>
  <c r="M21" i="46"/>
  <c r="W581" i="58" s="1"/>
  <c r="N26" i="44" l="1"/>
  <c r="X375" i="58" s="1"/>
  <c r="W375" i="58"/>
  <c r="N24" i="44"/>
  <c r="X373" i="58" s="1"/>
  <c r="W373" i="58"/>
  <c r="N31" i="46"/>
  <c r="X454" i="58" s="1"/>
  <c r="W454" i="58"/>
  <c r="N21" i="46"/>
  <c r="X581" i="58" s="1"/>
  <c r="M22" i="44"/>
  <c r="N22" i="44" l="1"/>
  <c r="X371" i="58" s="1"/>
  <c r="W371" i="58"/>
  <c r="M28" i="44"/>
  <c r="M9" i="46"/>
  <c r="I9" i="47"/>
  <c r="M23" i="44"/>
  <c r="N23" i="44" l="1"/>
  <c r="X372" i="58" s="1"/>
  <c r="W372" i="58"/>
  <c r="J9" i="47"/>
  <c r="X336" i="58" s="1"/>
  <c r="W336" i="58"/>
  <c r="N9" i="46"/>
  <c r="X437" i="58" s="1"/>
  <c r="W437" i="58"/>
  <c r="N28" i="44"/>
  <c r="X377" i="58" s="1"/>
  <c r="W377" i="58"/>
  <c r="M20" i="46"/>
  <c r="M18" i="46"/>
  <c r="I11" i="47"/>
  <c r="M20" i="44"/>
  <c r="M13" i="46"/>
  <c r="I7" i="47"/>
  <c r="M12" i="46"/>
  <c r="M38" i="46"/>
  <c r="M19" i="44"/>
  <c r="M17" i="44"/>
  <c r="M8" i="46"/>
  <c r="M39" i="46"/>
  <c r="M7" i="46"/>
  <c r="M32" i="46"/>
  <c r="M14" i="44"/>
  <c r="M36" i="46"/>
  <c r="M33" i="46"/>
  <c r="M16" i="46"/>
  <c r="M37" i="46"/>
  <c r="I12" i="47"/>
  <c r="M17" i="46"/>
  <c r="I6" i="47"/>
  <c r="M11" i="46"/>
  <c r="I8" i="47"/>
  <c r="N32" i="46" l="1"/>
  <c r="X455" i="58" s="1"/>
  <c r="W455" i="58"/>
  <c r="J12" i="47"/>
  <c r="X339" i="58" s="1"/>
  <c r="W339" i="58"/>
  <c r="N8" i="46"/>
  <c r="X436" i="58" s="1"/>
  <c r="W436" i="58"/>
  <c r="N18" i="46"/>
  <c r="X444" i="58" s="1"/>
  <c r="W444" i="58"/>
  <c r="J6" i="47"/>
  <c r="X333" i="58" s="1"/>
  <c r="W333" i="58"/>
  <c r="N7" i="46"/>
  <c r="X435" i="58" s="1"/>
  <c r="W435" i="58"/>
  <c r="N20" i="44"/>
  <c r="X369" i="58" s="1"/>
  <c r="W369" i="58"/>
  <c r="N17" i="44"/>
  <c r="X366" i="58" s="1"/>
  <c r="W366" i="58"/>
  <c r="N33" i="46"/>
  <c r="X456" i="58" s="1"/>
  <c r="W456" i="58"/>
  <c r="N19" i="44"/>
  <c r="X368" i="58" s="1"/>
  <c r="W368" i="58"/>
  <c r="N20" i="46"/>
  <c r="X446" i="58" s="1"/>
  <c r="W446" i="58"/>
  <c r="J7" i="47"/>
  <c r="X334" i="58" s="1"/>
  <c r="W334" i="58"/>
  <c r="N17" i="46"/>
  <c r="X443" i="58" s="1"/>
  <c r="W443" i="58"/>
  <c r="N13" i="46"/>
  <c r="X440" i="58" s="1"/>
  <c r="W440" i="58"/>
  <c r="N39" i="46"/>
  <c r="X460" i="58" s="1"/>
  <c r="W460" i="58"/>
  <c r="N37" i="46"/>
  <c r="X458" i="58" s="1"/>
  <c r="W458" i="58"/>
  <c r="J11" i="47"/>
  <c r="X338" i="58" s="1"/>
  <c r="W338" i="58"/>
  <c r="N16" i="46"/>
  <c r="X442" i="58" s="1"/>
  <c r="W442" i="58"/>
  <c r="J8" i="47"/>
  <c r="X335" i="58" s="1"/>
  <c r="W335" i="58"/>
  <c r="N36" i="46"/>
  <c r="X457" i="58" s="1"/>
  <c r="W457" i="58"/>
  <c r="N38" i="46"/>
  <c r="X459" i="58" s="1"/>
  <c r="W459" i="58"/>
  <c r="N11" i="46"/>
  <c r="X438" i="58" s="1"/>
  <c r="W438" i="58"/>
  <c r="N14" i="44"/>
  <c r="X363" i="58" s="1"/>
  <c r="W363" i="58"/>
  <c r="N12" i="46"/>
  <c r="X439" i="58" s="1"/>
  <c r="W439" i="58"/>
  <c r="M25" i="44"/>
  <c r="M27" i="44"/>
  <c r="M30" i="44"/>
  <c r="M32" i="44"/>
  <c r="M33" i="44"/>
  <c r="M11" i="44"/>
  <c r="M7" i="44"/>
  <c r="M9" i="44"/>
  <c r="M31" i="44"/>
  <c r="M12" i="44"/>
  <c r="M8" i="44"/>
  <c r="N7" i="44" l="1"/>
  <c r="X357" i="58" s="1"/>
  <c r="W357" i="58"/>
  <c r="N9" i="44"/>
  <c r="X359" i="58" s="1"/>
  <c r="W359" i="58"/>
  <c r="N32" i="44"/>
  <c r="X380" i="58" s="1"/>
  <c r="W380" i="58"/>
  <c r="N12" i="44"/>
  <c r="X361" i="58" s="1"/>
  <c r="W361" i="58"/>
  <c r="N30" i="44"/>
  <c r="X378" i="58" s="1"/>
  <c r="W378" i="58"/>
  <c r="N27" i="44"/>
  <c r="X376" i="58" s="1"/>
  <c r="W376" i="58"/>
  <c r="N11" i="44"/>
  <c r="X360" i="58" s="1"/>
  <c r="W360" i="58"/>
  <c r="N33" i="44"/>
  <c r="X381" i="58" s="1"/>
  <c r="W381" i="58"/>
  <c r="N8" i="44"/>
  <c r="X358" i="58" s="1"/>
  <c r="W358" i="58"/>
  <c r="N31" i="44"/>
  <c r="X379" i="58" s="1"/>
  <c r="W379" i="58"/>
  <c r="N25" i="44"/>
  <c r="X374" i="58" s="1"/>
  <c r="W374" i="58"/>
  <c r="D6" i="2"/>
  <c r="F6" i="2" l="1"/>
  <c r="B77" i="2" s="1"/>
  <c r="B81" i="2" s="1"/>
  <c r="F12" i="2" l="1"/>
  <c r="F11" i="2" s="1"/>
  <c r="F8" i="2"/>
  <c r="C23" i="2" l="1"/>
  <c r="D23" i="2" s="1"/>
  <c r="C67" i="2"/>
  <c r="D67" i="2" s="1"/>
  <c r="E65" i="2" s="1"/>
  <c r="C31" i="2"/>
  <c r="D31" i="2" s="1"/>
  <c r="E29" i="2" s="1"/>
  <c r="C19" i="2"/>
  <c r="D19" i="2" s="1"/>
  <c r="C11" i="2"/>
  <c r="D11" i="2" s="1"/>
  <c r="C7" i="2"/>
  <c r="D7" i="2" s="1"/>
  <c r="C4" i="2"/>
  <c r="D4" i="2" s="1"/>
  <c r="E2" i="2" s="1"/>
  <c r="C27" i="2"/>
  <c r="D27" i="2" s="1"/>
  <c r="E25" i="2" s="1"/>
  <c r="C15" i="2"/>
  <c r="D15" i="2" s="1"/>
  <c r="E17" i="2" l="1"/>
  <c r="E64" i="2"/>
  <c r="E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<sst xmlns="http://schemas.openxmlformats.org/spreadsheetml/2006/main" count="12223" uniqueCount="2082">
  <si>
    <t>OpCo</t>
  </si>
  <si>
    <t>DSN:</t>
  </si>
  <si>
    <t>Dom_Intl</t>
  </si>
  <si>
    <t>SmartPost</t>
  </si>
  <si>
    <t xml:space="preserve">Please be patient while the query runs and your report is generated.  This could take anywhere from a few seconds to several minutes depending on the size of the dataset you're pulling.   That's right, you don't have to use FRO or Teradata to run the report.  This report conveniently pulls all the data you need by using tiny magical data sprites*.   While you wait feel free to do anything you'd like (aside from using this specific Excel book).  </t>
  </si>
  <si>
    <t xml:space="preserve"> *by tiny magical data sprites I mean some nifty coding</t>
  </si>
  <si>
    <t>Product Name</t>
  </si>
  <si>
    <t>Password:</t>
  </si>
  <si>
    <t>Surcharge Amount (USD)</t>
  </si>
  <si>
    <t>Occurrences</t>
  </si>
  <si>
    <t xml:space="preserve">
UNION ALL
</t>
  </si>
  <si>
    <t>Ex - Dom</t>
  </si>
  <si>
    <t>Ex -Intl</t>
  </si>
  <si>
    <t>Teradata</t>
  </si>
  <si>
    <t>Express</t>
  </si>
  <si>
    <t>Ground</t>
  </si>
  <si>
    <t>Additional Handling - Weight (EXP)</t>
  </si>
  <si>
    <t>Call Tag</t>
  </si>
  <si>
    <t>Fuel Surcharge</t>
  </si>
  <si>
    <t>Ground Fuel Surcharge</t>
  </si>
  <si>
    <t>Delivery Area Surcharge</t>
  </si>
  <si>
    <t>FE DAS Extended Residential</t>
  </si>
  <si>
    <t>FE DAS Alaska Commercial</t>
  </si>
  <si>
    <t>Addl Handling Charge - Package</t>
  </si>
  <si>
    <t>Saturday Pickup</t>
  </si>
  <si>
    <t>Residential Delivery</t>
  </si>
  <si>
    <t>FE DAS Residential</t>
  </si>
  <si>
    <t>Direct Signature Required</t>
  </si>
  <si>
    <t>Declared Value</t>
  </si>
  <si>
    <t>FE DAS Commercial</t>
  </si>
  <si>
    <t>Oncall Pickup</t>
  </si>
  <si>
    <t>Address Correction</t>
  </si>
  <si>
    <t>Address Correction - Grd</t>
  </si>
  <si>
    <t>Return On Call Surcharge</t>
  </si>
  <si>
    <t>FE DAS Hawaii Residential</t>
  </si>
  <si>
    <t>H5 Delivery</t>
  </si>
  <si>
    <t>FE DAS Hawaii Commercial</t>
  </si>
  <si>
    <t>Declared value greater than $0</t>
  </si>
  <si>
    <t>FE DAS Extended Commercial</t>
  </si>
  <si>
    <t>Additional Handling Charge - Non-stackable</t>
  </si>
  <si>
    <t>Oversize Charge</t>
  </si>
  <si>
    <t>Residential Delivery - Grd</t>
  </si>
  <si>
    <t>Return Email Label Surcharge</t>
  </si>
  <si>
    <t>Indirect Signature Required</t>
  </si>
  <si>
    <t>Unauthorized Oversize Surcharge</t>
  </si>
  <si>
    <t>Third Party Billing</t>
  </si>
  <si>
    <t>Saturday Delivery</t>
  </si>
  <si>
    <t>Adult Signature Required</t>
  </si>
  <si>
    <t>FE DAS Alaska Residential</t>
  </si>
  <si>
    <t>OFS/F2 Heavy Weight Delivery Reattempt</t>
  </si>
  <si>
    <t>Return Printed Label Surcharge</t>
  </si>
  <si>
    <t>Dangerous Goods</t>
  </si>
  <si>
    <t>Dry Ice</t>
  </si>
  <si>
    <t>Electronic Export Information Filing Fee</t>
  </si>
  <si>
    <t>Internet EEI Request</t>
  </si>
  <si>
    <t>H0 Delivery</t>
  </si>
  <si>
    <t>OFS/F2 Heavy Weight Inside Delivery</t>
  </si>
  <si>
    <t>Missing or Invalid Account Number</t>
  </si>
  <si>
    <t>Account Number Correction</t>
  </si>
  <si>
    <t>Additional Handling Charge - Dimensions (EXP)</t>
  </si>
  <si>
    <t>AHS Freight</t>
  </si>
  <si>
    <t>Express Tag  Surcharge</t>
  </si>
  <si>
    <t>Accessible Dangerous Goods</t>
  </si>
  <si>
    <t>H0 Pickup</t>
  </si>
  <si>
    <t>H4 Delivery</t>
  </si>
  <si>
    <t>OFS/F2 Heavy Weight Residential Delivery</t>
  </si>
  <si>
    <t>Additional Handling Surcharges</t>
  </si>
  <si>
    <t>AHS - Weight</t>
  </si>
  <si>
    <t>AHS - Packaging</t>
  </si>
  <si>
    <t>Delivery Area Surcharges</t>
  </si>
  <si>
    <t>NDOC Pickup-Automated Commercial</t>
  </si>
  <si>
    <t>NDOC Pickup-Automated Residential</t>
  </si>
  <si>
    <t>Home Delivery Evening Service - Invoice Level</t>
  </si>
  <si>
    <t>FG DAS Intra-Hawaii Commercial</t>
  </si>
  <si>
    <t>OFS/F2 Heavy Weight Inside Pickup</t>
  </si>
  <si>
    <t>Priority Alert</t>
  </si>
  <si>
    <t>Bound Printed Matter DAS Extended</t>
  </si>
  <si>
    <t>FG DAS Extended Commercial</t>
  </si>
  <si>
    <t>Non entered account number charge</t>
  </si>
  <si>
    <t>Home Del  DAS Extended Residential</t>
  </si>
  <si>
    <t>SameDay City Std E</t>
  </si>
  <si>
    <t>FG DAS Intra-Hawaii Residential</t>
  </si>
  <si>
    <t>NDOC Alt Addr Pickup-Automated Residential</t>
  </si>
  <si>
    <t>SameDay City Std D</t>
  </si>
  <si>
    <t>On Demand Care Fee</t>
  </si>
  <si>
    <t>Peak Surcharge</t>
  </si>
  <si>
    <t>Remote Rural-Canada-Zone 6-3</t>
  </si>
  <si>
    <t>FG DAS Residential</t>
  </si>
  <si>
    <t>COD Surcharge</t>
  </si>
  <si>
    <t>Residential - Cust Level</t>
  </si>
  <si>
    <t>FE DAS Intra-Hawaii Residential Cap</t>
  </si>
  <si>
    <t>Remote Rural-Canada-Zone 6-2</t>
  </si>
  <si>
    <t>Address Correction CWT Cap</t>
  </si>
  <si>
    <t>H5 Pickup</t>
  </si>
  <si>
    <t>H7 Delivery</t>
  </si>
  <si>
    <t>Delivery Area Surcharge-Commercial</t>
  </si>
  <si>
    <t>COD CWT Cap</t>
  </si>
  <si>
    <t>H6 Delivery</t>
  </si>
  <si>
    <t>Remote Rural-Canada-Zone 6-1</t>
  </si>
  <si>
    <t>Bound Printed Matter DAS Hawaii</t>
  </si>
  <si>
    <t>Hazardous Material</t>
  </si>
  <si>
    <t>Parcel Select Lightweight DAS</t>
  </si>
  <si>
    <t>USPS Non-Mach Surcharge</t>
  </si>
  <si>
    <t>FE DAS Commercial Cap</t>
  </si>
  <si>
    <t>Returns DAS Alaska</t>
  </si>
  <si>
    <t>NDOC Pickup-Cust Serv Residential</t>
  </si>
  <si>
    <t>FG DAS Commercial Cap</t>
  </si>
  <si>
    <t>EEI Reports</t>
  </si>
  <si>
    <t>Multiweight Address Correction</t>
  </si>
  <si>
    <t>FE DAS Extended Residential Cap</t>
  </si>
  <si>
    <t>FE DAS Hawaii Residential Cap</t>
  </si>
  <si>
    <t>Bound Printed Matter DAS Intra.Hawaii</t>
  </si>
  <si>
    <t>SameDayOnCall Weekly Pickup Fee</t>
  </si>
  <si>
    <t>SP Canada Remote Rural</t>
  </si>
  <si>
    <t>EDI EEI Request</t>
  </si>
  <si>
    <t>Home Delivery Residential Delivery Service</t>
  </si>
  <si>
    <t>NDOC Alt Addr Pickup-Automated Commercial</t>
  </si>
  <si>
    <t>FE DAS Intra-Hawaii Commercial</t>
  </si>
  <si>
    <t>Electronic C.O.D, 48 Hours</t>
  </si>
  <si>
    <t>Bound Printed Matter DAS</t>
  </si>
  <si>
    <t>Parcel Select DAS</t>
  </si>
  <si>
    <t>Domestic Priority Alert Plus Fee</t>
  </si>
  <si>
    <t>Invalid Number Correction</t>
  </si>
  <si>
    <t>DAS Commercial CWT Cap</t>
  </si>
  <si>
    <t>SDOC Alt Addr Pickup-Cust Serv Commercial</t>
  </si>
  <si>
    <t>Indirect Signature CWT Cap</t>
  </si>
  <si>
    <t>Remote Rural-Labrador &lt; = 70 lbs</t>
  </si>
  <si>
    <t>Peak - Oversize Charge</t>
  </si>
  <si>
    <t>SDOC Alt Addr Residential wkly Pickup</t>
  </si>
  <si>
    <t>Home Del  DAS Alaska Residential Cap</t>
  </si>
  <si>
    <t>Additional Handling Surcharge - Packaging</t>
  </si>
  <si>
    <t>Home Delivery Signature Service</t>
  </si>
  <si>
    <t>Residential - Rural</t>
  </si>
  <si>
    <t>DAS Residential CWT Cap</t>
  </si>
  <si>
    <t>DAS - Rural Delivery</t>
  </si>
  <si>
    <t>SDOC Pickup-Automated Commercial</t>
  </si>
  <si>
    <t>Home Del  DAS Residential Cap</t>
  </si>
  <si>
    <t>NDOC Alt Addr Residential wkly Pickup</t>
  </si>
  <si>
    <t>H4 Pickup</t>
  </si>
  <si>
    <t>Returns DAS Intra.Hawaii</t>
  </si>
  <si>
    <t>Electronic C.O.D, 24 hours</t>
  </si>
  <si>
    <t>NDOC Pickup-Cust Serv Commercial</t>
  </si>
  <si>
    <t>FG DAS Hawaii Commercial</t>
  </si>
  <si>
    <t>Returns DAS Hawaii</t>
  </si>
  <si>
    <t>Media DAS Hawaii</t>
  </si>
  <si>
    <t>DAS Residential Surcharge</t>
  </si>
  <si>
    <t>H3 Delivery</t>
  </si>
  <si>
    <t>FE DAS Alaska Commercial Cap</t>
  </si>
  <si>
    <t>Weekly ECOD 48-hour</t>
  </si>
  <si>
    <t>FG DAS Intra-Hawaii Commercial  Cap</t>
  </si>
  <si>
    <t>CDO Evening Delivery</t>
  </si>
  <si>
    <t>Remote Rural-Intra-Oahu</t>
  </si>
  <si>
    <t>FedEx Ground Home Delivery of Hazard Material</t>
  </si>
  <si>
    <t>Invalid Third Party Account Number</t>
  </si>
  <si>
    <t>Parcel Select DAS Extended</t>
  </si>
  <si>
    <t>Additional Handling Charge - Dimensions (GND)</t>
  </si>
  <si>
    <t>FE DAS Residential Cap</t>
  </si>
  <si>
    <t>Saturday Pick Up CWT Cap</t>
  </si>
  <si>
    <t>NDOC Alt Addr Pickup-Cust Serv  Commercial</t>
  </si>
  <si>
    <t>NDOC Alt Addr Commercial wkly Pickup</t>
  </si>
  <si>
    <t>Remote Rural-Labrador &gt; 70 lbs</t>
  </si>
  <si>
    <t>FG DAS Hawaii Commercial Cap</t>
  </si>
  <si>
    <t>FedEx Ground Home Delivery of pgk &gt; 70 lbs</t>
  </si>
  <si>
    <t>FG DAS Hawaii Residential</t>
  </si>
  <si>
    <t>Home Del  DAS Extended Residential Cap</t>
  </si>
  <si>
    <t>SameDay City Std C</t>
  </si>
  <si>
    <t>Cash C.O.D. Extra Differnce Charge</t>
  </si>
  <si>
    <t>Return Email Label</t>
  </si>
  <si>
    <t>CDO Appointment Delivery</t>
  </si>
  <si>
    <t>Home Del  DAS Hawaii Residential Cap</t>
  </si>
  <si>
    <t>Peak - Unauth Charge</t>
  </si>
  <si>
    <t>H3 Pickup</t>
  </si>
  <si>
    <t>Home Del  DAS Residential</t>
  </si>
  <si>
    <t>FG DAS Residential Cap</t>
  </si>
  <si>
    <t>Parcel Select Lightweight DAS Extended</t>
  </si>
  <si>
    <t>FE DAS Extended Commercial Cap</t>
  </si>
  <si>
    <t>FG DAS Alaska Commercial</t>
  </si>
  <si>
    <t>FG DAS Alaska Residential Cap</t>
  </si>
  <si>
    <t>FG DAS Extended Residential Cap</t>
  </si>
  <si>
    <t>SDOC Alt Addr Pickup-Automated Residential</t>
  </si>
  <si>
    <t>Returns DAS</t>
  </si>
  <si>
    <t>H6 Pickup</t>
  </si>
  <si>
    <t>Media DAS Alaska</t>
  </si>
  <si>
    <t>CDO Reroute-Local</t>
  </si>
  <si>
    <t>Parcel Select DAS Hawaii</t>
  </si>
  <si>
    <t>Return Pickup Fee</t>
  </si>
  <si>
    <t>Returns DAS Extended</t>
  </si>
  <si>
    <t>FE DAS Alaska Residential Cap</t>
  </si>
  <si>
    <t>Call Tag - Package Level</t>
  </si>
  <si>
    <t>COD Fee</t>
  </si>
  <si>
    <t>Automated Pickup Weekly Fee</t>
  </si>
  <si>
    <t>Parcel Select DAS Alaska</t>
  </si>
  <si>
    <t>Home Delivery Evening Service</t>
  </si>
  <si>
    <t>Residential CWT Cap</t>
  </si>
  <si>
    <t>Manual EEI Request</t>
  </si>
  <si>
    <t>Home Delivery Date Certain Service - Invoice Level</t>
  </si>
  <si>
    <t>FG DAS Hawaii Residential Cap</t>
  </si>
  <si>
    <t>CDO Date Certain Delivery</t>
  </si>
  <si>
    <t>Sunday Pickup</t>
  </si>
  <si>
    <t>Home Del  DAS Intra-Hawaii Residential</t>
  </si>
  <si>
    <t>CDO Reroute-NonLocal-Deferred</t>
  </si>
  <si>
    <t>Fully Regulated Dangerous Goods (FDG)</t>
  </si>
  <si>
    <t>Third Party Billing Cap</t>
  </si>
  <si>
    <t>FG DAS Extended Commercial Cap</t>
  </si>
  <si>
    <t>Return Printed Label</t>
  </si>
  <si>
    <t>SDOC Alt Addr Commercial wkly Pickup</t>
  </si>
  <si>
    <t>FE DAS Intra-Hawaii Commercial  Cap</t>
  </si>
  <si>
    <t>SDOC Pickup-Cust Serv Commercial</t>
  </si>
  <si>
    <t>Electronic C.O.D, 24 Hours</t>
  </si>
  <si>
    <t>OVERSIZE OUT OF WEEK</t>
  </si>
  <si>
    <t>FG DAS Alaska Residential</t>
  </si>
  <si>
    <t>Parcel Select DAS Intra.Hawaii</t>
  </si>
  <si>
    <t>FG DAS Alaska Commercial Cap</t>
  </si>
  <si>
    <t>Sunday Delivery</t>
  </si>
  <si>
    <t>FE DAS Intra-Hawaii Residential</t>
  </si>
  <si>
    <t>FedEx Ground Home Delivery Forced Appointment</t>
  </si>
  <si>
    <t>Missing Account Number</t>
  </si>
  <si>
    <t>Out of Pickup Zone</t>
  </si>
  <si>
    <t>Remote Rural-Alaska &gt; 70 lbs</t>
  </si>
  <si>
    <t>COD Fee - Grd</t>
  </si>
  <si>
    <t>Remote Rural-Hawaii</t>
  </si>
  <si>
    <t>DAS Commercial Surcharge</t>
  </si>
  <si>
    <t>Delivery Date Certain Service</t>
  </si>
  <si>
    <t>SameDay City Std A</t>
  </si>
  <si>
    <t>Home Delivery Appointment Delivery Service - Invoice Level</t>
  </si>
  <si>
    <t>Weekly ECOD 24-hour</t>
  </si>
  <si>
    <t>FG DAS Intra-Hawaii Residential Cap</t>
  </si>
  <si>
    <t>NextDayOnCall Weekly Pickup Fee</t>
  </si>
  <si>
    <t>Electronic C.O.D, 48 hours</t>
  </si>
  <si>
    <t>FedEx Ground Home Delivery C.O.D. Service</t>
  </si>
  <si>
    <t>Media DAS Intra.Hawaii</t>
  </si>
  <si>
    <t>Parcel Fuel Surcharge</t>
  </si>
  <si>
    <t>Declared Value greater than $0 - Grd</t>
  </si>
  <si>
    <t>Home Delivery Appointment Delivery Service</t>
  </si>
  <si>
    <t>Invalid Account Number</t>
  </si>
  <si>
    <t>Media DAS Extended</t>
  </si>
  <si>
    <t>SDOC Alt Addr Pickup-Cust Serv Residential</t>
  </si>
  <si>
    <t>Home Del  DAS Intra-Hawaii Residential Cap</t>
  </si>
  <si>
    <t>Cash C.O.D. Charge</t>
  </si>
  <si>
    <t>H7 Pickup</t>
  </si>
  <si>
    <t>Bound Printed Matter DAS Alaska</t>
  </si>
  <si>
    <t>SDOC Pickup-Automated Residential</t>
  </si>
  <si>
    <t>Parcel Re-Label Charge</t>
  </si>
  <si>
    <t>Direct Signature CWT Cap</t>
  </si>
  <si>
    <t>Remote Rural-Alaska &lt; = 70 lbs RR</t>
  </si>
  <si>
    <t>Home Del  DAS Hawaii Residential</t>
  </si>
  <si>
    <t>CDO Reroute-NonLocal-Expedited</t>
  </si>
  <si>
    <t>Remote Rural-Alaska &lt; = 70 lbs R</t>
  </si>
  <si>
    <t>Parcel Select Lightweight DAS Intra.Hawaii</t>
  </si>
  <si>
    <t>Home Del  DAS Alaska Residential</t>
  </si>
  <si>
    <t>FG DAS Extended Residential</t>
  </si>
  <si>
    <t>Rebill Fee</t>
  </si>
  <si>
    <t>SDOC Pickup-Cust Serv Residential</t>
  </si>
  <si>
    <t>Remote Rural-Canada-Zone 6 &gt; 100 lbs</t>
  </si>
  <si>
    <t>FE DAS Hawaii Commercial Cap</t>
  </si>
  <si>
    <t>Peak - Resi Cap</t>
  </si>
  <si>
    <t>Adult Signature CWT Cap</t>
  </si>
  <si>
    <t>Cash C.O.D. High Intensity Charge</t>
  </si>
  <si>
    <t>Home Delivery Residential Rural Delivery Service</t>
  </si>
  <si>
    <t>Additional Handling - Weight (GRD)</t>
  </si>
  <si>
    <t>SameDay City Std F</t>
  </si>
  <si>
    <t>NDOC Alt Addr Pickup-Cust Serv Residential</t>
  </si>
  <si>
    <t>Peak - Resi Charge</t>
  </si>
  <si>
    <t>SameDay City Std B</t>
  </si>
  <si>
    <t>Parcel Select Lightweight DAS Hawaii</t>
  </si>
  <si>
    <t>SDOC Alt Addr Pickup-Automated Commercial</t>
  </si>
  <si>
    <t>Parcel Select Lightweight DAS Alaska</t>
  </si>
  <si>
    <t>FG DAS Commercial</t>
  </si>
  <si>
    <t>Peak - AHS Charge</t>
  </si>
  <si>
    <t>Media DAS</t>
  </si>
  <si>
    <t>Customer Friendly Description</t>
  </si>
  <si>
    <t>Surcharge Category</t>
  </si>
  <si>
    <t>Saturday Surcharges</t>
  </si>
  <si>
    <t>Delivery Reattempt</t>
  </si>
  <si>
    <t>Collect on Delivery</t>
  </si>
  <si>
    <t>Residential Delivery Surcharges</t>
  </si>
  <si>
    <t>Metro Service Area Charges</t>
  </si>
  <si>
    <t>Inside Pickup Charge</t>
  </si>
  <si>
    <t>Inside Delivery Charge</t>
  </si>
  <si>
    <t>Freight Inside Charges</t>
  </si>
  <si>
    <t>Sunday Surcharges</t>
  </si>
  <si>
    <t>DAS - Commercial</t>
  </si>
  <si>
    <t>DAS - Residential</t>
  </si>
  <si>
    <t>Return Labels</t>
  </si>
  <si>
    <t>DAS</t>
  </si>
  <si>
    <t>Direct Signature</t>
  </si>
  <si>
    <t>Delivery Signature Surcharges</t>
  </si>
  <si>
    <t>Indirect Signature</t>
  </si>
  <si>
    <t>Adult Signature</t>
  </si>
  <si>
    <t>Overweight</t>
  </si>
  <si>
    <t>AHS - Dimensions</t>
  </si>
  <si>
    <t>AHS - Non-Stackable</t>
  </si>
  <si>
    <t>Weight Related Surcharges</t>
  </si>
  <si>
    <t>AHS - Freight</t>
  </si>
  <si>
    <t>DAS - Alaska</t>
  </si>
  <si>
    <t>DAS - Extended</t>
  </si>
  <si>
    <t>DAS - Hawaii</t>
  </si>
  <si>
    <t>DAS - Intra-Hawaii</t>
  </si>
  <si>
    <t>Convenient Delivery Surcharges</t>
  </si>
  <si>
    <t>CDO - Appointment</t>
  </si>
  <si>
    <t>CDO - Date Certain</t>
  </si>
  <si>
    <t>CDO - Evening</t>
  </si>
  <si>
    <t>DAS - Rural</t>
  </si>
  <si>
    <t>Priority Alert Plus</t>
  </si>
  <si>
    <t>DAS - Alaska Commercial</t>
  </si>
  <si>
    <t>DAS - Alaska Residential</t>
  </si>
  <si>
    <t>DAS - Extended Commercial</t>
  </si>
  <si>
    <t>DAS - Extended Residential</t>
  </si>
  <si>
    <t>DAS - Hawaii Commercial</t>
  </si>
  <si>
    <t>DAS - Hawaii Residential</t>
  </si>
  <si>
    <t>DAS - Intra-Hawaii Commercial</t>
  </si>
  <si>
    <t>DAS - Intra-Hawaii Residential</t>
  </si>
  <si>
    <t>CDO - Signature</t>
  </si>
  <si>
    <t>DAS - Intra.Hawaii</t>
  </si>
  <si>
    <t>On Demand Care</t>
  </si>
  <si>
    <t>Remote Rural Surcharges</t>
  </si>
  <si>
    <t>RR - Alaska &gt; 70 lbs</t>
  </si>
  <si>
    <t>RR - Canada-Zone 6 &gt; 100 lbs</t>
  </si>
  <si>
    <t>RR - Canada-Zone 6-1</t>
  </si>
  <si>
    <t>RR - Canada-Zone 6-2</t>
  </si>
  <si>
    <t>RR - Canada-Zone 6-3</t>
  </si>
  <si>
    <t>RR - Hawaii</t>
  </si>
  <si>
    <t>RR - Intra-Oahu</t>
  </si>
  <si>
    <t>RR - Labrador &lt; = 70 lbs</t>
  </si>
  <si>
    <t>RR - Alaska &lt; = 70 lbs</t>
  </si>
  <si>
    <t>RR - Labrador &gt; 70 lbs</t>
  </si>
  <si>
    <t>Residential Delivery - Rural</t>
  </si>
  <si>
    <t>Return Pickup</t>
  </si>
  <si>
    <t>SameDay Surcharges</t>
  </si>
  <si>
    <t>RR - SP Canada</t>
  </si>
  <si>
    <t>Non-Machinable Surcharge</t>
  </si>
  <si>
    <t>Non-Machinable</t>
  </si>
  <si>
    <t>Collect On Delivery</t>
  </si>
  <si>
    <t>Package Relabel</t>
  </si>
  <si>
    <t>ExpressTag</t>
  </si>
  <si>
    <t>Express Freight</t>
  </si>
  <si>
    <t>DAS - Contiguous</t>
  </si>
  <si>
    <t>On-Call Surcharges</t>
  </si>
  <si>
    <t>On-Call Pickup</t>
  </si>
  <si>
    <t>Return On-Call Pickup</t>
  </si>
  <si>
    <t>On-Call Future Day - Automated</t>
  </si>
  <si>
    <t>On-Call Future Day - Customer Service</t>
  </si>
  <si>
    <t>Automated Weekly Pickup</t>
  </si>
  <si>
    <t>On-Call Same Day - Automated</t>
  </si>
  <si>
    <t>On-Call Same Day - Customer Service</t>
  </si>
  <si>
    <t>Surcharge</t>
  </si>
  <si>
    <t>D-612</t>
  </si>
  <si>
    <t>D-024</t>
  </si>
  <si>
    <t>D-828</t>
  </si>
  <si>
    <t>D-027</t>
  </si>
  <si>
    <t>D-650</t>
  </si>
  <si>
    <t>D-611</t>
  </si>
  <si>
    <t>D-060</t>
  </si>
  <si>
    <t>D-028</t>
  </si>
  <si>
    <t>I-310</t>
  </si>
  <si>
    <t>D-093</t>
  </si>
  <si>
    <t>D-614</t>
  </si>
  <si>
    <t>D-608</t>
  </si>
  <si>
    <t>D-120</t>
  </si>
  <si>
    <t>D-824</t>
  </si>
  <si>
    <t>D-088</t>
  </si>
  <si>
    <t>D-722</t>
  </si>
  <si>
    <t>D-087</t>
  </si>
  <si>
    <t>D-721</t>
  </si>
  <si>
    <t>D-002</t>
  </si>
  <si>
    <t>D-003</t>
  </si>
  <si>
    <t>D-090</t>
  </si>
  <si>
    <t>D-603</t>
  </si>
  <si>
    <t>D-687</t>
  </si>
  <si>
    <t>I-650</t>
  </si>
  <si>
    <t>D-685</t>
  </si>
  <si>
    <t>I-305</t>
  </si>
  <si>
    <t>D-008</t>
  </si>
  <si>
    <t>D-091</t>
  </si>
  <si>
    <t>D-720</t>
  </si>
  <si>
    <t>D-004</t>
  </si>
  <si>
    <t>D-862</t>
  </si>
  <si>
    <t>I-652</t>
  </si>
  <si>
    <t>D-822</t>
  </si>
  <si>
    <t>D-119</t>
  </si>
  <si>
    <t>D-826</t>
  </si>
  <si>
    <t>D-005</t>
  </si>
  <si>
    <t>I-313</t>
  </si>
  <si>
    <t>Broker Selection Option</t>
  </si>
  <si>
    <t>D-834</t>
  </si>
  <si>
    <t>I-612</t>
  </si>
  <si>
    <t>D-607</t>
  </si>
  <si>
    <t>D-842</t>
  </si>
  <si>
    <t>I-336</t>
  </si>
  <si>
    <t>D-864</t>
  </si>
  <si>
    <t>I-677</t>
  </si>
  <si>
    <t>D-050</t>
  </si>
  <si>
    <t>I-386</t>
  </si>
  <si>
    <t>D-846</t>
  </si>
  <si>
    <t>D-652</t>
  </si>
  <si>
    <t>I-376</t>
  </si>
  <si>
    <t>Additional Handling Charge - N</t>
  </si>
  <si>
    <t>D-010</t>
  </si>
  <si>
    <t>D-615</t>
  </si>
  <si>
    <t>D-924</t>
  </si>
  <si>
    <t>I-384</t>
  </si>
  <si>
    <t>D-106</t>
  </si>
  <si>
    <t>D-836</t>
  </si>
  <si>
    <t>I-350</t>
  </si>
  <si>
    <t>D-850</t>
  </si>
  <si>
    <t>D-848</t>
  </si>
  <si>
    <t>D-043</t>
  </si>
  <si>
    <t>D-661</t>
  </si>
  <si>
    <t>I-318</t>
  </si>
  <si>
    <t>D-376</t>
  </si>
  <si>
    <t>D-844</t>
  </si>
  <si>
    <t>I-603</t>
  </si>
  <si>
    <t>Declared Value greater than $0</t>
  </si>
  <si>
    <t>D-719</t>
  </si>
  <si>
    <t>D-868</t>
  </si>
  <si>
    <t>I-304</t>
  </si>
  <si>
    <t>I-303</t>
  </si>
  <si>
    <t>I-302</t>
  </si>
  <si>
    <t>D-866</t>
  </si>
  <si>
    <t>D-105</t>
  </si>
  <si>
    <t>D-CTM</t>
  </si>
  <si>
    <t>SC Code</t>
  </si>
  <si>
    <t>D-874</t>
  </si>
  <si>
    <t>D-114</t>
  </si>
  <si>
    <t>D-630</t>
  </si>
  <si>
    <t>D-701</t>
  </si>
  <si>
    <t>D-710</t>
  </si>
  <si>
    <t>D-CVD</t>
  </si>
  <si>
    <t>D-628</t>
  </si>
  <si>
    <t>D-645</t>
  </si>
  <si>
    <t>D-617</t>
  </si>
  <si>
    <t>D-706</t>
  </si>
  <si>
    <t>D-619</t>
  </si>
  <si>
    <t>D-618</t>
  </si>
  <si>
    <t>D-115</t>
  </si>
  <si>
    <t>D-625</t>
  </si>
  <si>
    <t>D-705</t>
  </si>
  <si>
    <t>D-820</t>
  </si>
  <si>
    <t>D-627</t>
  </si>
  <si>
    <t>D-620</t>
  </si>
  <si>
    <t>D-707</t>
  </si>
  <si>
    <t>D-636</t>
  </si>
  <si>
    <t>D-621</t>
  </si>
  <si>
    <t>D-708</t>
  </si>
  <si>
    <t>D-637</t>
  </si>
  <si>
    <t>D-913</t>
  </si>
  <si>
    <t>D-633</t>
  </si>
  <si>
    <t>D-632</t>
  </si>
  <si>
    <t>D-648</t>
  </si>
  <si>
    <t>D-915</t>
  </si>
  <si>
    <t>D-631</t>
  </si>
  <si>
    <t>D-647</t>
  </si>
  <si>
    <t>D-914</t>
  </si>
  <si>
    <t>D-634</t>
  </si>
  <si>
    <t>D-649</t>
  </si>
  <si>
    <t>D-916</t>
  </si>
  <si>
    <t>D-918</t>
  </si>
  <si>
    <t>D-917</t>
  </si>
  <si>
    <t>D-910</t>
  </si>
  <si>
    <t>D-624</t>
  </si>
  <si>
    <t>D-960</t>
  </si>
  <si>
    <t>D-962</t>
  </si>
  <si>
    <t>D-967</t>
  </si>
  <si>
    <t>D-952</t>
  </si>
  <si>
    <t>D-957</t>
  </si>
  <si>
    <t>D-972</t>
  </si>
  <si>
    <t>D-830</t>
  </si>
  <si>
    <t>D-831</t>
  </si>
  <si>
    <t>D-851</t>
  </si>
  <si>
    <t>D-832</t>
  </si>
  <si>
    <t>D-833</t>
  </si>
  <si>
    <t>D-852</t>
  </si>
  <si>
    <t>D-853</t>
  </si>
  <si>
    <t>D-867</t>
  </si>
  <si>
    <t>D-100</t>
  </si>
  <si>
    <t>D-680</t>
  </si>
  <si>
    <t>D-698</t>
  </si>
  <si>
    <t>D-823</t>
  </si>
  <si>
    <t>D-843</t>
  </si>
  <si>
    <t>D-965</t>
  </si>
  <si>
    <t>D-950</t>
  </si>
  <si>
    <t>D-955</t>
  </si>
  <si>
    <t>D-970</t>
  </si>
  <si>
    <t>D-961</t>
  </si>
  <si>
    <t>D-966</t>
  </si>
  <si>
    <t>D-951</t>
  </si>
  <si>
    <t>D-956</t>
  </si>
  <si>
    <t>D-971</t>
  </si>
  <si>
    <t>D-827</t>
  </si>
  <si>
    <t>D-847</t>
  </si>
  <si>
    <t>D-829</t>
  </si>
  <si>
    <t>D-849</t>
  </si>
  <si>
    <t>D-865</t>
  </si>
  <si>
    <t>D-963</t>
  </si>
  <si>
    <t>D-968</t>
  </si>
  <si>
    <t>D-953</t>
  </si>
  <si>
    <t>D-958</t>
  </si>
  <si>
    <t>D-973</t>
  </si>
  <si>
    <t>D-835</t>
  </si>
  <si>
    <t>D-854</t>
  </si>
  <si>
    <t>D-855</t>
  </si>
  <si>
    <t>D-837</t>
  </si>
  <si>
    <t>D-856</t>
  </si>
  <si>
    <t>D-857</t>
  </si>
  <si>
    <t>D-869</t>
  </si>
  <si>
    <t>D-969</t>
  </si>
  <si>
    <t>D-974</t>
  </si>
  <si>
    <t>D-964</t>
  </si>
  <si>
    <t>D-954</t>
  </si>
  <si>
    <t>D-959</t>
  </si>
  <si>
    <t>D-838</t>
  </si>
  <si>
    <t>D-858</t>
  </si>
  <si>
    <t>D-839</t>
  </si>
  <si>
    <t>D-859</t>
  </si>
  <si>
    <t>D-840</t>
  </si>
  <si>
    <t>D-841</t>
  </si>
  <si>
    <t>D-860</t>
  </si>
  <si>
    <t>D-861</t>
  </si>
  <si>
    <t>D-870</t>
  </si>
  <si>
    <t>D-871</t>
  </si>
  <si>
    <t>D-101</t>
  </si>
  <si>
    <t>D-697</t>
  </si>
  <si>
    <t>D-825</t>
  </si>
  <si>
    <t>D-845</t>
  </si>
  <si>
    <t>D-863</t>
  </si>
  <si>
    <t>D-821</t>
  </si>
  <si>
    <t>D-468</t>
  </si>
  <si>
    <t>D-467</t>
  </si>
  <si>
    <t>D-485</t>
  </si>
  <si>
    <t>D-469</t>
  </si>
  <si>
    <t>D-736</t>
  </si>
  <si>
    <t>D-104</t>
  </si>
  <si>
    <t>D-103</t>
  </si>
  <si>
    <t>D-108</t>
  </si>
  <si>
    <t>D-107</t>
  </si>
  <si>
    <t>D-110</t>
  </si>
  <si>
    <t>D-109</t>
  </si>
  <si>
    <t>D-112</t>
  </si>
  <si>
    <t>D-111</t>
  </si>
  <si>
    <t>D-693</t>
  </si>
  <si>
    <t>D-876</t>
  </si>
  <si>
    <t>D-714</t>
  </si>
  <si>
    <t>D-713</t>
  </si>
  <si>
    <t>D-712</t>
  </si>
  <si>
    <t>D-711</t>
  </si>
  <si>
    <t>D-728</t>
  </si>
  <si>
    <t>D-727</t>
  </si>
  <si>
    <t>D-730</t>
  </si>
  <si>
    <t>D-729</t>
  </si>
  <si>
    <t>D-732</t>
  </si>
  <si>
    <t>D-731</t>
  </si>
  <si>
    <t>D-724</t>
  </si>
  <si>
    <t>D-723</t>
  </si>
  <si>
    <t>D-716</t>
  </si>
  <si>
    <t>D-715</t>
  </si>
  <si>
    <t>D-726</t>
  </si>
  <si>
    <t>D-725</t>
  </si>
  <si>
    <t>D-718</t>
  </si>
  <si>
    <t>D-717</t>
  </si>
  <si>
    <t>D-651</t>
  </si>
  <si>
    <t>D-681</t>
  </si>
  <si>
    <t>D-CTL</t>
  </si>
  <si>
    <t>D-CTQ</t>
  </si>
  <si>
    <t>D-CTK</t>
  </si>
  <si>
    <t>D-CTP</t>
  </si>
  <si>
    <t>D-CTJ</t>
  </si>
  <si>
    <t>D-875</t>
  </si>
  <si>
    <t>D-690</t>
  </si>
  <si>
    <t>D-673</t>
  </si>
  <si>
    <t>D-674</t>
  </si>
  <si>
    <t>D-672</t>
  </si>
  <si>
    <t>D-679</t>
  </si>
  <si>
    <t>D-676</t>
  </si>
  <si>
    <t>D-677</t>
  </si>
  <si>
    <t>D-678</t>
  </si>
  <si>
    <t>D-671</t>
  </si>
  <si>
    <t>D-675</t>
  </si>
  <si>
    <t>D-670</t>
  </si>
  <si>
    <t>D-669</t>
  </si>
  <si>
    <t>D-733</t>
  </si>
  <si>
    <t>D-700</t>
  </si>
  <si>
    <t>D-616</t>
  </si>
  <si>
    <t>D-635</t>
  </si>
  <si>
    <t>D-102</t>
  </si>
  <si>
    <t>D-699</t>
  </si>
  <si>
    <t>D-613</t>
  </si>
  <si>
    <t>D-CUO</t>
  </si>
  <si>
    <t>D-CUP</t>
  </si>
  <si>
    <t>D-CUR</t>
  </si>
  <si>
    <t>D-CUS</t>
  </si>
  <si>
    <t>D-CUT</t>
  </si>
  <si>
    <t>D-CUU</t>
  </si>
  <si>
    <t>D-709</t>
  </si>
  <si>
    <t>D-113</t>
  </si>
  <si>
    <t>D-118</t>
  </si>
  <si>
    <t>D-704</t>
  </si>
  <si>
    <t>D-610</t>
  </si>
  <si>
    <t>D-116</t>
  </si>
  <si>
    <t>D-683</t>
  </si>
  <si>
    <t>D-702</t>
  </si>
  <si>
    <t>D-117</t>
  </si>
  <si>
    <t>D-684</t>
  </si>
  <si>
    <t>D-703</t>
  </si>
  <si>
    <t>D-626</t>
  </si>
  <si>
    <t>Additional Handling Charge - D</t>
  </si>
  <si>
    <t>SDOC Pickup-Automated Commerci</t>
  </si>
  <si>
    <t xml:space="preserve">Home Delivery Evening Service </t>
  </si>
  <si>
    <t>NDOC Alt Addr Residential wkly</t>
  </si>
  <si>
    <t>Home Del  DAS Extended Residen</t>
  </si>
  <si>
    <t>FG DAS Extended Residential Ca</t>
  </si>
  <si>
    <t>Cash C.O.D. High Intensity Cha</t>
  </si>
  <si>
    <t>NDOC Pickup-Automated Commerci</t>
  </si>
  <si>
    <t>NextDayOnCall Weekly Pickup Fe</t>
  </si>
  <si>
    <t>FG DAS Intra-Hawaii Residentia</t>
  </si>
  <si>
    <t>SDOC Alt Addr Pickup-Automated</t>
  </si>
  <si>
    <t>Third Party Consignee</t>
  </si>
  <si>
    <t>FE DAS Intra-Hawaii Residentia</t>
  </si>
  <si>
    <t>Delivery Area Surcharge-Commer</t>
  </si>
  <si>
    <t>DRY ICE/GEL PAK</t>
  </si>
  <si>
    <t>Home Del  DAS Hawaii Residenti</t>
  </si>
  <si>
    <t>NDOC Alt Addr Pickup-Automated</t>
  </si>
  <si>
    <t>FE DAS Extended Residential Ca</t>
  </si>
  <si>
    <t>NDOC Alt Addr Pickup-Cust Serv</t>
  </si>
  <si>
    <t>SDOC Alt Addr Pickup-Cust Serv</t>
  </si>
  <si>
    <t xml:space="preserve">FedEx Ground Home Delivery of </t>
  </si>
  <si>
    <t>NDOC Pickup-Automated Resident</t>
  </si>
  <si>
    <t>Additional Handling - Weight (</t>
  </si>
  <si>
    <t>OFS/F2 Heavy Weight Delivery R</t>
  </si>
  <si>
    <t>Home Del  DAS Alaska Residenti</t>
  </si>
  <si>
    <t>Home Delivery Residential Deli</t>
  </si>
  <si>
    <t>Remote Rural-Labrador &lt; = 70 l</t>
  </si>
  <si>
    <t xml:space="preserve">Additional Handling Surcharge </t>
  </si>
  <si>
    <t>Home Del  DAS Intra-Hawaii Res</t>
  </si>
  <si>
    <t>Home Delivery Signature Servic</t>
  </si>
  <si>
    <t>SDOC Pickup-Cust Serv Resident</t>
  </si>
  <si>
    <t>FedEx Ground Home Delivery For</t>
  </si>
  <si>
    <t>Invalid Third Party Account Nu</t>
  </si>
  <si>
    <t xml:space="preserve">SDOC Alt Addr Commercial wkly </t>
  </si>
  <si>
    <t>Home Delivery Residential Rura</t>
  </si>
  <si>
    <t>SDOC Pickup-Cust Serv Commerci</t>
  </si>
  <si>
    <t>Home Delivery Date Certain Ser</t>
  </si>
  <si>
    <t>OFS/F2 Heavy Weight Inside Pic</t>
  </si>
  <si>
    <t>Remote Rural-Alaska &lt; = 70 lbs</t>
  </si>
  <si>
    <t>Domestic Priority Alert Plus F</t>
  </si>
  <si>
    <t>SDOC Alt Addr Residential wkly</t>
  </si>
  <si>
    <t>FedEx Ground Home Delivery C.O</t>
  </si>
  <si>
    <t>SDOC Pickup-Automated Resident</t>
  </si>
  <si>
    <t>Cash C.O.D. Extra Differnce Ch</t>
  </si>
  <si>
    <t>NDOC Pickup-Cust Serv Commerci</t>
  </si>
  <si>
    <t>Remote Rural-Canada-Zone 6 &gt; 1</t>
  </si>
  <si>
    <t>Appointment Delivery Fee</t>
  </si>
  <si>
    <t>Non entered account number cha</t>
  </si>
  <si>
    <t>OFS/F2 Heavy Weight Inside Del</t>
  </si>
  <si>
    <t>Fully Regulated Dangerous Good</t>
  </si>
  <si>
    <t>SameDayOnCall Weekly Pickup Fe</t>
  </si>
  <si>
    <t xml:space="preserve">NDOC Alt Addr Commercial wkly </t>
  </si>
  <si>
    <t>Home Delivery Appointment Deli</t>
  </si>
  <si>
    <t>NDOC Pickup-Cust Serv Resident</t>
  </si>
  <si>
    <t>Unauthorized Oversize Surcharg</t>
  </si>
  <si>
    <t>I-691</t>
  </si>
  <si>
    <t>I-862</t>
  </si>
  <si>
    <t>I-719</t>
  </si>
  <si>
    <t>I-649</t>
  </si>
  <si>
    <t>I-858</t>
  </si>
  <si>
    <t>I-320</t>
  </si>
  <si>
    <t>I-613</t>
  </si>
  <si>
    <t>I-611</t>
  </si>
  <si>
    <t>I-827</t>
  </si>
  <si>
    <t>I-853</t>
  </si>
  <si>
    <t>I-716</t>
  </si>
  <si>
    <t>I-864</t>
  </si>
  <si>
    <t>I-849</t>
  </si>
  <si>
    <t>I-618</t>
  </si>
  <si>
    <t>I-723</t>
  </si>
  <si>
    <t>I-863</t>
  </si>
  <si>
    <t>I-713</t>
  </si>
  <si>
    <t>I-860</t>
  </si>
  <si>
    <t>I-301</t>
  </si>
  <si>
    <t>I-369</t>
  </si>
  <si>
    <t>I-727</t>
  </si>
  <si>
    <t>I-876</t>
  </si>
  <si>
    <t>I-CTJ</t>
  </si>
  <si>
    <t>I-348</t>
  </si>
  <si>
    <t>I-704</t>
  </si>
  <si>
    <t>I-352</t>
  </si>
  <si>
    <t>I-625</t>
  </si>
  <si>
    <t>I-705</t>
  </si>
  <si>
    <t>I-678</t>
  </si>
  <si>
    <t>I-844</t>
  </si>
  <si>
    <t>I-635</t>
  </si>
  <si>
    <t>I-841</t>
  </si>
  <si>
    <t>I-671</t>
  </si>
  <si>
    <t>I-335</t>
  </si>
  <si>
    <t>I-645</t>
  </si>
  <si>
    <t>I-CVD</t>
  </si>
  <si>
    <t>I-703</t>
  </si>
  <si>
    <t>I-683</t>
  </si>
  <si>
    <t>I-680</t>
  </si>
  <si>
    <t>I-631</t>
  </si>
  <si>
    <t>I-634</t>
  </si>
  <si>
    <t>I-676</t>
  </si>
  <si>
    <t>I-357</t>
  </si>
  <si>
    <t>I-824</t>
  </si>
  <si>
    <t>I-319</t>
  </si>
  <si>
    <t>I-383</t>
  </si>
  <si>
    <t>I-273</t>
  </si>
  <si>
    <t>I-823</t>
  </si>
  <si>
    <t>I-868</t>
  </si>
  <si>
    <t>I-731</t>
  </si>
  <si>
    <t>I-843</t>
  </si>
  <si>
    <t>I-307</t>
  </si>
  <si>
    <t>I-701</t>
  </si>
  <si>
    <t>I-829</t>
  </si>
  <si>
    <t>I-837</t>
  </si>
  <si>
    <t>I-637</t>
  </si>
  <si>
    <t>I-709</t>
  </si>
  <si>
    <t>I-733</t>
  </si>
  <si>
    <t>I-836</t>
  </si>
  <si>
    <t>I-859</t>
  </si>
  <si>
    <t>I-382</t>
  </si>
  <si>
    <t>I-675</t>
  </si>
  <si>
    <t>I-700</t>
  </si>
  <si>
    <t>I-728</t>
  </si>
  <si>
    <t>I-624</t>
  </si>
  <si>
    <t>I-838</t>
  </si>
  <si>
    <t>I-361</t>
  </si>
  <si>
    <t>I-722</t>
  </si>
  <si>
    <t>I-834</t>
  </si>
  <si>
    <t>I-385</t>
  </si>
  <si>
    <t>I-692</t>
  </si>
  <si>
    <t>I-730</t>
  </si>
  <si>
    <t>I-687</t>
  </si>
  <si>
    <t>I-333</t>
  </si>
  <si>
    <t>I-669</t>
  </si>
  <si>
    <t>I-866</t>
  </si>
  <si>
    <t>I-626</t>
  </si>
  <si>
    <t>I-392</t>
  </si>
  <si>
    <t>I-839</t>
  </si>
  <si>
    <t>I-615</t>
  </si>
  <si>
    <t>I-856</t>
  </si>
  <si>
    <t>I-865</t>
  </si>
  <si>
    <t>I-620</t>
  </si>
  <si>
    <t>I-393</t>
  </si>
  <si>
    <t>I-670</t>
  </si>
  <si>
    <t>I-630</t>
  </si>
  <si>
    <t>I-CTM</t>
  </si>
  <si>
    <t>I-711</t>
  </si>
  <si>
    <t>I-867</t>
  </si>
  <si>
    <t>I-607</t>
  </si>
  <si>
    <t>I-871</t>
  </si>
  <si>
    <t>I-610</t>
  </si>
  <si>
    <t>I-349</t>
  </si>
  <si>
    <t>I-835</t>
  </si>
  <si>
    <t>I-720</t>
  </si>
  <si>
    <t>I-685</t>
  </si>
  <si>
    <t>I-396</t>
  </si>
  <si>
    <t>I-416</t>
  </si>
  <si>
    <t>I-840</t>
  </si>
  <si>
    <t>I-617</t>
  </si>
  <si>
    <t>I-633</t>
  </si>
  <si>
    <t>I-850</t>
  </si>
  <si>
    <t>I-686</t>
  </si>
  <si>
    <t>I-846</t>
  </si>
  <si>
    <t>I-684</t>
  </si>
  <si>
    <t>I-370</t>
  </si>
  <si>
    <t>I-715</t>
  </si>
  <si>
    <t>I-672</t>
  </si>
  <si>
    <t>I-394</t>
  </si>
  <si>
    <t>I-830</t>
  </si>
  <si>
    <t>I-826</t>
  </si>
  <si>
    <t>I-616</t>
  </si>
  <si>
    <t>I-833</t>
  </si>
  <si>
    <t>I-322</t>
  </si>
  <si>
    <t>I-822</t>
  </si>
  <si>
    <t>I-707</t>
  </si>
  <si>
    <t>I-732</t>
  </si>
  <si>
    <t>I-351</t>
  </si>
  <si>
    <t>I-854</t>
  </si>
  <si>
    <t>I-842</t>
  </si>
  <si>
    <t>I-398</t>
  </si>
  <si>
    <t>I-614</t>
  </si>
  <si>
    <t>I-721</t>
  </si>
  <si>
    <t>I-647</t>
  </si>
  <si>
    <t>I-857</t>
  </si>
  <si>
    <t>I-353</t>
  </si>
  <si>
    <t>I-363</t>
  </si>
  <si>
    <t>I-391</t>
  </si>
  <si>
    <t>I-636</t>
  </si>
  <si>
    <t>I-861</t>
  </si>
  <si>
    <t>I-870</t>
  </si>
  <si>
    <t>I-628</t>
  </si>
  <si>
    <t>I-828</t>
  </si>
  <si>
    <t>I-673</t>
  </si>
  <si>
    <t>I-621</t>
  </si>
  <si>
    <t>I-710</t>
  </si>
  <si>
    <t>I-395</t>
  </si>
  <si>
    <t>I-825</t>
  </si>
  <si>
    <t>I-875</t>
  </si>
  <si>
    <t>I-BOH</t>
  </si>
  <si>
    <t>I-714</t>
  </si>
  <si>
    <t>I-627</t>
  </si>
  <si>
    <t>I-661</t>
  </si>
  <si>
    <t>I-726</t>
  </si>
  <si>
    <t>I-718</t>
  </si>
  <si>
    <t>I-729</t>
  </si>
  <si>
    <t>I-619</t>
  </si>
  <si>
    <t>I-390</t>
  </si>
  <si>
    <t>I-725</t>
  </si>
  <si>
    <t>I-651</t>
  </si>
  <si>
    <t>I-388</t>
  </si>
  <si>
    <t>I-679</t>
  </si>
  <si>
    <t>I-BOG</t>
  </si>
  <si>
    <t>I-851</t>
  </si>
  <si>
    <t>I-845</t>
  </si>
  <si>
    <t>I-874</t>
  </si>
  <si>
    <t>I-399</t>
  </si>
  <si>
    <t>I-832</t>
  </si>
  <si>
    <t>I-360</t>
  </si>
  <si>
    <t>I-706</t>
  </si>
  <si>
    <t>I-306</t>
  </si>
  <si>
    <t>I-330</t>
  </si>
  <si>
    <t>I-321</t>
  </si>
  <si>
    <t>I-317</t>
  </si>
  <si>
    <t>I-CTL</t>
  </si>
  <si>
    <t>I-344</t>
  </si>
  <si>
    <t>I-831</t>
  </si>
  <si>
    <t>I-309</t>
  </si>
  <si>
    <t>I-387</t>
  </si>
  <si>
    <t>I-331</t>
  </si>
  <si>
    <t>I-374</t>
  </si>
  <si>
    <t>I-367</t>
  </si>
  <si>
    <t>I-708</t>
  </si>
  <si>
    <t>I-855</t>
  </si>
  <si>
    <t>I-702</t>
  </si>
  <si>
    <t>I-712</t>
  </si>
  <si>
    <t>I-848</t>
  </si>
  <si>
    <t>I-717</t>
  </si>
  <si>
    <t>I-852</t>
  </si>
  <si>
    <t>I-869</t>
  </si>
  <si>
    <t>I-608</t>
  </si>
  <si>
    <t>I-389</t>
  </si>
  <si>
    <t>I-368</t>
  </si>
  <si>
    <t>I-674</t>
  </si>
  <si>
    <t>I-648</t>
  </si>
  <si>
    <t>I-724</t>
  </si>
  <si>
    <t>I-847</t>
  </si>
  <si>
    <t>I-632</t>
  </si>
  <si>
    <t>I-CTP</t>
  </si>
  <si>
    <t>I-681</t>
  </si>
  <si>
    <t>Delivery Manager</t>
  </si>
  <si>
    <t>Out-of-Area Surcharges</t>
  </si>
  <si>
    <t>Broker Select Option</t>
  </si>
  <si>
    <t>Payer Rebilling</t>
  </si>
  <si>
    <t>RR - Canada-Zone 6-4</t>
  </si>
  <si>
    <t>D-018</t>
  </si>
  <si>
    <t>D-019</t>
  </si>
  <si>
    <t>D-020</t>
  </si>
  <si>
    <t>D-021</t>
  </si>
  <si>
    <t>D-023</t>
  </si>
  <si>
    <t>D-032</t>
  </si>
  <si>
    <t>D-033</t>
  </si>
  <si>
    <t>D-034</t>
  </si>
  <si>
    <t>D-035</t>
  </si>
  <si>
    <t>D-037</t>
  </si>
  <si>
    <t>D-038</t>
  </si>
  <si>
    <t>D-009</t>
  </si>
  <si>
    <t>D-092</t>
  </si>
  <si>
    <t>D-089</t>
  </si>
  <si>
    <t>D-086</t>
  </si>
  <si>
    <t>D-085</t>
  </si>
  <si>
    <t>D-006</t>
  </si>
  <si>
    <t>D-049</t>
  </si>
  <si>
    <t>D-047</t>
  </si>
  <si>
    <t>D-045</t>
  </si>
  <si>
    <t>D-044</t>
  </si>
  <si>
    <t>Table SC Name</t>
  </si>
  <si>
    <t>DG - Accessible</t>
  </si>
  <si>
    <t>DG - Inaccessible</t>
  </si>
  <si>
    <t>DG - Dry Ice</t>
  </si>
  <si>
    <t>GR - Residential</t>
  </si>
  <si>
    <t>HD - Residential</t>
  </si>
  <si>
    <t>DAS - HD Residential</t>
  </si>
  <si>
    <t>DAS - HD Extended Residential</t>
  </si>
  <si>
    <t>Convenient Delivery Options</t>
  </si>
  <si>
    <t>Unauthorized Package</t>
  </si>
  <si>
    <t>Ground Parcel Surcharges</t>
  </si>
  <si>
    <t>Express Domestic Parcel Surcharges</t>
  </si>
  <si>
    <t>per lb.</t>
  </si>
  <si>
    <t>per unit</t>
  </si>
  <si>
    <t>Express Domestic Freight Surcharges</t>
  </si>
  <si>
    <t>Extended Service Area Delivery</t>
  </si>
  <si>
    <t>Extra Services</t>
  </si>
  <si>
    <t>Extended Service Area Pickup</t>
  </si>
  <si>
    <t>Metro Service Area Delivery</t>
  </si>
  <si>
    <t>Metro Service Area Pickup</t>
  </si>
  <si>
    <t>Residential Pickup</t>
  </si>
  <si>
    <t>I-334</t>
  </si>
  <si>
    <t>OFS/F2 Heavy Weight Extra Labo</t>
  </si>
  <si>
    <t>OFS/F2 Heavy Weight Extra Labor</t>
  </si>
  <si>
    <t>I-332</t>
  </si>
  <si>
    <t>OFS/F2 Heavy Weight Residentia</t>
  </si>
  <si>
    <t>I-365</t>
  </si>
  <si>
    <t>OFS/F2 Heavy Weight Residential Pickup</t>
  </si>
  <si>
    <t>D-036</t>
  </si>
  <si>
    <t>D-039</t>
  </si>
  <si>
    <t>C.O.D.</t>
  </si>
  <si>
    <t>C.O.D. - Electronic</t>
  </si>
  <si>
    <t>Weekly Charge - 48 hours</t>
  </si>
  <si>
    <t>C.O.D. -  Cash</t>
  </si>
  <si>
    <t>Weekly Charge - 24 hours</t>
  </si>
  <si>
    <t>(All)</t>
  </si>
  <si>
    <t>Count</t>
  </si>
  <si>
    <t>Invoiced Charge</t>
  </si>
  <si>
    <t>Updates &amp; Notes</t>
  </si>
  <si>
    <t>Date</t>
  </si>
  <si>
    <t>Tool Name/Version</t>
  </si>
  <si>
    <t>Updated By</t>
  </si>
  <si>
    <t>Updates/Changes made</t>
  </si>
  <si>
    <t>Peter Baschnagel</t>
  </si>
  <si>
    <t>Row Labels</t>
  </si>
  <si>
    <t>Grand Total</t>
  </si>
  <si>
    <t>By Zone Surcharges</t>
  </si>
  <si>
    <t>Express AHS - Dimensions</t>
  </si>
  <si>
    <t>Zone 2</t>
  </si>
  <si>
    <t>Zones 5-6</t>
  </si>
  <si>
    <t>Express AHS - Weight</t>
  </si>
  <si>
    <t>Express AHS - Packaging</t>
  </si>
  <si>
    <t>Ground AHS - Dimensions</t>
  </si>
  <si>
    <t>Ground AHS - Weight</t>
  </si>
  <si>
    <t>Ground AHS - Packaging</t>
  </si>
  <si>
    <t xml:space="preserve">Oversize - Express </t>
  </si>
  <si>
    <t>Oversize - Ground</t>
  </si>
  <si>
    <t>Oversize - Home Delivery</t>
  </si>
  <si>
    <t>Reroute of Shipment</t>
  </si>
  <si>
    <t>Express International Parcel Surcharges</t>
  </si>
  <si>
    <t>Alternate Address Pickup Fee</t>
  </si>
  <si>
    <t>Zones 3-4</t>
  </si>
  <si>
    <t>Zones 7+</t>
  </si>
  <si>
    <t>Zone</t>
  </si>
  <si>
    <t>Ground Eco</t>
  </si>
  <si>
    <t>Include:</t>
  </si>
  <si>
    <t>Ground Economy</t>
  </si>
  <si>
    <t xml:space="preserve">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This information is being provided to the customer for the exclusive use and benefit of the customer and is provided subject to terms of our mutual confidentiality agreement.  The information may not be shared with any third party without FedEx’s written consent.  This information cannot be used to file claims or request refunds or invoice adjustments.  </t>
  </si>
  <si>
    <t>Ground Economy Surcharges</t>
  </si>
  <si>
    <t>Delivery and Returns</t>
  </si>
  <si>
    <t>WHERE Surcharge_Code IN ('D-002','D-003','D-004','D-005','D-006','D-008','D-009','D-010','D-018','D-019','D-020','D-021','D-023','D-024','D-027','D-028','D-032','D-033','D-034','D-035','D-037','D-038','D-043','D-044','D-045','D-047','D-049','D-050','D-060','D-085','D-086','D-087','D-088','D-089','D-090','D-091','D-092','D-093','D-100','D-101','D-102','D-103','D-104','D-105','D-106','D-107','D-108','D-109','D-110','D-111','D-112','D-113','D-114','D-115','D-116','D-117','D-118','D-119','D-120','D-376','D-467','D-468','D-469','D-485','D-603','D-607','D-608','D-610','D-611','D-612','D-613','D-614','D-615','D-616','D-617','D-618','D-619','D-620','D-621','D-624','D-625','D-626','D-627','D-628','D-630','D-631','D-632','D-633','D-634','D-635','D-636','D-637','D-645','D-647','D-648','D-649','D-650','D-651','D-652','D-661','D-669','D-670','D-671','D-672','D-673','D-674','D-675','D-676','D-677','D-678','D-679','D-680','D-681','D-683','D-684','D-685','D-687','D-690','D-693','D-694','D-697','D-698','D-699','D-700','D-701','D-702','D-703','D-704','D-705','D-706','D-707','D-708','D-709','D-710','D-711','D-712','D-713','D-714','D-715','D-716','D-717','D-718','D-719','D-720','D-721','D-722','D-723','D-724','D-725','D-726','D-727','D-728','D-729','D-730','D-731','D-732','D-733','D-736','D-820','D-821','D-822','D-823','D-824','D-825','D-826','D-827','D-828','D-829','D-830','D-831','D-832','D-833','D-834','D-835','D-836','D-837','D-838','D-839','D-840','D-841','D-842','D-843','D-844','D-845','D-846','D-847','D-848','D-849','D-850','D-851','D-852','D-853','D-854','D-855','D-856','D-857','D-858','D-859','D-860','D-861','D-862','D-863','D-864','D-865','D-866','D-867','D-868','D-869','D-870','D-871','D-874','D-875','D-876','D-910','D-913','D-914','D-915','D-916','D-917','D-918','D-924','D-950','D-951','D-952','D-953','D-954','D-955','D-956','D-957','D-958','D-959','D-960','D-961','D-962','D-963','D-964','D-965','D-966','D-967','D-968','D-969','D-970','D-971','D-972','D-973','D-974','D-BOG','D-CTJ','D-CTK','D-CTL','D-CTM','D-CTP','D-CTQ','D-CUO','D-CUP','D-CUR','D-CUS','D-CUT','D-CUU','D-CVD','I-273','I-301','I-302','I-303','I-304','I-305','I-306','I-307','I-309','I-310','I-313','I-317','I-318','I-319','I-320','I-321','I-322','I-330','I-331','I-333','I-335','I-336','I-344','I-348','I-349','I-350','I-351','I-352','I-353','I-357','I-360','I-361','I-363','I-367','I-368','I-369','I-370','I-374','I-376','I-382','I-383','I-384','I-385','I-386','I-387','I-388','I-389','I-390','I-391','I-392','I-393','I-394','I-395','I-396','I-398','I-399','I-416','I-603','I-607','I-608','I-610','I-611','I-612','I-613','I-614','I-615','I-616','I-617','I-618','I-619','I-620','I-621','I-624','I-625','I-626','I-627','I-628','I-630','I-631','I-632','I-633','I-634','I-635','I-636','I-637','I-645','I-647','I-648','I-649','I-650','I-651','I-652','I-661','I-669','I-670','I-671','I-672','I-673','I-674','I-675','I-676','I-677','I-678','I-679','I-680','I-681','I-683','I-684','I-685','I-686','I-687','I-691','I-692','I-700','I-701','I-702','I-703','I-704','I-705','I-706','I-707','I-708','I-709','I-710','I-711','I-712','I-713','I-714','I-715','I-716','I-717','I-718','I-719','I-720','I-721','I-722','I-723','I-724','I-725','I-726','I-727','I-728','I-729','I-730','I-731','I-732','I-733','I-822','I-823','I-824','I-825','I-826','I-827','I-828','I-829','I-830','I-831','I-832','I-833','I-834','I-835','I-836','I-837','I-838','I-839','I-840','I-841','I-842','I-843','I-844','I-845','I-846','I-847','I-848','I-849','I-850','I-851','I-852','I-853','I-854','I-855','I-856','I-857','I-858','I-859','I-860','I-861','I-862','I-863','I-864','I-865','I-866','I-867','I-868','I-869','I-870','I-871','I-874','I-875','I-876','I-BOG','I-BOH','I-CTJ','I-CTL','I-CTM','I-CTP','I-CVD','I-EDV','I-GDV','I-334','D-039','I-332','I-365','D-036')</t>
  </si>
  <si>
    <t>Domestic</t>
  </si>
  <si>
    <t>US Domestic</t>
  </si>
  <si>
    <t>International - AHS Dimensions</t>
  </si>
  <si>
    <t>International - AHS Weight</t>
  </si>
  <si>
    <t>International - AHS Packaging</t>
  </si>
  <si>
    <t>DAS - Remote Commercial</t>
  </si>
  <si>
    <t>DAS - Remote Residential</t>
  </si>
  <si>
    <t>International</t>
  </si>
  <si>
    <t>Express International Freight Surcharges</t>
  </si>
  <si>
    <t>Out-of-Delivery-Area Surcharges</t>
  </si>
  <si>
    <t>Out-of-Delivery-Area Tier A</t>
  </si>
  <si>
    <t>Out-of-Delivery-Area Tier B</t>
  </si>
  <si>
    <t>Out-of-Delivery-Area Tier C</t>
  </si>
  <si>
    <t>Out-of-Pickup-Area Surcharges</t>
  </si>
  <si>
    <t>Out-of-Pickup-Area Tier A</t>
  </si>
  <si>
    <t>Out-of-Pickup-Area Tier B</t>
  </si>
  <si>
    <t>Out-of-Pickup-Area Tier C</t>
  </si>
  <si>
    <t xml:space="preserve"> UNION ALL </t>
  </si>
  <si>
    <t>I-CXV</t>
  </si>
  <si>
    <t>Additional Handling - Non-conv</t>
  </si>
  <si>
    <t>D-CXV</t>
  </si>
  <si>
    <t>Additional Handling - Non-conveyable</t>
  </si>
  <si>
    <t>Signature Surcharges</t>
  </si>
  <si>
    <t>Collect on Delivery (COD) Fee</t>
  </si>
  <si>
    <t>CDO - Reroute - Local</t>
  </si>
  <si>
    <t>CDO - Reroute - NonLocal - Deferred</t>
  </si>
  <si>
    <t>CDO - Reroute - NonLocal - Expedited</t>
  </si>
  <si>
    <t>Electronic COD - 24 Hours</t>
  </si>
  <si>
    <t>Electronic COD - 48 Hours</t>
  </si>
  <si>
    <t>I-910</t>
  </si>
  <si>
    <t>Extended Service Area Charges</t>
  </si>
  <si>
    <t>Inaccessible Dangerous Goods</t>
  </si>
  <si>
    <t>I-911</t>
  </si>
  <si>
    <t>Limited Quantity Dangerous Goo</t>
  </si>
  <si>
    <t>I-DBS</t>
  </si>
  <si>
    <t>Out of Delivery Area - Commerc</t>
  </si>
  <si>
    <t>Out-of-Delivery-Area Commerical</t>
  </si>
  <si>
    <t>I-DBQ</t>
  </si>
  <si>
    <t>Out of Delivery Area - Remote</t>
  </si>
  <si>
    <t>Out-of-Delivery-Area Remote</t>
  </si>
  <si>
    <t>I-DBM</t>
  </si>
  <si>
    <t>Out of Delivery Area Tier A</t>
  </si>
  <si>
    <t>Out of Delivery Area Tier B</t>
  </si>
  <si>
    <t>I-DBO</t>
  </si>
  <si>
    <t>Out of Delivery Area Tier C</t>
  </si>
  <si>
    <t>I-DBR</t>
  </si>
  <si>
    <t>Out of Pickup Area - Commercia</t>
  </si>
  <si>
    <t>Out-of-Pickup-Area Commercial</t>
  </si>
  <si>
    <t>I-DBP</t>
  </si>
  <si>
    <t>Out of Pickup Area - Remote</t>
  </si>
  <si>
    <t>Out-of-Pickup-Area Remote</t>
  </si>
  <si>
    <t>I-DBL</t>
  </si>
  <si>
    <t>Out of Pickup Area Tier A</t>
  </si>
  <si>
    <t>Out of Pickup Area Tier B</t>
  </si>
  <si>
    <t>I-DBN</t>
  </si>
  <si>
    <t>Out of Pickup Area Tier C</t>
  </si>
  <si>
    <t>I-022</t>
  </si>
  <si>
    <t>Return Label - Email</t>
  </si>
  <si>
    <t>I-486</t>
  </si>
  <si>
    <t>Return Label - Printed</t>
  </si>
  <si>
    <t>I-487</t>
  </si>
  <si>
    <t>D-694</t>
  </si>
  <si>
    <t>Return Manager</t>
  </si>
  <si>
    <t>?</t>
  </si>
  <si>
    <t>Additional Handling Dimension</t>
  </si>
  <si>
    <t>AHS_DIM</t>
  </si>
  <si>
    <t>Additional Handling Weight</t>
  </si>
  <si>
    <t>AHS_WGT</t>
  </si>
  <si>
    <t>Address Correction 2 Rate</t>
  </si>
  <si>
    <t>ADDRCORR2</t>
  </si>
  <si>
    <t>Address Correction Rate</t>
  </si>
  <si>
    <t>ADDRCORR</t>
  </si>
  <si>
    <t>ADULT_SIGN</t>
  </si>
  <si>
    <t>AHS-PKG - Additional Handling Packaging Charge</t>
  </si>
  <si>
    <t>SPEC_PKG</t>
  </si>
  <si>
    <t>Alernate Address Pickup</t>
  </si>
  <si>
    <t>ALTADDR_PU</t>
  </si>
  <si>
    <t>Canada Remote Rural</t>
  </si>
  <si>
    <t>CANADA_DAS</t>
  </si>
  <si>
    <t>Cash On Delivery</t>
  </si>
  <si>
    <t>COD</t>
  </si>
  <si>
    <t>Charge for Oversized Packages</t>
  </si>
  <si>
    <t>OVERSIZED</t>
  </si>
  <si>
    <t>CONDOR  Home Specific Time</t>
  </si>
  <si>
    <t>CSPEC_TIME</t>
  </si>
  <si>
    <t xml:space="preserve">CONDOR Home Evening Chg </t>
  </si>
  <si>
    <t>CEVENING</t>
  </si>
  <si>
    <t>CONDOR Home Specific Date</t>
  </si>
  <si>
    <t>CSPEC_DATE</t>
  </si>
  <si>
    <t>CONDOR Reroute</t>
  </si>
  <si>
    <t>CREROUTE</t>
  </si>
  <si>
    <t>CONDOR Reroute Additional Trans</t>
  </si>
  <si>
    <t>CREROUTE_A</t>
  </si>
  <si>
    <t>Das Alaska Commercial</t>
  </si>
  <si>
    <t>Das Alaska Residential</t>
  </si>
  <si>
    <t>Das Commercial</t>
  </si>
  <si>
    <t>Das Extended Commercial</t>
  </si>
  <si>
    <t>Das Extended Residential</t>
  </si>
  <si>
    <t>Das Hawaii Commercial</t>
  </si>
  <si>
    <t>Das Hawaii Residential</t>
  </si>
  <si>
    <t>Das Intra-Hawaii Commercial</t>
  </si>
  <si>
    <t>Das Intra-Hawaii Residential</t>
  </si>
  <si>
    <t>Das Residential</t>
  </si>
  <si>
    <t>Declared Value Rate</t>
  </si>
  <si>
    <t>DECVAL</t>
  </si>
  <si>
    <t>DIR_SIGN</t>
  </si>
  <si>
    <t>Dom Accessible Dangerous Gds</t>
  </si>
  <si>
    <t>DOM Adult Signature Required</t>
  </si>
  <si>
    <t>Dom Dimension Ahs</t>
  </si>
  <si>
    <t>DOM Direct Signature Required</t>
  </si>
  <si>
    <t>Dom Freight Ahs</t>
  </si>
  <si>
    <t xml:space="preserve">DOM FRT AHS NON STACKABLE  </t>
  </si>
  <si>
    <t>Dom Frt Residential Delivery</t>
  </si>
  <si>
    <t>Dom Frt Residential Pick-Up</t>
  </si>
  <si>
    <t>Dom Inaccessible Dangerous Gds</t>
  </si>
  <si>
    <t>DOM Indirect Signature Required</t>
  </si>
  <si>
    <t xml:space="preserve">DOM ON DEMAND CARE           </t>
  </si>
  <si>
    <t>Dom On-Call</t>
  </si>
  <si>
    <t>Dom Packaging Ahs</t>
  </si>
  <si>
    <t xml:space="preserve">DOM PRIORITY ALERT PLUS      </t>
  </si>
  <si>
    <t>Dom Residential Delivery</t>
  </si>
  <si>
    <t>Dom Weight Ahs</t>
  </si>
  <si>
    <t>Domestic Dry Ice</t>
  </si>
  <si>
    <t>Domestic Email Return Label</t>
  </si>
  <si>
    <t>Electronic Call Tag Rate</t>
  </si>
  <si>
    <t>CALL_TAG_E</t>
  </si>
  <si>
    <t>Electronic COD within 24 hours Rate</t>
  </si>
  <si>
    <t>ECOD_24</t>
  </si>
  <si>
    <t>Electronic COD within 48 hours Rate</t>
  </si>
  <si>
    <t>ECOD_48</t>
  </si>
  <si>
    <t>Email Return Label</t>
  </si>
  <si>
    <t>NETR_XMIT</t>
  </si>
  <si>
    <t>Express Tag</t>
  </si>
  <si>
    <t>Freight H0 Delivery</t>
  </si>
  <si>
    <t>Freight H0 Pick-Up</t>
  </si>
  <si>
    <t>Freight H3 Delivery</t>
  </si>
  <si>
    <t>Freight H3 Pick-Up</t>
  </si>
  <si>
    <t>Freight H4 Delivery</t>
  </si>
  <si>
    <t>Freight H4 Pick-Up</t>
  </si>
  <si>
    <t>Freight H5 Delivery</t>
  </si>
  <si>
    <t>Freight H5 Pick-Up</t>
  </si>
  <si>
    <t>Freight H6 Delivery</t>
  </si>
  <si>
    <t>Freight H6 Pick-Up</t>
  </si>
  <si>
    <t>Freight H7 Delivery</t>
  </si>
  <si>
    <t>Freight H7 Pick-Up</t>
  </si>
  <si>
    <t>Frt Delivery Reattempt</t>
  </si>
  <si>
    <t>Frt Extra Labor</t>
  </si>
  <si>
    <t>Frt Inside Delivery</t>
  </si>
  <si>
    <t>Frt Inside Pick-Up</t>
  </si>
  <si>
    <t>Fuel Charge</t>
  </si>
  <si>
    <t>FUELCHG</t>
  </si>
  <si>
    <t>Ground DAS Alaska Commercial</t>
  </si>
  <si>
    <t>GRDCOM3</t>
  </si>
  <si>
    <t>Ground DAS Alaska Residential</t>
  </si>
  <si>
    <t>GRDRES3</t>
  </si>
  <si>
    <t>Ground DAS Commercial</t>
  </si>
  <si>
    <t>GRDCOM1</t>
  </si>
  <si>
    <t>Ground DAS Extended Commercial</t>
  </si>
  <si>
    <t>GRDCOM2</t>
  </si>
  <si>
    <t>Ground DAS Extended Residential</t>
  </si>
  <si>
    <t>GRDRES2</t>
  </si>
  <si>
    <t>Ground DAS Hawaii Commercial</t>
  </si>
  <si>
    <t>GRDCOM4</t>
  </si>
  <si>
    <t>Ground DAS Hawaii Residential</t>
  </si>
  <si>
    <t>GRDRES4</t>
  </si>
  <si>
    <t>Ground DAS Intra-Hawaii Commercial</t>
  </si>
  <si>
    <t>GRDCOM5</t>
  </si>
  <si>
    <t>Ground DAS Intra-Hawaii Residential</t>
  </si>
  <si>
    <t>GRDRES5</t>
  </si>
  <si>
    <t>Ground DAS Residential</t>
  </si>
  <si>
    <t>GRDRES1</t>
  </si>
  <si>
    <t>Hazardous Material Charge</t>
  </si>
  <si>
    <t>HAZMAT</t>
  </si>
  <si>
    <t>Home Delivery DAS Alaska Residential</t>
  </si>
  <si>
    <t>FHDRES3</t>
  </si>
  <si>
    <t>Home Delivery DAS Extended Residential</t>
  </si>
  <si>
    <t>FHDRES2</t>
  </si>
  <si>
    <t>Home Delivery DAS Hawaii Residential</t>
  </si>
  <si>
    <t>FHDRES4</t>
  </si>
  <si>
    <t>Home Delivery DAS Intra-Hawaii Residential</t>
  </si>
  <si>
    <t>FHDRES5</t>
  </si>
  <si>
    <t>Home Delivery DAS Residential</t>
  </si>
  <si>
    <t>FHDRES1</t>
  </si>
  <si>
    <t>Home Signature</t>
  </si>
  <si>
    <t>SIGNATURE</t>
  </si>
  <si>
    <t>Home Specific Date</t>
  </si>
  <si>
    <t>SPEC_DATE</t>
  </si>
  <si>
    <t>Home Specific Time</t>
  </si>
  <si>
    <t>SPEC_TIME</t>
  </si>
  <si>
    <t>Hwt Cap Das Alaska Comm</t>
  </si>
  <si>
    <t>Hwt Cap Das Alaska Resi</t>
  </si>
  <si>
    <t>Hwt Cap Das Hawaii Comm</t>
  </si>
  <si>
    <t>Hwt Cap Das Hawaii Resi</t>
  </si>
  <si>
    <t>Hwt Cap Das Intra-Hawaii Comm</t>
  </si>
  <si>
    <t>Hwt Cap Das Intra-Hawaii Resi</t>
  </si>
  <si>
    <t>Hwt Cap Das Residential</t>
  </si>
  <si>
    <t>Hwt Cap-Address Correction</t>
  </si>
  <si>
    <t>Hwt Cap-Adult Signature</t>
  </si>
  <si>
    <t>Hwt Cap-Direct Signature</t>
  </si>
  <si>
    <t>Hwt Cap-Indirect Signature</t>
  </si>
  <si>
    <t>INDIR_SIGN</t>
  </si>
  <si>
    <t>Label Non-compliance</t>
  </si>
  <si>
    <t>LBL_NONCOM</t>
  </si>
  <si>
    <t>Manual Call Tag Rate</t>
  </si>
  <si>
    <t>CALL_TAG_M</t>
  </si>
  <si>
    <t>MWT Ground DAS Alaska Commercial CAP</t>
  </si>
  <si>
    <t>GRDCOM3CAP</t>
  </si>
  <si>
    <t>MWT Ground DAS Alaska Residential CAP</t>
  </si>
  <si>
    <t>GRDRES3CAP</t>
  </si>
  <si>
    <t>MWT Ground DAS Commercial CAP</t>
  </si>
  <si>
    <t>GRDCOM1CAP</t>
  </si>
  <si>
    <t>MWT Ground DAS Extended Commercial CAP</t>
  </si>
  <si>
    <t>GRDCOM2CAP</t>
  </si>
  <si>
    <t>MWT Ground DAS Extended Residential CAP</t>
  </si>
  <si>
    <t>GRDRES2CAP</t>
  </si>
  <si>
    <t>MWT Ground DAS Hawaii Commercial CAP</t>
  </si>
  <si>
    <t>GRDCOM4CAP</t>
  </si>
  <si>
    <t>MWT Ground DAS Hawaii Residential CAP</t>
  </si>
  <si>
    <t>GRDRES4CAP</t>
  </si>
  <si>
    <t>MWT Ground DAS Intra-Hawaii Commercial CAP</t>
  </si>
  <si>
    <t>GRDCOM5CAP</t>
  </si>
  <si>
    <t>MWT Ground DAS Intra-Hawaii Residential Cap</t>
  </si>
  <si>
    <t>GRDRES5CAP</t>
  </si>
  <si>
    <t>MWT Ground DAS Residential CAP</t>
  </si>
  <si>
    <t>GRDRES1CAP</t>
  </si>
  <si>
    <t>MWT Home Delivery DAS Extended Residential CAP</t>
  </si>
  <si>
    <t>FHDRES2CAP</t>
  </si>
  <si>
    <t>MWT Home Delivery DAS Hawaii Residential CAP</t>
  </si>
  <si>
    <t>FHDRES4CAP</t>
  </si>
  <si>
    <t>MWT Home Delivery DAS Intra-Hawaii Residential CAP</t>
  </si>
  <si>
    <t>FHDRES5CAP</t>
  </si>
  <si>
    <t>MWT Home Delivery DAS Residential CAP</t>
  </si>
  <si>
    <t>FHDRES1CAP</t>
  </si>
  <si>
    <t>MWT Indirect Signature Cap</t>
  </si>
  <si>
    <t>MWTISIGCAP</t>
  </si>
  <si>
    <t>NDOC Alt Residential Pickup</t>
  </si>
  <si>
    <t>NDOCALTRES</t>
  </si>
  <si>
    <t>NDOC Commercial Auto</t>
  </si>
  <si>
    <t>NCOM_AUTO</t>
  </si>
  <si>
    <t>NDOC Commercial Call</t>
  </si>
  <si>
    <t>NCOM_CALL</t>
  </si>
  <si>
    <t>NDOC Residential Auto</t>
  </si>
  <si>
    <t>NRES_AUTO</t>
  </si>
  <si>
    <t>NDOC Residential Call</t>
  </si>
  <si>
    <t>NRES_CALL</t>
  </si>
  <si>
    <t>Non Machinable Option</t>
  </si>
  <si>
    <t>NMO</t>
  </si>
  <si>
    <t>Oversize</t>
  </si>
  <si>
    <t>Peak - Additional Handling Surcharge</t>
  </si>
  <si>
    <t>PEAKAHS</t>
  </si>
  <si>
    <t>Peak - Ground Unauthorized Package Charge</t>
  </si>
  <si>
    <t>PEAKUNAUTH</t>
  </si>
  <si>
    <t>PEAKOVR</t>
  </si>
  <si>
    <t>Peak - Residential Delivery Charge</t>
  </si>
  <si>
    <t>Peak â€“ Residential Delivery Charge</t>
  </si>
  <si>
    <t>PEAKRES2</t>
  </si>
  <si>
    <t>Printed Return Label</t>
  </si>
  <si>
    <t>Residential Charge</t>
  </si>
  <si>
    <t>RESIDENT</t>
  </si>
  <si>
    <t>Residential Rural Charge</t>
  </si>
  <si>
    <t>RES_RURAL</t>
  </si>
  <si>
    <t>Return  Manager Rate</t>
  </si>
  <si>
    <t>RTN_MGR</t>
  </si>
  <si>
    <t>Returns On-Call Pickup</t>
  </si>
  <si>
    <t>Saturday Pick-Up</t>
  </si>
  <si>
    <t>SDOC Alt Residential Pickup</t>
  </si>
  <si>
    <t>SDOCALTRES</t>
  </si>
  <si>
    <t>SDOC Commercial Auto</t>
  </si>
  <si>
    <t>SCOM_AUTO</t>
  </si>
  <si>
    <t>SDOC Commercial Call</t>
  </si>
  <si>
    <t>SCOM_CALL</t>
  </si>
  <si>
    <t>SDOC Residential Auto</t>
  </si>
  <si>
    <t>SRES_AUTO</t>
  </si>
  <si>
    <t>SDOC Residential Call</t>
  </si>
  <si>
    <t>SRES_CALL</t>
  </si>
  <si>
    <t>Sed Edi Request</t>
  </si>
  <si>
    <t>SmartPost DAS</t>
  </si>
  <si>
    <t>FXSPDAS1</t>
  </si>
  <si>
    <t>SmartPost DAS Alaska</t>
  </si>
  <si>
    <t>FXSPDAS3</t>
  </si>
  <si>
    <t>SmartPost DAS Extended</t>
  </si>
  <si>
    <t>FXSPDAS2</t>
  </si>
  <si>
    <t>SmartPost DAS Hawaii</t>
  </si>
  <si>
    <t>FXSPDAS4</t>
  </si>
  <si>
    <t>SmartPost DAS Intra Hawaii</t>
  </si>
  <si>
    <t>FXSPDAS5</t>
  </si>
  <si>
    <t>3RDPTY</t>
  </si>
  <si>
    <t xml:space="preserve">THIRD PARTY BILLING </t>
  </si>
  <si>
    <t>Unauthorized Over Rate</t>
  </si>
  <si>
    <t>UNAUTH_OVR</t>
  </si>
  <si>
    <t>Weekly Electronic COD within 24 hours Rate</t>
  </si>
  <si>
    <t>WK_ECOD_24</t>
  </si>
  <si>
    <t>Weekly Electronic COD within 48 hours Rate</t>
  </si>
  <si>
    <t>WK_ECOD_48</t>
  </si>
  <si>
    <t>Wkly Pickup T3 Com Less than $75 (&lt;$60 for CA)</t>
  </si>
  <si>
    <t>WP_T3_COMM</t>
  </si>
  <si>
    <t>Wkly Pickup T3 Res Less than $75 (&lt;$60 for CA)</t>
  </si>
  <si>
    <t>WP_T3_RES</t>
  </si>
  <si>
    <t>Service</t>
  </si>
  <si>
    <t>Ground DAS Remote Commercial</t>
  </si>
  <si>
    <t>Dom/Intl</t>
  </si>
  <si>
    <t>Invoice misc_resn_cd</t>
  </si>
  <si>
    <t>Invoice misc_resn_desc</t>
  </si>
  <si>
    <t>Pricing srchg_id</t>
  </si>
  <si>
    <t>Pricing srchg_cd</t>
  </si>
  <si>
    <t>Pricing srchg_nm</t>
  </si>
  <si>
    <t>Ground/GE</t>
  </si>
  <si>
    <t>D-DGD</t>
  </si>
  <si>
    <t>Peak Residential Delivery Charge</t>
  </si>
  <si>
    <t>D-644</t>
  </si>
  <si>
    <t>Weekly Service Charge</t>
  </si>
  <si>
    <t>Product</t>
  </si>
  <si>
    <t>Address Correction MWT</t>
  </si>
  <si>
    <t>HD DAS Remote Residential</t>
  </si>
  <si>
    <t>DAS - HD Remote Residential</t>
  </si>
  <si>
    <t>Ground Weekly Pickup Fee - Commercial</t>
  </si>
  <si>
    <t>Ground Weekly Pickup Fee - Residential</t>
  </si>
  <si>
    <t>DAS Remote Residential</t>
  </si>
  <si>
    <t>DAS Remote Commercial</t>
  </si>
  <si>
    <t>Surcharge ID</t>
  </si>
  <si>
    <t>Surcharge Code</t>
  </si>
  <si>
    <t>Surcharge Name</t>
  </si>
  <si>
    <t>Begin Date</t>
  </si>
  <si>
    <t>End Date</t>
  </si>
  <si>
    <t>SC Action Code</t>
  </si>
  <si>
    <t>Discount %</t>
  </si>
  <si>
    <t>Flat Rate</t>
  </si>
  <si>
    <t>216</t>
  </si>
  <si>
    <t>Intl Packaging Ahs</t>
  </si>
  <si>
    <t>218</t>
  </si>
  <si>
    <t>Intl Weight Ahs</t>
  </si>
  <si>
    <t>217</t>
  </si>
  <si>
    <t>Intl Dimension Ahs</t>
  </si>
  <si>
    <t>043</t>
  </si>
  <si>
    <t>Intl On-Call</t>
  </si>
  <si>
    <t>Sum of Discount %</t>
  </si>
  <si>
    <t xml:space="preserve">SELECT           
CASE WHEN bill.svc_bas_cd IN ('70', '84', '85', '86', '94') THEN 'Express Freight' 
ELSE 'Express' 
END AS OpCo,
CAST('International' AS VARCHAR(25)) AS Dom_Intl,
CASE
WHEN shp_st_cd = 'PR' OR recp_st_cd = 'PR' THEN OREPLACE(sbc.svc_intl_medium_nm,'FedEx ','')
WHEN shp_cntry = recp_cntry_cd THEN OREPLACE(sbc.svc_dom_medium_nm,'FedEx ','')
ELSE OREPLACE(sbc.svc_intl_medium_nm,'FedEx ','')
END AS Product_Name,  
'I-EDV' AS Surcharge_Code,
'Declared Value' AS surch_desc,  
ZEROIFNULL(bill.bill_to_ins * bill.exch_usd) AS misc_amt_usd,
'NA' AS _Zone,  
1 AS Occurrences
FROM  ui_ish_prod_db.billed_intl_express bill
LEFT JOIN ui_ish_prod_db.ads_service_base_code sbc ON bill.svc_bas_cd = sbc.svc_bas_cd
JOIN ui_ish_prod_db.customer cust ON cust.cust_nbr = payr_cust_nbr
JOIN customer_prod_view_db.cust_view_mgmt_hierarchy cht ON cht.cust_view_mgmt_type_cd = 'ACCT' AND cht.expr_tmstp &gt; current_timestamp AND contr_enti_view_flg = 'Y' AND cht.cust_acct_nbr = cust.cust_acct_nbr 
WHERE bill.bill_to_ins &gt;= 0  
AND  (bill.reb_resn = '' OR bill.reb_resn IS NULL) AND bill.invoice_date BETWEEN </t>
  </si>
  <si>
    <t>I-644</t>
  </si>
  <si>
    <t>150_PLUS</t>
  </si>
  <si>
    <t>Charge for 150lbs and More Packages</t>
  </si>
  <si>
    <t>DLV_CONF</t>
  </si>
  <si>
    <t>Delivery Confirmation</t>
  </si>
  <si>
    <t>EVENING</t>
  </si>
  <si>
    <t>Home Evening Chg</t>
  </si>
  <si>
    <t>DECVALMIN</t>
  </si>
  <si>
    <t>Minimum Declared Value Rate</t>
  </si>
  <si>
    <t>243</t>
  </si>
  <si>
    <t>International Email Return Label</t>
  </si>
  <si>
    <t>268</t>
  </si>
  <si>
    <t>Intl Oversize</t>
  </si>
  <si>
    <t>WP_T1_COMM</t>
  </si>
  <si>
    <t>Wkly Pickup T1 Com $75 or more ($60+ for CA)</t>
  </si>
  <si>
    <t>WP_T1_RES</t>
  </si>
  <si>
    <t>Wkly Pickup T1 Res $75 or more ($60+ for CA)</t>
  </si>
  <si>
    <t>Ground DAS Remote Residential</t>
  </si>
  <si>
    <t>PEAK</t>
  </si>
  <si>
    <t>Declared Value Minimum</t>
  </si>
  <si>
    <t>270</t>
  </si>
  <si>
    <t>005</t>
  </si>
  <si>
    <t>272</t>
  </si>
  <si>
    <t>271</t>
  </si>
  <si>
    <t>016</t>
  </si>
  <si>
    <t>273</t>
  </si>
  <si>
    <t>245</t>
  </si>
  <si>
    <t xml:space="preserve">INTL FRT AHS NON STACKABLE </t>
  </si>
  <si>
    <t>Connection Settings</t>
  </si>
  <si>
    <t>Express Category 1</t>
  </si>
  <si>
    <t>EAN</t>
  </si>
  <si>
    <t>Country</t>
  </si>
  <si>
    <t>Group</t>
  </si>
  <si>
    <t>Subgroup</t>
  </si>
  <si>
    <t>Timeframe for Historical Data</t>
  </si>
  <si>
    <t>Pricing Loaded</t>
  </si>
  <si>
    <t>Password?</t>
  </si>
  <si>
    <t>Start Date:</t>
  </si>
  <si>
    <t>End Date:</t>
  </si>
  <si>
    <t>Express Category 2</t>
  </si>
  <si>
    <t>Express Category 3</t>
  </si>
  <si>
    <t>Ground Category 3</t>
  </si>
  <si>
    <t>Ground Category 2</t>
  </si>
  <si>
    <t>Ground Category 1</t>
  </si>
  <si>
    <t>Cat1</t>
  </si>
  <si>
    <t>Cat2</t>
  </si>
  <si>
    <t>Cat3</t>
  </si>
  <si>
    <t>Historic Data Acct ID Build</t>
  </si>
  <si>
    <t xml:space="preserve"> AND level_cd = 'CTRY'  </t>
  </si>
  <si>
    <t xml:space="preserve"> AND level_cd = 'SGRP'  </t>
  </si>
  <si>
    <t xml:space="preserve"> AND level_cd = 'ACCT'  </t>
  </si>
  <si>
    <t xml:space="preserve"> cntry_enti_nbr = </t>
  </si>
  <si>
    <t xml:space="preserve"> grp_enti_nbr = </t>
  </si>
  <si>
    <t xml:space="preserve"> sbgrp_enti_nbr = </t>
  </si>
  <si>
    <t xml:space="preserve"> cust_acct_nbr = </t>
  </si>
  <si>
    <t xml:space="preserve">psgwa.cust_grp_id_nbr = </t>
  </si>
  <si>
    <t xml:space="preserve">cntry_enti_nbr = </t>
  </si>
  <si>
    <t xml:space="preserve"> AND level_cd = 'GRP'  </t>
  </si>
  <si>
    <t>Category 1</t>
  </si>
  <si>
    <t>CHT ID</t>
  </si>
  <si>
    <t>CHT Level</t>
  </si>
  <si>
    <t>Category</t>
  </si>
  <si>
    <t xml:space="preserve">Country
</t>
  </si>
  <si>
    <t>Countryr</t>
  </si>
  <si>
    <t>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t>
  </si>
  <si>
    <t>) Roll 
GROUP BY 1, 2, 3, 4, 5, 6, 7</t>
  </si>
  <si>
    <t>Declared Value Query (Not Used)</t>
  </si>
  <si>
    <t>Category 2</t>
  </si>
  <si>
    <t>Category 3</t>
  </si>
  <si>
    <t>GROUND BUILD</t>
  </si>
  <si>
    <t>EXPRESS BUILD</t>
  </si>
  <si>
    <t>Ground Discounts</t>
  </si>
  <si>
    <t>Express Discounts</t>
  </si>
  <si>
    <t>Date Range Code</t>
  </si>
  <si>
    <t>Gr Eco Query</t>
  </si>
  <si>
    <t>Ex Dom Query</t>
  </si>
  <si>
    <t>Ground Dom Query</t>
  </si>
  <si>
    <t>Gr Intl Query</t>
  </si>
  <si>
    <t>Ex Intl Query</t>
  </si>
  <si>
    <t>Ground -  Intl</t>
  </si>
  <si>
    <t>Ground -  Dom</t>
  </si>
  <si>
    <t xml:space="preserve"> 'Ground' AS OpCo, 
'International' AS Dom_Intl,
CASE                         
            WHEN  bill.svc_bas_cd IN ('92', '092') THEN 'International Ground'
            WHEN  bill.svc_bas_cd IN ('90', '090') THEN 'International Home Delivery'
            ELSE    'OTHER '||svc_bas_cd 
END AS Product_Name,
'I-GDV' AS Surcharge_Code,
'Declared Value' AS surch_desc,  
ZEROIFNULL(bill.bill_to_ins * bill.exch_usd) AS misc_amt_usd,
'NA' AS _Zone,
1 AS Occurrences
FROM  ui_ish_prod_db.billed_intl_ground bill
JOIN ui_ish_prod_db.customer cust ON cust.cust_nbr = payr_cust_nbr
JOIN customer_prod_view_db.cust_view_mgmt_hierarchy cht ON cht.cust_view_mgmt_type_cd = 'ACCT' AND cht.expr_tmstp &gt; current_timestamp AND contr_enti_view_flg = 'Y' AND cht.cust_acct_nbr = cust.cust_acct_nbr 
WHERE bill.bill_to_ins &gt;= 0 
AND  (bill.reb_resn = '' OR bill.reb_resn IS NULL) 
AND bill.invoice_date BETWEEN </t>
  </si>
  <si>
    <t>cvm.cust_acct_nbr =</t>
  </si>
  <si>
    <t>New Surcharge Pricing Template</t>
  </si>
  <si>
    <t>Created this new template which pulls in discount data</t>
  </si>
  <si>
    <t>NRCOMAUTO</t>
  </si>
  <si>
    <t>Next day Returns Com Auto</t>
  </si>
  <si>
    <t>NRCOMCALL</t>
  </si>
  <si>
    <t>Next day Returns Com Call</t>
  </si>
  <si>
    <t>Return Pickup - Next Day Call Comm</t>
  </si>
  <si>
    <t>NRRESAUTO</t>
  </si>
  <si>
    <t>Next day Returns Resi Auto</t>
  </si>
  <si>
    <t>Return Pickup - Next Day Auto Resi</t>
  </si>
  <si>
    <t>NRRESCALL</t>
  </si>
  <si>
    <t>Next day Returns Resi Call</t>
  </si>
  <si>
    <t>Return Pickup - Next Day Call Resi</t>
  </si>
  <si>
    <t>SRRESAUTO</t>
  </si>
  <si>
    <t>Same day Returns Resi Auto</t>
  </si>
  <si>
    <t>Return Pickup - Same Day Auto Resi</t>
  </si>
  <si>
    <t>SRRESCALL</t>
  </si>
  <si>
    <t>Same day Returns Resi Call</t>
  </si>
  <si>
    <t>Return Pickup - Same Day Call Resi</t>
  </si>
  <si>
    <t>SRCOMAUTO</t>
  </si>
  <si>
    <t>Same day Returns Com Auto</t>
  </si>
  <si>
    <t>Return Pickup - Same Day Auto Comm</t>
  </si>
  <si>
    <t>SRCOMCALL</t>
  </si>
  <si>
    <t>Same day Returns Com Call</t>
  </si>
  <si>
    <t>Return Pickup - Same Day Call Comm</t>
  </si>
  <si>
    <t>010</t>
  </si>
  <si>
    <t>Intl Inaccessibl Dangerous Gds</t>
  </si>
  <si>
    <t>035</t>
  </si>
  <si>
    <t>Intl Accessible Dangerous Gds</t>
  </si>
  <si>
    <t>161</t>
  </si>
  <si>
    <t>International Dry Ice</t>
  </si>
  <si>
    <t>214</t>
  </si>
  <si>
    <t>Intl Residential Delivery</t>
  </si>
  <si>
    <t>221</t>
  </si>
  <si>
    <t xml:space="preserve">INTL PRINT RETURN LABEL      </t>
  </si>
  <si>
    <t>Duty and Tax</t>
  </si>
  <si>
    <t>Disbursement Fee</t>
  </si>
  <si>
    <t>Clearance Services and Related Fees</t>
  </si>
  <si>
    <t>3RDPTYCAP</t>
  </si>
  <si>
    <t>210</t>
  </si>
  <si>
    <t>Dom Freight Saturday Pickup</t>
  </si>
  <si>
    <t>115</t>
  </si>
  <si>
    <t>Dom Frt Saturday Delivery</t>
  </si>
  <si>
    <t>014</t>
  </si>
  <si>
    <t>181</t>
  </si>
  <si>
    <t>Hwt Cap Das Commercial</t>
  </si>
  <si>
    <t>220</t>
  </si>
  <si>
    <t>Intl Freight Ahs</t>
  </si>
  <si>
    <t>Call Tag - Manual</t>
  </si>
  <si>
    <t>D-DGH</t>
  </si>
  <si>
    <t>D-DGL</t>
  </si>
  <si>
    <t>D-DGJ</t>
  </si>
  <si>
    <t>INVACCTR</t>
  </si>
  <si>
    <t>Invalid Account Rate</t>
  </si>
  <si>
    <t>AHS - Non-Conveyable</t>
  </si>
  <si>
    <t>Please note that in order to run this tool you will need the following image roles:</t>
  </si>
  <si>
    <t>teradata_db_edw_fedd_app1494</t>
  </si>
  <si>
    <t>teradata_db_edw_customer_data_app1494</t>
  </si>
  <si>
    <t>teradata_db_edw_crp_data_app1494</t>
  </si>
  <si>
    <t>teradata_db_edw_erd_app1494</t>
  </si>
  <si>
    <t>teradata_db_edw_ish_data_app1494</t>
  </si>
  <si>
    <t>Change</t>
  </si>
  <si>
    <t>List Change</t>
  </si>
  <si>
    <t>Net Rate Change</t>
  </si>
  <si>
    <t>Net Spend Change</t>
  </si>
  <si>
    <t>Pricing Category</t>
  </si>
  <si>
    <t>HD Oversize</t>
  </si>
  <si>
    <t>Ground AHS - Dimensions Zone 2</t>
  </si>
  <si>
    <t>Ground AHS - Dimensions Zones 3-4</t>
  </si>
  <si>
    <t>Ground AHS - Dimensions Zones 5-6</t>
  </si>
  <si>
    <t>Ground AHS - Dimensions Zones 7+</t>
  </si>
  <si>
    <t>Ground AHS - Weight Zone 2</t>
  </si>
  <si>
    <t>Ground AHS - Weight Zones 3-4</t>
  </si>
  <si>
    <t>Ground AHS - Weight Zones 5-6</t>
  </si>
  <si>
    <t>Ground AHS - Weight Zones 7+</t>
  </si>
  <si>
    <t>Ground AHS - Packaging Zone 2</t>
  </si>
  <si>
    <t>Ground AHS - Packaging Zones 3-4</t>
  </si>
  <si>
    <t>Ground AHS - Packaging Zones 5-6</t>
  </si>
  <si>
    <t>Ground AHS - Packaging Zones 7+</t>
  </si>
  <si>
    <t>Surcharge Subcategory</t>
  </si>
  <si>
    <t xml:space="preserve">
Occurrences</t>
  </si>
  <si>
    <t>List Change per lb</t>
  </si>
  <si>
    <t>Net Rate Change per lb</t>
  </si>
  <si>
    <t>GR Oversize - Zone 2</t>
  </si>
  <si>
    <t>GR Oversize - Zones 3-4</t>
  </si>
  <si>
    <t>GR Oversize - Zones 5-6</t>
  </si>
  <si>
    <t>GR Oversize - Zones 7+</t>
  </si>
  <si>
    <t>HD Oversize - Zone 2</t>
  </si>
  <si>
    <t>HD Oversize - Zones 3-4</t>
  </si>
  <si>
    <t>HD Oversize - Zones 5-6</t>
  </si>
  <si>
    <t>HD Oversize - Zones 7+</t>
  </si>
  <si>
    <t>IntlGR Oversize</t>
  </si>
  <si>
    <t>GE Delivery and Returns</t>
  </si>
  <si>
    <t>GE DAS - Contiguous</t>
  </si>
  <si>
    <t>GE DAS - Extended</t>
  </si>
  <si>
    <t>GE DAS - Alaska</t>
  </si>
  <si>
    <t>GE DAS - Hawaii</t>
  </si>
  <si>
    <t>GE Fuel Surcharge</t>
  </si>
  <si>
    <t>GE Non-Machinable</t>
  </si>
  <si>
    <t>GE Package Relabel</t>
  </si>
  <si>
    <t>IntlEx AHS - Dimensions</t>
  </si>
  <si>
    <t>IntlEx AHS - Packaging</t>
  </si>
  <si>
    <t>IntlEx AHS - Weight</t>
  </si>
  <si>
    <t>IntlEx Address Correction</t>
  </si>
  <si>
    <t>IntlEx DG - Accessible</t>
  </si>
  <si>
    <t>IntlEx DG - Inaccessible</t>
  </si>
  <si>
    <t>IntlEx DG - Dry Ice</t>
  </si>
  <si>
    <t>IntlEx Declared Value</t>
  </si>
  <si>
    <t>IntlEx Adult Signature</t>
  </si>
  <si>
    <t>IntlEx Direct Signature</t>
  </si>
  <si>
    <t>IntlEx Indirect Signature</t>
  </si>
  <si>
    <t>IntlEx Fuel Surcharge</t>
  </si>
  <si>
    <t>IntlEx Missing or Invalid Account Number</t>
  </si>
  <si>
    <t>IntlEx On Demand Care</t>
  </si>
  <si>
    <t>IntlEx Out-of-Delivery-Area Tier A</t>
  </si>
  <si>
    <t>IntlEx Out-of-Delivery-Area Tier B</t>
  </si>
  <si>
    <t>IntlEx Out-of-Delivery-Area Tier C</t>
  </si>
  <si>
    <t>IntlEx Out-of-Pickup-Area Tier A</t>
  </si>
  <si>
    <t>IntlEx Out-of-Pickup-Area Tier B</t>
  </si>
  <si>
    <t>IntlEx Out-of-Pickup-Area Tier C</t>
  </si>
  <si>
    <t>IntlEx Payer Rebilling</t>
  </si>
  <si>
    <t>IntlEx Residential Delivery</t>
  </si>
  <si>
    <t>IntlEx Return Label - Email</t>
  </si>
  <si>
    <t>IntlEx Return Label - Printed</t>
  </si>
  <si>
    <t>IntlEx Saturday Delivery</t>
  </si>
  <si>
    <t>IntlEx Saturday Pickup</t>
  </si>
  <si>
    <t>IntlExFr AHS - Freight</t>
  </si>
  <si>
    <t>IntlExFr AHS - Non-Stackable</t>
  </si>
  <si>
    <t>IntlExFr Address Correction</t>
  </si>
  <si>
    <t>IntlExFr DG - Accessible</t>
  </si>
  <si>
    <t>IntlExFr DG - Inaccessible</t>
  </si>
  <si>
    <t>IntlExFr Declared Value</t>
  </si>
  <si>
    <t>IntlExFr Fuel Surcharge</t>
  </si>
  <si>
    <t>IntlExFr Out-of-Delivery-Area Tier B</t>
  </si>
  <si>
    <t>IntlExFr Out-of-Delivery-Area Tier C</t>
  </si>
  <si>
    <t>IntlExFr Out-of-Pickup-Area Tier B</t>
  </si>
  <si>
    <t>IntlExFr Out-of-Pickup-Area Tier C</t>
  </si>
  <si>
    <t>IntlExFr Missing or Invalid Account Number</t>
  </si>
  <si>
    <t>IntlExFr On Demand Care</t>
  </si>
  <si>
    <t>IntlExFr Payer Rebilling</t>
  </si>
  <si>
    <t>IntlExFr Residential Delivery</t>
  </si>
  <si>
    <t>IntlExFr Return Label - Email</t>
  </si>
  <si>
    <t>IntlExFr Return Label - Printed</t>
  </si>
  <si>
    <t>IntlExFr Saturday Delivery</t>
  </si>
  <si>
    <t>IntlExFr Saturday Pickup</t>
  </si>
  <si>
    <t xml:space="preserve">Occurrences </t>
  </si>
  <si>
    <t>GR Oversize</t>
  </si>
  <si>
    <t>EX Oversize</t>
  </si>
  <si>
    <t>Oversize Surcharges</t>
  </si>
  <si>
    <t>Residential Delivery - GR</t>
  </si>
  <si>
    <t>Residential Delivery - HD</t>
  </si>
  <si>
    <t>Residential Delivery - EX</t>
  </si>
  <si>
    <t>IntlGR AHS - Packaging</t>
  </si>
  <si>
    <t>IntlGR AHS - Weight</t>
  </si>
  <si>
    <t>IntlGR AHS - Dimensions</t>
  </si>
  <si>
    <t>Net Change</t>
  </si>
  <si>
    <t>Order</t>
  </si>
  <si>
    <t>IntlEx Oversize</t>
  </si>
  <si>
    <t xml:space="preserve">Net Spend Change </t>
  </si>
  <si>
    <t>Express AHS - Dimensions Zone 2</t>
  </si>
  <si>
    <t>Express AHS - Dimensions Zones 3-4</t>
  </si>
  <si>
    <t>Express AHS - Dimensions Zones 5-6</t>
  </si>
  <si>
    <t>Express AHS - Dimensions Zones 7+</t>
  </si>
  <si>
    <t>Express AHS - Weight Zone 2</t>
  </si>
  <si>
    <t>Express AHS - Weight Zones 3-4</t>
  </si>
  <si>
    <t>Express AHS - Weight Zones 5-6</t>
  </si>
  <si>
    <t>Express AHS - Weight Zones 7+</t>
  </si>
  <si>
    <t>Express AHS - Packaging  Zone 2</t>
  </si>
  <si>
    <t>Express AHS - Packaging Zones 3-4</t>
  </si>
  <si>
    <t>Express AHS - Packaging Zones 5-6</t>
  </si>
  <si>
    <t>Express AHS - Packaging Zones 7+</t>
  </si>
  <si>
    <t>Express Oversize - Zone 2</t>
  </si>
  <si>
    <t>Express Oversize - Zones 3-4</t>
  </si>
  <si>
    <t>Express Oversize - Zones 5-6</t>
  </si>
  <si>
    <t>Express Oversize - Zones 7+</t>
  </si>
  <si>
    <t>Express Address Correction</t>
  </si>
  <si>
    <t>Express Collect On Delivery</t>
  </si>
  <si>
    <t>Express Accessible Dangerous Goods</t>
  </si>
  <si>
    <t>Express Inaccessible Dangerous Goods</t>
  </si>
  <si>
    <t>Express Dry Ice</t>
  </si>
  <si>
    <t>Express Declared Value</t>
  </si>
  <si>
    <t>Express DAS - Commercial</t>
  </si>
  <si>
    <t>Express DAS - Extended Commercial</t>
  </si>
  <si>
    <t>Express DAS - Remote Commercial</t>
  </si>
  <si>
    <t>Express DAS - Residential</t>
  </si>
  <si>
    <t>Express DAS - Extended Residential</t>
  </si>
  <si>
    <t>Express DAS - Remote Residential</t>
  </si>
  <si>
    <t>Express DAS - Alaska Commercial</t>
  </si>
  <si>
    <t>Express DAS - Alaska Residential</t>
  </si>
  <si>
    <t>Express DAS - Hawaii Commercial</t>
  </si>
  <si>
    <t>Express DAS - Hawaii Residential</t>
  </si>
  <si>
    <t>Express Adult Signature</t>
  </si>
  <si>
    <t>Express Direct Signature</t>
  </si>
  <si>
    <t>Express Indirect Signature</t>
  </si>
  <si>
    <t>Express ExpressTag</t>
  </si>
  <si>
    <t>Express Fuel Surcharge</t>
  </si>
  <si>
    <t>Express Missing or Invalid Account Number</t>
  </si>
  <si>
    <t>Express On Demand Care</t>
  </si>
  <si>
    <t>Express Payer Rebilling</t>
  </si>
  <si>
    <t>Express Reroute of Shipment</t>
  </si>
  <si>
    <t>Express Residential Delivery</t>
  </si>
  <si>
    <t>Express Return Label - Email</t>
  </si>
  <si>
    <t>Express Return Label - Printed</t>
  </si>
  <si>
    <t>Express Return Pickup</t>
  </si>
  <si>
    <t>Express Saturday Delivery</t>
  </si>
  <si>
    <t>Express Saturday Pickup</t>
  </si>
  <si>
    <t>Ground Address Correction</t>
  </si>
  <si>
    <t>Ground Alternate Address Pickup Fee</t>
  </si>
  <si>
    <t>Ground Call Tag</t>
  </si>
  <si>
    <t>Ground C.O.D.</t>
  </si>
  <si>
    <t>Ground C.O.D. -  Cash</t>
  </si>
  <si>
    <t>Ground C.O.D. - Electronic</t>
  </si>
  <si>
    <t>Ground C.O.D. - Weekly Charge - 24 hours</t>
  </si>
  <si>
    <t>Ground C.O.D. - Weekly Charge - 48 hours</t>
  </si>
  <si>
    <t>Ground CDO - Date Certain</t>
  </si>
  <si>
    <t>Ground CDO - Evening</t>
  </si>
  <si>
    <t>Ground CDO - Appointment</t>
  </si>
  <si>
    <t>Ground Declared Value</t>
  </si>
  <si>
    <t>Ground DAS - Commercial</t>
  </si>
  <si>
    <t>Ground DAS - Extended Commercial</t>
  </si>
  <si>
    <t>Ground DAS - Remote Commercial</t>
  </si>
  <si>
    <t>Ground DAS - Residential</t>
  </si>
  <si>
    <t>Ground DAS - Extended Residential</t>
  </si>
  <si>
    <t>Ground DAS - Remote Residential</t>
  </si>
  <si>
    <t>Ground DAS - Alaska Commercial</t>
  </si>
  <si>
    <t>Ground DAS - Alaska Residential</t>
  </si>
  <si>
    <t>Ground DAS - Hawaii Commercial</t>
  </si>
  <si>
    <t>Ground DAS - Hawaii Residential</t>
  </si>
  <si>
    <t>Ground DAS - Intra-Hawaii Commercial</t>
  </si>
  <si>
    <t>Ground DAS - Intra-Hawaii Residential</t>
  </si>
  <si>
    <t>Ground DAS - HD Residential</t>
  </si>
  <si>
    <t>Ground DAS - HD Extended Residential</t>
  </si>
  <si>
    <t>Ground DAS - HD Remote Residential</t>
  </si>
  <si>
    <t>Ground Adult Signature</t>
  </si>
  <si>
    <t>Ground Direct Signature</t>
  </si>
  <si>
    <t>Ground Indirect Signature</t>
  </si>
  <si>
    <t>Ground Hazardous Material</t>
  </si>
  <si>
    <t>Ground Missing or Invalid Account Number</t>
  </si>
  <si>
    <t>Ground Payer Rebilling</t>
  </si>
  <si>
    <t>Ground Residential Delivery - GR</t>
  </si>
  <si>
    <t>Ground Residential Delivery - HD</t>
  </si>
  <si>
    <t>Ground Return Label - Email</t>
  </si>
  <si>
    <t>Ground Return Label - Printed</t>
  </si>
  <si>
    <t>Ground Unauthorized Package</t>
  </si>
  <si>
    <t>ExFreight AHS - Freight</t>
  </si>
  <si>
    <t>ExFreight AHS - Non-Stackable</t>
  </si>
  <si>
    <t>ExFreight Address Correction</t>
  </si>
  <si>
    <t>ExFreight Collect On Delivery</t>
  </si>
  <si>
    <t>ExFreight Accessible Dangerous Goods</t>
  </si>
  <si>
    <t>ExFreight Inaccessible Dangerous Goods</t>
  </si>
  <si>
    <t>ExFreight Declared Value</t>
  </si>
  <si>
    <t>ExFreight Delivery Reattempt</t>
  </si>
  <si>
    <t>ExFreight Extended Service Area Delivery</t>
  </si>
  <si>
    <t>ExFreight Extended Service Area Pickup</t>
  </si>
  <si>
    <t>ExFreight Extra Services</t>
  </si>
  <si>
    <t>ExFreight Fuel Surcharge</t>
  </si>
  <si>
    <t>ExFreight Inside Delivery Charge</t>
  </si>
  <si>
    <t>ExFreight Inside Pickup Charge</t>
  </si>
  <si>
    <t>ExFreight Metro Service Area Delivery</t>
  </si>
  <si>
    <t>ExFreight Metro Service Area Pickup</t>
  </si>
  <si>
    <t>ExFreight Missing or Invalid Account Number</t>
  </si>
  <si>
    <t>ExFreight On Demand Care</t>
  </si>
  <si>
    <t>ExFreight Payer Rebilling</t>
  </si>
  <si>
    <t>ExFreight Reroute of Shipment</t>
  </si>
  <si>
    <t>ExFreight Residential Delivery</t>
  </si>
  <si>
    <t>ExFreight Residential Pickup</t>
  </si>
  <si>
    <t>ExFreight Return Label - Email</t>
  </si>
  <si>
    <t>ExFreight Return Label - Printed</t>
  </si>
  <si>
    <t>ExFreight Saturday Delivery</t>
  </si>
  <si>
    <t>ExFreight Saturday Pickup</t>
  </si>
  <si>
    <t>Est Impact</t>
  </si>
  <si>
    <t>Effective Date 1:</t>
  </si>
  <si>
    <t>Effective Date 2:</t>
  </si>
  <si>
    <t xml:space="preserve">/*Surcharge Pricing Data Pull
*/
SELECT  UNIQUE
psgwa.cust_grp_id_nbr,
level_cd,
'Eff_Date_1' AS Discount_Date,
</t>
  </si>
  <si>
    <t xml:space="preserve">/*Surcharge Pricing Data Pull
*/
SELECT  UNIQUE
psgwa.cust_grp_id_nbr,
level_cd,
'Eff_Date_2' AS Discount_Date,
</t>
  </si>
  <si>
    <t>Effective Date</t>
  </si>
  <si>
    <t>OVERLABEL</t>
  </si>
  <si>
    <t>Overlabel</t>
  </si>
  <si>
    <t>Address Correction HWT</t>
  </si>
  <si>
    <t>Adult Signature HWT</t>
  </si>
  <si>
    <t>Collect on Delivery (COD) Fee HWT</t>
  </si>
  <si>
    <t>DAS - Alaska Commercial HWT</t>
  </si>
  <si>
    <t>DAS - Alaska Residential HWT</t>
  </si>
  <si>
    <t>DAS - Commercial HWT</t>
  </si>
  <si>
    <t>DAS - Commercial MWT</t>
  </si>
  <si>
    <t>DAS - Extended Commercial HWT</t>
  </si>
  <si>
    <t>DAS - Extended Commercial MWT</t>
  </si>
  <si>
    <t>DAS - Extended Residential HWT</t>
  </si>
  <si>
    <t>DAS - Extended Residential MWT</t>
  </si>
  <si>
    <t>DAS - Hawaii Commercial HWT</t>
  </si>
  <si>
    <t>DAS - Hawaii Commercial MWT</t>
  </si>
  <si>
    <t>DAS - Hawaii Residential HWT</t>
  </si>
  <si>
    <t>DAS - Hawaii Residential MWT</t>
  </si>
  <si>
    <t>DAS - HD Extended Residential MWT</t>
  </si>
  <si>
    <t>DAS - HD Residential MWT</t>
  </si>
  <si>
    <t>DAS - Intra-Hawaii Commercial HWT</t>
  </si>
  <si>
    <t>DAS - Intra-Hawaii Residential HWT</t>
  </si>
  <si>
    <t>DAS - Residential HWT</t>
  </si>
  <si>
    <t>DAS - Residential MWT</t>
  </si>
  <si>
    <t>Direct Signature HWT</t>
  </si>
  <si>
    <t>Indirect Signature MWT</t>
  </si>
  <si>
    <t>Indirect Signature HWT</t>
  </si>
  <si>
    <t>Residential Delivery HWT</t>
  </si>
  <si>
    <t>Saturday Pickup HWT</t>
  </si>
  <si>
    <t>Third Party Billing HWT</t>
  </si>
  <si>
    <t>Unauthorized Package - 150lbs+</t>
  </si>
  <si>
    <t xml:space="preserve">CASE WHEN bill.svc_bas_cd IN ('70', '84', '85', '86', '94') THEN 'Express Freight' 
ELSE 'Express' 
END AS OpCo,
CAST('International' AS VARCHAR(25)) AS Dom_Intl,
CASE
WHEN shp_st_cd = 'PR' OR recp_st_cd = 'PR' THEN OREPLACE(sbc.svc_intl_medium_nm,'FedEx ','')
WHEN shp_cntry = recp_cntry_cd THEN OREPLACE(sbc.svc_dom_medium_nm,'FedEx ','')
ELSE OREPLACE(sbc.svc_intl_medium_nm,'FedEx ','')
END AS Product_Name,  
'I-'||m.misc_rsn_cd AS Surcharge_Code,
'See Code Table' AS surch_desc,  
ZEROIFNULL(m.misc_amt * bill.exch_usd) AS misc_amt_usd,
CASE 
  WHEN bill.shp_cntry = 'US' AND bill.recp_st_cd = 'PR' THEN 'PR' 
  ELSE 'NA' 
END AS _Zone, 
1 AS Occurrences
FROM  UI_ISH_PROD_DB.billed_intl_express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ui_ish_prod_db.billed_intl_misc m ON bill.inv_unique_id = m.inv_unique_id AND m.ab_seq_nbr = bill.ab_seq_nbr AND m.shp_trk_nbr = bill.shp_trk_nbr
WHERE surch_desc NOT IN ('?','Weekday Delivery','Day of Week Bonus Rebate') AND  (bill.reb_resn = '' OR bill.reb_resn IS NULL) AND bill.invoice_date BETWEEN </t>
  </si>
  <si>
    <t xml:space="preserve"> 'Ground' AS OpCo, 
'International' AS Dom_Intl,
CASE                         
            WHEN  bill.svc_bas_cd IN ('92', '092') THEN 'International Ground'
            WHEN  bill.svc_bas_cd IN ('90', '090') THEN 'International Home Delivery'
            ELSE    'OTHER '||svc_bas_cd 
END AS Product_Name,
'I-'||m.misc_rsn_cd AS Surcharge_Code,
'See Code Table' AS surch_desc,  
ZEROIFNULL(m.misc_amt * bill.exch_usd) AS misc_amt_usd,
'NA' AS _Zone,
1 AS Occurrences
FROM  ui_ish_prod_db.billed_intl_ground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ui_ish_prod_db.billed_intl_misc m ON bill.INV_UNIQUE_ID = m.inv_unique_id AND m.AB_SEQ_NBR = bill.ab_seq_nbr AND m.shp_trk_nbr = bill.shp_trk_nbr
WHERE  (bill.reb_resn = '' OR bill.reb_resn IS NULL) AND bill.invoice_date BETWEEN </t>
  </si>
  <si>
    <t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CAST(bill.dstc_rgn_cd AS VarChar(2)) AS _Zone,
1 AS Occurrences
FROM UI_ISH_PROD_DB.billed_dom_ground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bill.ab_inv_typ_ind NOT IN ('0') 
AND m.misc_amt &gt;= 0  
AND Surcharge_Code NOT IN ('D-057','D-055')
AND  bill.ab_inv_typ_ind NOT IN ('0') AND bill.inv_dt BETWEEN </t>
  </si>
  <si>
    <t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Case
WHEN bill.DSTC_RGN_CD IN (' ','00')
THEN 'Non Zone'
else CAST(bill.dstc_rgn_cd AS VarChar(2)) end AS _Zone,
1 AS Occurrences
FROM UI_ISH_PROD_DB.BILLED_DOM_GRND_CUSTLVL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m.misc_amt &gt;= 0  AND Surcharge_Code NOT IN ('D-057','D-055')
AND  bill.ab_inv_typ_ind NOT IN ('0') AND bill.inv_dt BETWEEN </t>
  </si>
  <si>
    <t xml:space="preserve">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t>
  </si>
  <si>
    <t xml:space="preserve">CAST('Ground Economy' AS VARCHAR(10)) AS OpCo,
CAST('Domestic' AS VARCHAR(25)) AS Dom_Intl,
CASE WHEN fxsp_svc_cd in ('913','914') THEN 'Ground Economy'
   WHEN fxsp_svc_cd in ('915') THEN 'Ground Economy BPM'
   WHEN fxsp_svc_cd in ('916') THEN 'Ground Economy Media'
   WHEN fxsp_svc_cd in ('917') THEN 'Ground Economy International Returns'
   WHEN fxsp_svc_cd in ('918','919') THEN 'Ground Economy Returns'
   WHEN fxsp_svc_cd in ('906') THEN 'Ground Economy International'
   ELSE 'Other '||fxsp_svc_cd 
END AS Product_Name,
'D-'||m.misc_resn_cd AS Surcharge_Code,
'See Code Table' AS surch_desc, 
m.misc_amt AS misc_amt_usd,
'NA' AS _Zone,
1 AS Occurrences
FROM ui_ish_prod_db.billed_dom_smartpost bill
JOIN ui_ish_prod_db.dom_inv_misc m ON m.inv_unique_id = bill.inv_unique_id AND m.ab_seq_nbr = bill.ab_seq_nbr
JOIN ui_ish_prod_db.customer cust ON cust.cust_nbr = payr_cust_nbr
JOIN customer_prod_view_db.cust_view_mgmt_hierarchy cht ON cht.cust_view_mgmt_type_cd = 'ACCT' AND cht.expr_tmstp &gt; current_timestamp AND contr_enti_view_flg = 'Y' AND cht.cust_acct_nbr = cust.cust_acct_nbr 
WHERE  bill.ab_inv_typ_ind NOT IN ('0') and misc_amt_usd &gt;= 0 AND bill.inv_dt BETWEEN </t>
  </si>
  <si>
    <t>Demand - AHS</t>
  </si>
  <si>
    <t>Demand - Oversize</t>
  </si>
  <si>
    <t>Demand Surcharges</t>
  </si>
  <si>
    <t>Demand - Residential</t>
  </si>
  <si>
    <t>Demand - Residential HWT</t>
  </si>
  <si>
    <t>Demand - Residential MWT</t>
  </si>
  <si>
    <t>Demand - Unauthorized</t>
  </si>
  <si>
    <t>Demand Surcharge</t>
  </si>
  <si>
    <t>Congratulations!  It looks like the tool ran successfully!</t>
  </si>
  <si>
    <t>Below are some basics on how to use this tool.</t>
  </si>
  <si>
    <r>
      <rPr>
        <b/>
        <sz val="12"/>
        <color theme="1"/>
        <rFont val="Calibri"/>
        <family val="2"/>
        <scheme val="minor"/>
      </rPr>
      <t xml:space="preserve">Reviewing Data: </t>
    </r>
    <r>
      <rPr>
        <sz val="12"/>
        <color theme="1"/>
        <rFont val="Calibri"/>
        <family val="2"/>
        <scheme val="minor"/>
      </rPr>
      <t>You can review the discount and invoiced data the tool pulled in using the Discount Overview and Invoiced Data Overview tabs.  If you want you can also unhide the Data tabs and review the detail if needed.</t>
    </r>
  </si>
  <si>
    <r>
      <rPr>
        <b/>
        <sz val="12"/>
        <color theme="1"/>
        <rFont val="Calibri"/>
        <family val="2"/>
        <scheme val="minor"/>
      </rPr>
      <t xml:space="preserve">Updating Discounts: </t>
    </r>
    <r>
      <rPr>
        <sz val="12"/>
        <color theme="1"/>
        <rFont val="Calibri"/>
        <family val="2"/>
        <scheme val="minor"/>
      </rPr>
      <t>You might need to manually update/correct the discounts to reflect the customer's pricing.  You can do that using the OpCo tabs (and the By Zone Charges tab).  That's where you should edit any discounts or make any changes.  To be clear I'm talking about the colorful tabs which I've screenshotted just below this sentence.</t>
    </r>
  </si>
  <si>
    <t>We've added a nifty button to hide all those tabs if you want.  Its right here. ----&gt;</t>
  </si>
  <si>
    <t>You can unhide them again using this button. ------------------------------------------&gt;</t>
  </si>
  <si>
    <r>
      <rPr>
        <b/>
        <sz val="12"/>
        <color theme="1"/>
        <rFont val="Calibri"/>
        <family val="2"/>
        <scheme val="minor"/>
      </rPr>
      <t xml:space="preserve">Overviews: </t>
    </r>
    <r>
      <rPr>
        <sz val="12"/>
        <color theme="1"/>
        <rFont val="Calibri"/>
        <family val="2"/>
        <scheme val="minor"/>
      </rPr>
      <t>Finally, once you've verified all the discounts there are a number of Overview tabs.  They are prebuilt pivot tables to summarize your customers data.  They use normal filters and rely on the data in the OpCo tabs so any changes you made should be reflected in the Overview tabs.  There's an OpCo Summary, Full Surcharge Overview, Top Surcharge Overview, and Only Discounted Surcharges tab.  They are at the very end of the tab list so you might want to hide the OpCo tabs to easily access them.</t>
    </r>
  </si>
  <si>
    <t>**IMPORTANT INFO!**</t>
  </si>
  <si>
    <r>
      <t xml:space="preserve">We're </t>
    </r>
    <r>
      <rPr>
        <b/>
        <sz val="12"/>
        <color theme="1"/>
        <rFont val="Calibri"/>
        <family val="2"/>
        <scheme val="minor"/>
      </rPr>
      <t>99.99%</t>
    </r>
    <r>
      <rPr>
        <sz val="12"/>
        <color theme="1"/>
        <rFont val="Calibri"/>
        <family val="2"/>
        <scheme val="minor"/>
      </rPr>
      <t xml:space="preserve"> sure the </t>
    </r>
    <r>
      <rPr>
        <b/>
        <sz val="12"/>
        <color theme="1"/>
        <rFont val="Calibri"/>
        <family val="2"/>
        <scheme val="minor"/>
      </rPr>
      <t>historical invoiced data</t>
    </r>
    <r>
      <rPr>
        <sz val="12"/>
        <color theme="1"/>
        <rFont val="Calibri"/>
        <family val="2"/>
        <scheme val="minor"/>
      </rPr>
      <t xml:space="preserve"> is accurate and complete but there is always a chance something went wrong and someone made a change in EDW or an uncommon surcharge is missing.</t>
    </r>
  </si>
  <si>
    <r>
      <t xml:space="preserve">As for the discount data, that's closer to </t>
    </r>
    <r>
      <rPr>
        <b/>
        <sz val="12"/>
        <color rgb="FFFF0000"/>
        <rFont val="Calibri"/>
        <family val="2"/>
        <scheme val="minor"/>
      </rPr>
      <t>95%</t>
    </r>
    <r>
      <rPr>
        <sz val="12"/>
        <color theme="1"/>
        <rFont val="Calibri"/>
        <family val="2"/>
        <scheme val="minor"/>
      </rPr>
      <t xml:space="preserve">.  That last </t>
    </r>
    <r>
      <rPr>
        <b/>
        <sz val="12"/>
        <color rgb="FFFF0000"/>
        <rFont val="Calibri"/>
        <family val="2"/>
        <scheme val="minor"/>
      </rPr>
      <t>5%</t>
    </r>
    <r>
      <rPr>
        <sz val="12"/>
        <color theme="1"/>
        <rFont val="Calibri"/>
        <family val="2"/>
        <scheme val="minor"/>
      </rPr>
      <t xml:space="preserve"> can be really scary though if it missed something.  There's a higher chance some surcharge discount is missing, misclassified, or duplicated (where the discount is 2 or 3 times larger than it should be).  Please review the discounts for accuracy.  If you do find a surcharge that is missing or duplicated please notify us by using the Report an Issue button. </t>
    </r>
  </si>
  <si>
    <t>2025 List</t>
  </si>
  <si>
    <t>Troubleshooting Section</t>
  </si>
  <si>
    <t>Tool Name:</t>
  </si>
  <si>
    <t>CHT Level:</t>
  </si>
  <si>
    <t>CHT ID:</t>
  </si>
  <si>
    <t>Timeframe:</t>
  </si>
  <si>
    <t>Error Number:</t>
  </si>
  <si>
    <t>Error Description:</t>
  </si>
  <si>
    <t>User Description:</t>
  </si>
  <si>
    <t>Error Email</t>
  </si>
  <si>
    <t>Miscellaneous Surcharges</t>
  </si>
  <si>
    <t xml:space="preserve">    and cvmh.expr_tmstp  &gt; TIMESTAMP '9999-12-31 23:59:59'
    and cvme.expr_tmstp  &gt; TIMESTAMP '9999-12-31 23:59:59')cvm 
     on psgwa.cust_grp_id_nbr = cvm.cust_view_mgmt_nbr 
where service IN ('Continental US - Ground', 'Continental US - Home Delivery','SmartPost Continental US','International Service - US to CA') </t>
  </si>
  <si>
    <t xml:space="preserve">psgwa.srchg_id,
SC.srchg_cd,
SC.srchg_nm as Surcharge_Name,
S.svc_nm as Service,
CASE WHEN svc_nm = 'Continental US - Ground' THEN 'GR'
WHEN svc_nm = 'International Service - US to CA' THEN 'IG'
WHEN svc_nm = 'Continental US - Home Delivery' THEN 'HD'
WHEN svc_nm = 'STANDARD OVERNIGHT' THEN 'SO'
WHEN svc_nm = 'SmartPost Continental US' THEN 'GE'
WHEN svc_nm = 'EXPORT ECONOMY' THEN 'EE'
WHEN svc_nm = 'OVERNIGHT FREIGHT SERVICE' THEN 'DF'
WHEN svc_nm = 'EXPT PDDF' THEN 'IF'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t>
  </si>
  <si>
    <t>Disc 1 
Net Rate</t>
  </si>
  <si>
    <t>Disc 2
Net Rate</t>
  </si>
  <si>
    <t>Est Disc 1
 Net Spend</t>
  </si>
  <si>
    <t>Disc 1 Discount</t>
  </si>
  <si>
    <t>Est Disc 2 
Net Spend</t>
  </si>
  <si>
    <t>Disc 2 Discount</t>
  </si>
  <si>
    <t>Disc 2 
Net Rate</t>
  </si>
  <si>
    <t>Disc 2 Net Rate per Lb</t>
  </si>
  <si>
    <t>Disc 1 net rate per lb</t>
  </si>
  <si>
    <t>Disc 1 Net Rate</t>
  </si>
  <si>
    <t>Est Disc 1 
Net Spend</t>
  </si>
  <si>
    <t>Disc 2 Net Rate</t>
  </si>
  <si>
    <t>Discount 2</t>
  </si>
  <si>
    <t>Discount 1</t>
  </si>
  <si>
    <t>Discount 1 Net Rate</t>
  </si>
  <si>
    <t>Discount 2 Net Rate</t>
  </si>
  <si>
    <t>Discount 1 Net Spend</t>
  </si>
  <si>
    <t>Discount 2 Net Spend</t>
  </si>
  <si>
    <t>Est Discount 1 Net Spend</t>
  </si>
  <si>
    <t>Est Discount 2 Net Spend</t>
  </si>
  <si>
    <t>DAS - HD Hawaii Residential</t>
  </si>
  <si>
    <t>DAS - HD Alaska Residential</t>
  </si>
  <si>
    <t>I-DOI</t>
  </si>
  <si>
    <t>D-DOI</t>
  </si>
  <si>
    <t>US Inbound Processing Fee</t>
  </si>
  <si>
    <t>IntlExFr US Inbound Processing Fee</t>
  </si>
  <si>
    <t>IntlEx US Inbound Processing Fee</t>
  </si>
  <si>
    <t>IntlGR US Inbound Processing Fee</t>
  </si>
  <si>
    <t xml:space="preserve">psgwa.srchg_id,
SC.srchg_cd,
SC.srchg_nm as Surcharge_Name,
S.svc_nm as Service,
CASE WHEN svc_nm = 'Continental US - Ground' THEN 'GR'
WHEN svc_nm = 'Continental US - Home Delivery' THEN 'HD'
WHEN svc_nm = 'STANDARD OVERNIGHT' THEN 'SO'
WHEN svc_nm = 'No Service' THEN 'All'
WHEN svc_nm = 'SmartPost Continental US' THEN 'GE'
WHEN svc_nm = 'EXPORT ECONOMY' THEN 'EE'
WHEN svc_nm = 'OVERNIGHT FREIGHT SERVICE' THEN 'DF'
WHEN svc_nm = 'EXPT PDDF' THEN 'IF'
WHEN svc_nm = 'IMPORT ECONOMY' THEN 'IE'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t>
  </si>
  <si>
    <t xml:space="preserve">    and cvmh.expr_tmstp  &gt; TIMESTAMP '9999-12-31 23:59:59'
    and cvme.expr_tmstp  &gt; TIMESTAMP '9999-12-31 23:59:59')cvm 
     on psgwa.cust_grp_id_nbr = cvm.cust_view_mgmt_nbr 
where service IN ('STANDARD OVERNIGHT','EXPORT ECONOMY','IMPORT ECONOMY','OVERNIGHT FREIGHT SERVICE', 'EXPT PDDF','No Service' ) </t>
  </si>
  <si>
    <t>2026 List</t>
  </si>
  <si>
    <t>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*Zones 3-4 also applies to US Ground Zone 22 (Intra-Alaska), US Ground Zone 14 (Intra-Oahu), and US Express Intra-Hawaii.
*Zones 7+ also applies to shipments from US to Puerto Rico</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</si>
  <si>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per $100 of declared value with a minimum charge of $4.95 for 2026.
*On Demand Care has a $2.75 per lb. charge and each shipment will be charged the greater of the $100.00 per package or $2.75 per lb. charge.
</t>
  </si>
  <si>
    <t>See by Zone Charges</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</si>
  <si>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per $100 of declared value with a minimum charge of $4.95 for 2026.  </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</si>
  <si>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t>
  </si>
  <si>
    <t>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$1.65 per $100 of declared value or $1.00 per lb., whichever is greater .
*On Demand Care has a $1.02 per lb. charge and each shipment will be charged the greater of the $540.00 per package or $1.02 per lb. charge.</t>
  </si>
  <si>
    <t xml:space="preserve">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$1.65 per $100 of value in excess of $300 or $9.07 per lb., whichever is greater.  
*On Demand Care has a Greater of $170.00 per Intl Express shipment or $3.40 per lb.
</t>
  </si>
  <si>
    <t>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presented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*Declared Value is assessed $1.65 per $100 of declared value or $9.07 per lb., whichever is greater.
*Each On Demand Care shipment will be charged the greater of the $690 per package or $0.69 per lb. charge.</t>
  </si>
  <si>
    <t>Non-Account Billing</t>
  </si>
  <si>
    <t>Payor Rebill</t>
  </si>
  <si>
    <t>FXE US Inbound Processing Fee</t>
  </si>
  <si>
    <t>IntlEx On-Call Pickup</t>
  </si>
  <si>
    <t>2026 List per lb</t>
  </si>
  <si>
    <t>2025 List per Lb</t>
  </si>
  <si>
    <t>Pickup Fees</t>
  </si>
  <si>
    <t>FedEx Automated Pickup (Monday - Friday)  (per week)</t>
  </si>
  <si>
    <t>Automated pickup (Mon - Fri)</t>
  </si>
  <si>
    <t>FedEx Future Day On-call Pickup</t>
  </si>
  <si>
    <t>Fut Day OC Mon-Fri (Online)</t>
  </si>
  <si>
    <t>Fut Day OC Sat (Online)</t>
  </si>
  <si>
    <t>Fut Day OC Sun (Online)</t>
  </si>
  <si>
    <t>Fut Day OC Mon-Fri (CS)</t>
  </si>
  <si>
    <t>Fut Day OC Sat (CS)</t>
  </si>
  <si>
    <t>Fut Day OC Sun (CS)</t>
  </si>
  <si>
    <t>FedEx Same Day On-Call Pickup</t>
  </si>
  <si>
    <t>Same Day OC Mon-Fri (Online)</t>
  </si>
  <si>
    <t>Same Day OC Sat (Online)</t>
  </si>
  <si>
    <t>Same Day OC Sun (Online)</t>
  </si>
  <si>
    <t>Same Day OC Mon-Fri (CS)</t>
  </si>
  <si>
    <t>Same Day OC Sat (CS)</t>
  </si>
  <si>
    <t>Same Day OC Sun (CS)</t>
  </si>
  <si>
    <t>Additional On-Call pickup surcharges</t>
  </si>
  <si>
    <t>Residential Pickup Surcharge</t>
  </si>
  <si>
    <t>Pickup Area Surcharge</t>
  </si>
  <si>
    <t>Extended Area Pickup surcharge</t>
  </si>
  <si>
    <t>Remote Area Surcharge</t>
  </si>
  <si>
    <t>FedEx Saturday and Sunday Pickup</t>
  </si>
  <si>
    <t>Saturday Regularly scheduled pickup</t>
  </si>
  <si>
    <t>Sunday Regularly scheduled pickup</t>
  </si>
  <si>
    <t>Saturday Automated</t>
  </si>
  <si>
    <t>Sunday Automated</t>
  </si>
  <si>
    <t>FedEx Regularly Scheduled Pickup (Mon - Fri)</t>
  </si>
  <si>
    <t>1 day: $7.5</t>
  </si>
  <si>
    <t>2 day: $15</t>
  </si>
  <si>
    <t>3 day: $22</t>
  </si>
  <si>
    <t>4 day: $29</t>
  </si>
  <si>
    <t>5 day: $35.5</t>
  </si>
  <si>
    <t>D-DKR</t>
  </si>
  <si>
    <t>FDX</t>
  </si>
  <si>
    <t>Streamline Pickup Fee</t>
  </si>
  <si>
    <t>D-DKV</t>
  </si>
  <si>
    <t>D-DLB</t>
  </si>
  <si>
    <t>D-DLI</t>
  </si>
  <si>
    <t>D-DKU</t>
  </si>
  <si>
    <t>D-DLA</t>
  </si>
  <si>
    <t>D-DLH</t>
  </si>
  <si>
    <t>D-DKT</t>
  </si>
  <si>
    <t>D-DKZ</t>
  </si>
  <si>
    <t>D-DLF</t>
  </si>
  <si>
    <t>D-DKS</t>
  </si>
  <si>
    <t>D-DKY</t>
  </si>
  <si>
    <t>D-DLE</t>
  </si>
  <si>
    <t>D-DLJ</t>
  </si>
  <si>
    <t>D-DLK</t>
  </si>
  <si>
    <t>D-DLL</t>
  </si>
  <si>
    <t>D-DLM</t>
  </si>
  <si>
    <t>D-DKW</t>
  </si>
  <si>
    <t>D-DLC</t>
  </si>
  <si>
    <t>D-DKX</t>
  </si>
  <si>
    <t>D-DLD</t>
  </si>
  <si>
    <t>D-DKQ</t>
  </si>
  <si>
    <t>Streamlined Pickup Fee</t>
  </si>
  <si>
    <r>
      <rPr>
        <b/>
        <sz val="8"/>
        <rFont val="Calibri"/>
        <family val="2"/>
        <scheme val="minor"/>
      </rPr>
      <t>Disclaimer:</t>
    </r>
    <r>
      <rPr>
        <sz val="8"/>
        <rFont val="Calibri"/>
        <family val="2"/>
        <scheme val="minor"/>
      </rPr>
      <t xml:space="preserve"> These are the new streamline pickup fee into effect from August 18, 2025.
Users must manually enter any applicable discount, as discount data is not available.
For FedEx Regularly Scheduled Pickup (Mon–Fri), the template reports total occurrences only it cannot distinguish between the no of pickup days.
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t>
    </r>
  </si>
  <si>
    <t>On this tab, the user must manually enter any applicable discount; an automated pull of discount data is not available.</t>
  </si>
  <si>
    <t>Surcharge Pricing Template - Discount Comparison (Nov 2025)</t>
  </si>
  <si>
    <t>Aadya Singh</t>
  </si>
  <si>
    <t>Added pickup fee tab and it's new surcharges</t>
  </si>
  <si>
    <t>Dom Freight Saturday Delivery</t>
  </si>
  <si>
    <t xml:space="preserve">2026 List </t>
  </si>
  <si>
    <t>Tool Name</t>
  </si>
  <si>
    <t>Standard Tool Name Below</t>
  </si>
  <si>
    <t>Tool UUID</t>
  </si>
  <si>
    <t>2026 Surcharge Pricing Template - Discount Comparison (Oct 2025)</t>
  </si>
  <si>
    <t>Surcharge Pricing Tool</t>
  </si>
  <si>
    <t>Clearance Fee</t>
  </si>
  <si>
    <t>Please read disclaimer and additional information section below this table.
For clearance fee wherever list rate is missing please see table below to fetch details from the service guide
For all ground clearance fee the code that helps fetch the occurrences is missing which means for these we won't have the occurrences pulled automatically</t>
  </si>
  <si>
    <t>Clearance &amp; Export Fee</t>
  </si>
  <si>
    <t>Express Additional Entry line items</t>
  </si>
  <si>
    <t>Express Disbursement Fee</t>
  </si>
  <si>
    <t>Express Broker Document Transfer</t>
  </si>
  <si>
    <t>Express  Broker In-Bond Transfer</t>
  </si>
  <si>
    <t>Express Duty and Tax Forwarding Fee</t>
  </si>
  <si>
    <t>Express Entry Copy</t>
  </si>
  <si>
    <t>Express Government Entries (DoD)</t>
  </si>
  <si>
    <t>Express Live Entry Processing</t>
  </si>
  <si>
    <t>Express Other Special Brokerage Processing</t>
  </si>
  <si>
    <t>Express Prior Notice for Food and Food Products</t>
  </si>
  <si>
    <t>Express Storage</t>
  </si>
  <si>
    <t>Express Temporary Import Entry</t>
  </si>
  <si>
    <t>Express ATFE Clearance</t>
  </si>
  <si>
    <t>Express FWS Clearance</t>
  </si>
  <si>
    <t>Express U.S. Food and Drug Administration Clearance</t>
  </si>
  <si>
    <t>Ground CA - US</t>
  </si>
  <si>
    <t>Ground (CA to US) Additional Entry line items</t>
  </si>
  <si>
    <t>Ground (CA to US) Disbursement Fee</t>
  </si>
  <si>
    <t>Ground (CA to US) Duty and Tax Forwarding Fee</t>
  </si>
  <si>
    <t>Ground (CA to US) Entry Copy</t>
  </si>
  <si>
    <t>Ground (CA to US) FWS Clearance</t>
  </si>
  <si>
    <t>Ground (CA to US) U.S. Food and Drug Administration Clearance</t>
  </si>
  <si>
    <t>Ground (CA to US) Live Entry Processing</t>
  </si>
  <si>
    <t>Ground (CA to US) Other Government Agency</t>
  </si>
  <si>
    <t>Ground (CA to US) Special Brokerage Processing</t>
  </si>
  <si>
    <t>Ground (CA to US) Clearance entry fee</t>
  </si>
  <si>
    <t>Ground US - CA (CAD$)</t>
  </si>
  <si>
    <t>Ground (US to CA) Additional Entry Line Items</t>
  </si>
  <si>
    <t>Ground (US to CA) Disbursement Fee</t>
  </si>
  <si>
    <t>Ground (US to CA) Fax or Call Fee</t>
  </si>
  <si>
    <t>Ground (US to CA) Temporary Import Entry</t>
  </si>
  <si>
    <t>Ground (US to CA) Other Government Agency</t>
  </si>
  <si>
    <t>Ground (US to CA) Clearance entry fee</t>
  </si>
  <si>
    <t xml:space="preserve">
The surcharge rates presented in this document are for your information and convenience only and are not binding or intended to be part of your pricing agreement with FedEx.  FedEx does not guarantee financial outcomes outlined in this document.  All data presented is intended to demonstrate possible financial outcomes based on information made available to FedEx.  The intent of this analysis is to allow the customer access to information solely for internal analysis.  The 2026 list rates shown will take effect on 1/5/2026.  The surcharges listed are not all inclusive and other surcharges may be applied.  Notwithstanding the foregoing, actual net rates may vary and may be subject to maximum charges under Multiweight pricing, and there may be additional pricing features in your agreement or the FedEx Service Guide that are not captured in the rates presend in this document. Additionally, new surcharges or surcharge increases may be introduced after the date of this document which may affect your pricing.  Please review your agreement for complete details or contact your Account Executive for more information.  This confidential information is being provided to you for your exclusive use and benefit and is provided subject to terms of our mutual non-disclosure agreement.  The information may not be shared with any third party without FedEx’s written consent.  This information cannot be used to file claims or request refunds or invoice adjustments.   
For clearance fee wherever list rate is missing please se table below to fetch details from the service guide
For all ground clearance fee the code that helps fetch the occurrences is missing which means for these we won't have the occurrences pulled automatically</t>
  </si>
  <si>
    <t>Additional Information - Service Guide</t>
  </si>
  <si>
    <t>Clearance Fee Name</t>
  </si>
  <si>
    <t>List Rates from Service Guide</t>
  </si>
  <si>
    <t>Additional Entry line items, per line over 3 lines</t>
  </si>
  <si>
    <t>$ 3.5</t>
  </si>
  <si>
    <t>Disbursement Fee (may be identified as Advancement Fee or Duty Handling Fee in certain countries)</t>
  </si>
  <si>
    <t>Greater of $14 or 2% of duty, tax, and 
merchandise processing fee charges 
Effective May 2, 2025 
If the customs value is equal to or less 
than $800, the fee is $4.50 or 2% of Duty 
and Tax, whichever is greater 
If the customs value is more than $800, 
the fee is $14 or 2% of Duty and Tax, 
whichever is greater</t>
  </si>
  <si>
    <t>Broker Document Transfer</t>
  </si>
  <si>
    <t>$ 51</t>
  </si>
  <si>
    <t>Broker In-Bond Transfer</t>
  </si>
  <si>
    <t>$ 90</t>
  </si>
  <si>
    <t>Duty and Tax Forwarding Fee</t>
  </si>
  <si>
    <t>A Duty and Tax Forwarding Fee will apply instead of the Disbursement Fee if the shipper selects a third party billing option in which duties and taxes are to be paid outside of the destination country.
 Greater of $27 or 2% of duty, tax, and 
merchandise processing fee charges
 Effective May 2, 2025  
If the customs value is equal to or less 
than $800, the fee is $8.50 or 2% of Duty 
and Tax, whichever is greater 
If the customs value is more than $800, 
the fee is $27 or 2% of Duty and Tax, 
whichever is greater</t>
  </si>
  <si>
    <t>Entry Copy, per entry</t>
  </si>
  <si>
    <t>$ 2.1</t>
  </si>
  <si>
    <t>Entry of Goods Pursuant to U.S. Department of Defense Contracts (Government Entries)</t>
  </si>
  <si>
    <t>$ 53</t>
  </si>
  <si>
    <t>Live Entry Processing</t>
  </si>
  <si>
    <t>$ 27</t>
  </si>
  <si>
    <t>Other Special Brokerage Processing</t>
  </si>
  <si>
    <t>Pricing upon request</t>
  </si>
  <si>
    <t>Prior Notice for Food and Food Products</t>
  </si>
  <si>
    <t>$ 13.5</t>
  </si>
  <si>
    <t>Storage</t>
  </si>
  <si>
    <t>Beginning on the third day a shipment is caged at the clearance location, we will assess a fee of $0.08 per kg. per Business Day plus a base fee of $20.</t>
  </si>
  <si>
    <t>Temporary Import Entry</t>
  </si>
  <si>
    <t>$ 150</t>
  </si>
  <si>
    <t>U.S. Bureau of Alcohol, Tobacco, Firearms and Explosives (ATFE) Clearance</t>
  </si>
  <si>
    <t>$ 74</t>
  </si>
  <si>
    <t>U.S. Fish and Wildlife Service (FWS) Clearance</t>
  </si>
  <si>
    <t>FWS will assess various fees depending on the  
product being imported. FedEx will assess an  
additional administrative fee.
The actual fees assessed by the  
FWS, plus an additional $22 FedEx  
administrative fee</t>
  </si>
  <si>
    <t>U.S. Food and Drug Administration Clearance</t>
  </si>
  <si>
    <t>$ 27.5</t>
  </si>
  <si>
    <t>FedEx International Ground Shipments Clearance Services and Related Fees: (Canada-to-U.S. Shipments)</t>
  </si>
  <si>
    <t>(may be identified as Advancement Fee or Duty Handling Fee in certain countries) If the customs value is equal to or less than $800, then the fee is greater of $4.50 or 2% of Duty, Tax, and Merchandise Processing Fee charges If the customs value is more than $800, then the fee is greater of $14 or 2% of Duty, Tax, and Merchandise Processing Fee charges</t>
  </si>
  <si>
    <t>If the customs value is equal to or less than $800, the fee is $8.50 or 2% of Duty and Tax, whichever is greater If the customs value is more than $800, the fee is $27 or 2% of Duty and Tax, whichever is greater</t>
  </si>
  <si>
    <t>Entry Copy</t>
  </si>
  <si>
    <t>$2 per entry</t>
  </si>
  <si>
    <t xml:space="preserve">FWS will assess various fees depending on the product being imported. FedEx will assess an additional administrative fee.
The actual fees assessed by the  
FWS, plus an additional $22 FedEx  
administrative fee </t>
  </si>
  <si>
    <t>$27.5</t>
  </si>
  <si>
    <t>$20</t>
  </si>
  <si>
    <t>Other Government Agency, per entry</t>
  </si>
  <si>
    <t>Varies</t>
  </si>
  <si>
    <t>Special Brokerage Processing (Formerly CPA)</t>
  </si>
  <si>
    <t>Clearance Entry Fees: Canada-to-U.S. Shipments</t>
  </si>
  <si>
    <t xml:space="preserve">Value for Duty </t>
  </si>
  <si>
    <t xml:space="preserve">Fee </t>
  </si>
  <si>
    <t>$0-$200*</t>
  </si>
  <si>
    <t xml:space="preserve"> $9.75*</t>
  </si>
  <si>
    <t xml:space="preserve"> $200.01-$800*</t>
  </si>
  <si>
    <t xml:space="preserve"> $19.50*</t>
  </si>
  <si>
    <t xml:space="preserve"> $800.01–$1,250</t>
  </si>
  <si>
    <t xml:space="preserve"> $28.75</t>
  </si>
  <si>
    <t xml:space="preserve"> $1,250.01–$2,000</t>
  </si>
  <si>
    <t xml:space="preserve"> $40.50</t>
  </si>
  <si>
    <t xml:space="preserve"> $2,000.01-plus</t>
  </si>
  <si>
    <t xml:space="preserve"> $40.50 plus $1.95 for each additional $1,000</t>
  </si>
  <si>
    <t>Clearance Services and Related Fees: FedEx (U.S.-to-Canada Shipments)</t>
  </si>
  <si>
    <t>Additional Entry Line Items, per line if over 3 lines</t>
  </si>
  <si>
    <t>CAD $5.30</t>
  </si>
  <si>
    <t>greater of CAD $11.40 or 2.95% of duty-and-tax charges</t>
  </si>
  <si>
    <t>Fax or Call Fee</t>
  </si>
  <si>
    <t>CAD $3 (local) 
CAD $4 (long distance, U.S. to Canada</t>
  </si>
  <si>
    <t>Temporary Import Entry, per entry</t>
  </si>
  <si>
    <t>CAD $120</t>
  </si>
  <si>
    <t>CAD $16.50</t>
  </si>
  <si>
    <t>Clearance Entry Fees: U.S.-to-Canada Shipments</t>
  </si>
  <si>
    <t>Value for Duty (CAD$)</t>
  </si>
  <si>
    <t>Fee (CAD$)</t>
  </si>
  <si>
    <t xml:space="preserve"> $0–$40</t>
  </si>
  <si>
    <t xml:space="preserve"> $0</t>
  </si>
  <si>
    <t xml:space="preserve"> $40.01–$60</t>
  </si>
  <si>
    <t xml:space="preserve"> $17.25</t>
  </si>
  <si>
    <t xml:space="preserve"> $60.01–$100</t>
  </si>
  <si>
    <t xml:space="preserve"> $21.25</t>
  </si>
  <si>
    <t xml:space="preserve"> $100.01–$150</t>
  </si>
  <si>
    <t xml:space="preserve"> $27.50</t>
  </si>
  <si>
    <t xml:space="preserve"> $150.01–$200</t>
  </si>
  <si>
    <t xml:space="preserve"> $32.25</t>
  </si>
  <si>
    <t xml:space="preserve"> $200.01–$500</t>
  </si>
  <si>
    <t xml:space="preserve"> $54</t>
  </si>
  <si>
    <t xml:space="preserve"> $500.01–$1,000</t>
  </si>
  <si>
    <t xml:space="preserve"> $62</t>
  </si>
  <si>
    <t xml:space="preserve"> $1,000.01–$1,600</t>
  </si>
  <si>
    <t xml:space="preserve"> $71.50</t>
  </si>
  <si>
    <t xml:space="preserve"> $1,600.01–$3,300</t>
  </si>
  <si>
    <t xml:space="preserve"> $82</t>
  </si>
  <si>
    <t xml:space="preserve"> $3,300.01-plus</t>
  </si>
  <si>
    <t xml:space="preserve"> $82 plus $7.50 for each additional $1,000</t>
  </si>
  <si>
    <t>D-DLN</t>
  </si>
  <si>
    <t>Pickup Fee Fuel</t>
  </si>
  <si>
    <t>I-215</t>
  </si>
  <si>
    <t>Additional Entry Line Items Fe</t>
  </si>
  <si>
    <t>Additional Entry Line Item Fee</t>
  </si>
  <si>
    <t>I-61</t>
  </si>
  <si>
    <t>I-245</t>
  </si>
  <si>
    <t>Broker Document Transfer Fee</t>
  </si>
  <si>
    <t>I-247</t>
  </si>
  <si>
    <t>Broker Transfer In-Bond Fee</t>
  </si>
  <si>
    <t>Transfer In-Bond Fee</t>
  </si>
  <si>
    <t>Duty And Tax</t>
  </si>
  <si>
    <t>I-228</t>
  </si>
  <si>
    <t>Entry Copy Fee</t>
  </si>
  <si>
    <t>I-219</t>
  </si>
  <si>
    <t>Live Entry Processing Fee</t>
  </si>
  <si>
    <t>Live Entries Fee</t>
  </si>
  <si>
    <t>I-220</t>
  </si>
  <si>
    <t>Special Brokerage Processing</t>
  </si>
  <si>
    <t>Special Brokerage Handling Fee</t>
  </si>
  <si>
    <t>I-262</t>
  </si>
  <si>
    <t>FDA Prior Notice Fee</t>
  </si>
  <si>
    <t>Fda Prior Notice Fee</t>
  </si>
  <si>
    <t>I-244</t>
  </si>
  <si>
    <t>Storage Fee</t>
  </si>
  <si>
    <t>I-236</t>
  </si>
  <si>
    <t>Temporary Import Fee</t>
  </si>
  <si>
    <t>I-213</t>
  </si>
  <si>
    <t>U.S. Alcohol, Tobacco, and Fir</t>
  </si>
  <si>
    <t>Alcohol Tobacco Firearms Fee</t>
  </si>
  <si>
    <t>I-217</t>
  </si>
  <si>
    <t>U.S. Fish &amp; Wildlife Processin</t>
  </si>
  <si>
    <t>Fish And Wildlife Fee</t>
  </si>
  <si>
    <t>I-216</t>
  </si>
  <si>
    <t>U.S. Food &amp; Drug Admin Process</t>
  </si>
  <si>
    <t>Food Null Adminiatration Fee</t>
  </si>
  <si>
    <t>058CAUS</t>
  </si>
  <si>
    <t>ADDITIONAL ENTRY LINE ITEM FEE - CAUS</t>
  </si>
  <si>
    <t>020CAUS</t>
  </si>
  <si>
    <t>DUTY AND TAX (ADVANCEMENT FEE) - CAUS</t>
  </si>
  <si>
    <t>FISH AND WILDLIFE FEE - CAUS</t>
  </si>
  <si>
    <t>FOOD ADMINIATRATION FEE - CAUS</t>
  </si>
  <si>
    <t>LIVE ENTRIES FEE - CAUS</t>
  </si>
  <si>
    <t>SPECIAL BROKERAGE HANDLING FEE - CAUS</t>
  </si>
  <si>
    <t>058USCA</t>
  </si>
  <si>
    <t>ADDITIONAL ENTRY LINE ITEM FEE - USCA</t>
  </si>
  <si>
    <t>FAX FEE - USCA</t>
  </si>
  <si>
    <t>TEMPORARY IMPORT FEE - USCA</t>
  </si>
  <si>
    <t>OTHER GOVERNMENT AGENCY FEE - USCA</t>
  </si>
  <si>
    <t>I-APE</t>
  </si>
  <si>
    <t>Clearance Entry Fee</t>
  </si>
  <si>
    <t>CLEARANCE ENTRY FEE</t>
  </si>
  <si>
    <t>Express Broker Select Option</t>
  </si>
  <si>
    <t>EEI Filing Fee</t>
  </si>
  <si>
    <t>Non Transportation related</t>
  </si>
  <si>
    <t xml:space="preserve">'Express'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t>
  </si>
  <si>
    <t xml:space="preserve">
UNION ALL 
</t>
  </si>
  <si>
    <t>[Simba][DSI] An error occurred while attempting to retrieve the error message for key 'TDLegacyPortDown' and component ID 100: Could not open error message files - Check that "C:\Program Files\Teradata\Client\17.20\bin\en-US\TDMessages.xml" or "C:\Program Files\Teradata\Client\17.20\bin\TDMessages_en-US.xml" exists and are accessible.</t>
  </si>
  <si>
    <t>Ex_Cat_1</t>
  </si>
  <si>
    <t>Gr_Cat_1</t>
  </si>
  <si>
    <t>Express Saver</t>
  </si>
  <si>
    <t>See Code Table</t>
  </si>
  <si>
    <t>2Day</t>
  </si>
  <si>
    <t>Standard Overnight</t>
  </si>
  <si>
    <t>Home Delivery</t>
  </si>
  <si>
    <t>Priority Overnight</t>
  </si>
  <si>
    <t>On Call Pickups</t>
  </si>
  <si>
    <t>D-BOG</t>
  </si>
  <si>
    <t>First Overnight</t>
  </si>
  <si>
    <t>Non-Transportation Related</t>
  </si>
  <si>
    <t>D-457</t>
  </si>
  <si>
    <t>2Day AM</t>
  </si>
  <si>
    <t>3Day Freight</t>
  </si>
  <si>
    <t>D-541</t>
  </si>
  <si>
    <t>D-DOH</t>
  </si>
  <si>
    <t>CTRY</t>
  </si>
  <si>
    <t>Eff_Date_1</t>
  </si>
  <si>
    <t>ALL</t>
  </si>
  <si>
    <t>D</t>
  </si>
  <si>
    <t>STANDARD OVERNIGHT</t>
  </si>
  <si>
    <t>SO</t>
  </si>
  <si>
    <t>128</t>
  </si>
  <si>
    <t>029</t>
  </si>
  <si>
    <t>180</t>
  </si>
  <si>
    <t>182</t>
  </si>
  <si>
    <t>190</t>
  </si>
  <si>
    <t>192</t>
  </si>
  <si>
    <t>052</t>
  </si>
  <si>
    <t>163</t>
  </si>
  <si>
    <t>164</t>
  </si>
  <si>
    <t>Continental US - Ground</t>
  </si>
  <si>
    <t>GR</t>
  </si>
  <si>
    <t>Continental US - Home Delivery</t>
  </si>
  <si>
    <t>HD</t>
  </si>
  <si>
    <t>International Service - US to CA</t>
  </si>
  <si>
    <t>IG</t>
  </si>
  <si>
    <t>Demand - Additional Handling Surcharge</t>
  </si>
  <si>
    <t>Demand - Oversize Charge</t>
  </si>
  <si>
    <t>GRDCOM6</t>
  </si>
  <si>
    <t>FHDRES6</t>
  </si>
  <si>
    <t>Home Delivery DAS Remote Residential</t>
  </si>
  <si>
    <t>Eff_Date_2</t>
  </si>
  <si>
    <t>D-AEI</t>
  </si>
  <si>
    <t>Regular Pickups</t>
  </si>
  <si>
    <t>Automated Pickups</t>
  </si>
  <si>
    <t>D-AEE</t>
  </si>
  <si>
    <t>D-542</t>
  </si>
  <si>
    <t>D-563</t>
  </si>
  <si>
    <t>D-543</t>
  </si>
  <si>
    <t>D-580</t>
  </si>
  <si>
    <t>D-549</t>
  </si>
  <si>
    <t>D-553</t>
  </si>
  <si>
    <t>D-AEP</t>
  </si>
  <si>
    <t>D-653</t>
  </si>
  <si>
    <t>D-568</t>
  </si>
  <si>
    <t>D-533</t>
  </si>
  <si>
    <t>D-ABY</t>
  </si>
  <si>
    <t>D-539</t>
  </si>
  <si>
    <t>D-688</t>
  </si>
  <si>
    <t>EXPORT ECONOMY</t>
  </si>
  <si>
    <t>EE</t>
  </si>
  <si>
    <t>EXPT PDDF</t>
  </si>
  <si>
    <t>IF</t>
  </si>
  <si>
    <t>259</t>
  </si>
  <si>
    <t>260</t>
  </si>
  <si>
    <t>279</t>
  </si>
  <si>
    <t>IMPORT ECONOMY</t>
  </si>
  <si>
    <t>IE</t>
  </si>
  <si>
    <t>281</t>
  </si>
  <si>
    <t>2Day Freight</t>
  </si>
  <si>
    <t>D-546</t>
  </si>
  <si>
    <t>D-545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</si>
</sst>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_(* #,##0.00_);_(* \(#,##0.00\);_(* &quot;-&quot;??_);_(@_)"/>
    <numFmt numFmtId="166" formatCode="_(* #,##0_);_(* \(#,##0\);_(* &quot;-&quot;??_);_(@_)"/>
    <numFmt numFmtId="167" formatCode="mmm"/>
    <numFmt numFmtId="168" formatCode="_(&quot;$&quot;* #,##0_);_(&quot;$&quot;* \(#,##0\);_(&quot;$&quot;* &quot;-&quot;??_);_(@_)"/>
    <numFmt numFmtId="169" formatCode="_(&quot;$&quot;* #,##0.000_);_(&quot;$&quot;* \(#,##0.000\);_(&quot;$&quot;* &quot;-&quot;??_);_(@_)"/>
  </numFmts>
  <fonts count="45" x14ac:knownFonts="1">
    <font>
      <sz val="11"/>
      <color theme="1"/>
      <name val="Calibri"/>
      <family val="2"/>
      <scheme val="minor"/>
    </font>
    <font>
      <b/>
      <sz val="12"/>
      <color theme="1"/>
      <name val="Calibri"/>
      <family val="2"/>
      <scheme val="minor"/>
    </font>
    <font>
      <sz val="11"/>
      <color theme="0"/>
      <name val="Calibri"/>
      <family val="2"/>
      <scheme val="minor"/>
    </font>
    <font>
      <sz val="11"/>
      <color theme="1"/>
      <name val="Calibri"/>
      <family val="2"/>
      <scheme val="minor"/>
    </font>
    <font>
      <sz val="11"/>
      <color rgb="FF3B3B3B"/>
      <name val="Calibri"/>
      <family val="2"/>
      <scheme val="minor"/>
    </font>
    <font>
      <sz val="8"/>
      <color theme="1"/>
      <name val="Calibri"/>
      <family val="2"/>
      <scheme val="minor"/>
    </font>
    <font>
      <sz val="18"/>
      <color theme="1"/>
      <name val="Calibri"/>
      <family val="2"/>
      <scheme val="minor"/>
    </font>
    <font>
      <b/>
      <u/>
      <sz val="11"/>
      <color theme="1"/>
      <name val="Calibri"/>
      <family val="2"/>
      <scheme val="minor"/>
    </font>
    <font>
      <sz val="11"/>
      <name val="Calibri"/>
      <family val="2"/>
      <scheme val="minor"/>
    </font>
    <font>
      <sz val="12"/>
      <color theme="1"/>
      <name val="Calibri"/>
      <family val="2"/>
      <scheme val="minor"/>
    </font>
    <font>
      <b/>
      <u/>
      <sz val="12"/>
      <color theme="1"/>
      <name val="Calibri"/>
      <family val="2"/>
      <scheme val="minor"/>
    </font>
    <font>
      <b/>
      <sz val="14"/>
      <color theme="1"/>
      <name val="Calibri"/>
      <family val="2"/>
      <scheme val="minor"/>
    </font>
    <font>
      <b/>
      <sz val="11"/>
      <color theme="1"/>
      <name val="Calibri"/>
      <family val="2"/>
      <scheme val="minor"/>
    </font>
    <font>
      <b/>
      <u/>
      <sz val="12"/>
      <name val="Calibri"/>
      <family val="2"/>
      <scheme val="minor"/>
    </font>
    <font>
      <b/>
      <sz val="11"/>
      <color theme="0"/>
      <name val="Calibri"/>
      <family val="2"/>
      <scheme val="minor"/>
    </font>
    <font>
      <b/>
      <sz val="72"/>
      <color rgb="FF660066"/>
      <name val="Univers"/>
      <family val="2"/>
    </font>
    <font>
      <b/>
      <sz val="18"/>
      <color theme="0"/>
      <name val="Calibri"/>
      <family val="2"/>
      <scheme val="minor"/>
    </font>
    <font>
      <b/>
      <u/>
      <sz val="14"/>
      <color theme="1"/>
      <name val="Calibri"/>
      <family val="2"/>
      <scheme val="minor"/>
    </font>
    <font>
      <b/>
      <u/>
      <sz val="11"/>
      <color theme="0" tint="-4.9989318521683403E-2"/>
      <name val="Calibri"/>
      <family val="2"/>
      <scheme val="minor"/>
    </font>
    <font>
      <b/>
      <sz val="16"/>
      <color theme="0"/>
      <name val="Calibri"/>
      <family val="2"/>
      <scheme val="minor"/>
    </font>
    <font>
      <b/>
      <sz val="11"/>
      <name val="Calibri"/>
      <family val="2"/>
      <scheme val="minor"/>
    </font>
    <font>
      <sz val="8"/>
      <name val="Calibri"/>
      <family val="2"/>
      <scheme val="minor"/>
    </font>
    <font>
      <sz val="8"/>
      <color rgb="FF000000"/>
      <name val="Segoe UI"/>
      <family val="2"/>
    </font>
    <font>
      <b/>
      <sz val="12"/>
      <name val="Calibri"/>
      <family val="2"/>
      <scheme val="minor"/>
    </font>
    <font>
      <sz val="12"/>
      <name val="Calibri"/>
      <family val="2"/>
      <scheme val="minor"/>
    </font>
    <font>
      <b/>
      <sz val="18"/>
      <name val="Calibri"/>
      <family val="2"/>
      <scheme val="minor"/>
    </font>
    <font>
      <sz val="12"/>
      <color theme="0"/>
      <name val="Calibri"/>
      <family val="2"/>
      <scheme val="minor"/>
    </font>
    <font>
      <b/>
      <sz val="24"/>
      <color theme="0"/>
      <name val="Calibri"/>
      <family val="2"/>
      <scheme val="minor"/>
    </font>
    <font>
      <b/>
      <sz val="14"/>
      <name val="Calibri"/>
      <family val="2"/>
      <scheme val="minor"/>
    </font>
    <font>
      <b/>
      <u/>
      <sz val="11"/>
      <name val="Calibri"/>
      <family val="2"/>
      <scheme val="minor"/>
    </font>
    <font>
      <b/>
      <sz val="22"/>
      <color theme="0"/>
      <name val="Calibri"/>
      <family val="2"/>
      <scheme val="minor"/>
    </font>
    <font>
      <b/>
      <sz val="22"/>
      <name val="Calibri"/>
      <family val="2"/>
      <scheme val="minor"/>
    </font>
    <font>
      <b/>
      <sz val="16"/>
      <name val="Calibri"/>
      <family val="2"/>
      <scheme val="minor"/>
    </font>
    <font>
      <b/>
      <sz val="20"/>
      <color theme="0"/>
      <name val="Calibri"/>
      <family val="2"/>
      <scheme val="minor"/>
    </font>
    <font>
      <sz val="18"/>
      <color theme="0"/>
      <name val="Calibri"/>
      <family val="2"/>
      <scheme val="minor"/>
    </font>
    <font>
      <b/>
      <sz val="26"/>
      <color theme="0"/>
      <name val="Calibri"/>
      <family val="2"/>
      <scheme val="minor"/>
    </font>
    <font>
      <sz val="18"/>
      <color rgb="FF3B3B3B"/>
      <name val="Calibri"/>
      <family val="2"/>
    </font>
    <font>
      <sz val="26"/>
      <color rgb="FFFF0000"/>
      <name val="Calibri"/>
      <family val="2"/>
    </font>
    <font>
      <b/>
      <sz val="12"/>
      <color rgb="FFFF0000"/>
      <name val="Calibri"/>
      <family val="2"/>
      <scheme val="minor"/>
    </font>
    <font>
      <sz val="22"/>
      <color rgb="FFFF0000"/>
      <name val="Calibri"/>
      <family val="2"/>
    </font>
    <font>
      <b/>
      <sz val="8"/>
      <name val="Calibri"/>
      <family val="2"/>
      <scheme val="minor"/>
    </font>
    <font>
      <sz val="16"/>
      <color rgb="FFFF0000"/>
      <name val="Calibri"/>
      <family val="2"/>
      <scheme val="minor"/>
    </font>
    <font>
      <b/>
      <sz val="11"/>
      <color rgb="FF3B3B3B"/>
      <name val="Calibri"/>
      <family val="2"/>
      <scheme val="minor"/>
    </font>
    <font>
      <sz val="11"/>
      <color rgb="FF000000"/>
      <name val="Calibri"/>
      <family val="2"/>
      <scheme val="minor"/>
    </font>
    <font>
      <sz val="12"/>
      <color theme="1"/>
      <name val="Aptos"/>
      <family val="2"/>
    </font>
  </fonts>
  <fills count="50">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2"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6" tint="-0.249977111117893"/>
        <bgColor indexed="64"/>
      </patternFill>
    </fill>
    <fill>
      <patternFill patternType="solid">
        <fgColor theme="0"/>
        <bgColor theme="4" tint="0.79998168889431442"/>
      </patternFill>
    </fill>
    <fill>
      <patternFill patternType="solid">
        <fgColor theme="5" tint="0.59999389629810485"/>
        <bgColor theme="4" tint="0.79998168889431442"/>
      </patternFill>
    </fill>
    <fill>
      <patternFill patternType="solid">
        <fgColor theme="2"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1"/>
        <bgColor indexed="64"/>
      </patternFill>
    </fill>
    <fill>
      <patternFill patternType="solid">
        <fgColor theme="3"/>
        <bgColor indexed="64"/>
      </patternFill>
    </fill>
    <fill>
      <patternFill patternType="solid">
        <fgColor rgb="FF00B0F0"/>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4"/>
        <bgColor theme="4" tint="0.79998168889431442"/>
      </patternFill>
    </fill>
    <fill>
      <patternFill patternType="solid">
        <fgColor theme="7"/>
        <bgColor indexed="64"/>
      </patternFill>
    </fill>
    <fill>
      <patternFill patternType="solid">
        <fgColor theme="6"/>
        <bgColor indexed="64"/>
      </patternFill>
    </fill>
    <fill>
      <patternFill patternType="solid">
        <fgColor theme="5"/>
        <bgColor theme="4"/>
      </patternFill>
    </fill>
    <fill>
      <patternFill patternType="solid">
        <fgColor theme="6"/>
        <bgColor theme="4" tint="0.79998168889431442"/>
      </patternFill>
    </fill>
    <fill>
      <patternFill patternType="solid">
        <fgColor theme="7"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2"/>
        <bgColor indexed="64"/>
      </patternFill>
    </fill>
    <fill>
      <patternFill patternType="solid">
        <fgColor theme="2" tint="0.79998168889431442"/>
        <bgColor indexed="64"/>
      </patternFill>
    </fill>
    <fill>
      <patternFill patternType="solid">
        <fgColor theme="3" tint="0.749992370372631"/>
        <bgColor indexed="64"/>
      </patternFill>
    </fill>
    <fill>
      <patternFill patternType="solid">
        <fgColor theme="1" tint="0.79998168889431442"/>
        <bgColor indexed="64"/>
      </patternFill>
    </fill>
    <fill>
      <patternFill patternType="solid">
        <fgColor theme="8"/>
        <bgColor indexed="64"/>
      </patternFill>
    </fill>
    <fill>
      <patternFill patternType="solid">
        <fgColor theme="0" tint="-0.249977111117893"/>
        <bgColor indexed="64"/>
      </patternFill>
    </fill>
    <fill>
      <patternFill patternType="solid">
        <fgColor rgb="FFFFFF00"/>
        <bgColor indexed="64"/>
      </patternFill>
    </fill>
    <fill>
      <patternFill patternType="solid">
        <fgColor rgb="FF84FF84"/>
        <bgColor rgb="FF000000"/>
      </patternFill>
    </fill>
    <fill>
      <patternFill patternType="solid">
        <fgColor rgb="FFE8B7FF"/>
        <bgColor rgb="FF000000"/>
      </patternFill>
    </fill>
    <fill>
      <patternFill patternType="solid">
        <fgColor rgb="FFFF99AD"/>
        <bgColor rgb="FF000000"/>
      </patternFill>
    </fill>
    <fill>
      <patternFill patternType="solid">
        <fgColor theme="5" tint="-0.499984740745262"/>
        <bgColor indexed="64"/>
      </patternFill>
    </fill>
    <fill>
      <patternFill patternType="solid">
        <fgColor rgb="FFFFC000"/>
        <bgColor indexed="64"/>
      </patternFill>
    </fill>
    <fill>
      <patternFill patternType="solid">
        <fgColor theme="4" tint="0.39997558519241921"/>
        <bgColor indexed="64"/>
      </patternFill>
    </fill>
  </fills>
  <borders count="26">
    <border>
      <left/>
      <right/>
      <top/>
      <bottom/>
      <diagonal/>
    </border>
    <border>
      <left style="thin">
        <color theme="4" tint="0.39997558519241921"/>
      </left>
      <right/>
      <top style="thin">
        <color theme="4" tint="0.39997558519241921"/>
      </top>
      <bottom style="thin">
        <color theme="1"/>
      </bottom>
      <diagonal/>
    </border>
    <border>
      <left/>
      <right style="thin">
        <color theme="1"/>
      </right>
      <top style="thin">
        <color theme="4" tint="0.39997558519241921"/>
      </top>
      <bottom style="thin">
        <color theme="1"/>
      </bottom>
      <diagonal/>
    </border>
    <border>
      <left style="thin">
        <color theme="4" tint="0.3999755851924192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style="thin">
        <color theme="1"/>
      </right>
      <top style="thin">
        <color theme="4" tint="0.39997558519241921"/>
      </top>
      <bottom style="thin">
        <color theme="4" tint="0.39997558519241921"/>
      </bottom>
      <diagonal/>
    </border>
    <border>
      <left style="thin">
        <color theme="4" tint="0.39997558519241921"/>
      </left>
      <right/>
      <top/>
      <bottom style="thin">
        <color theme="1"/>
      </bottom>
      <diagonal/>
    </border>
    <border>
      <left/>
      <right/>
      <top/>
      <bottom style="thin">
        <color theme="1"/>
      </bottom>
      <diagonal/>
    </border>
    <border>
      <left style="thin">
        <color theme="4" tint="0.39997558519241921"/>
      </left>
      <right/>
      <top/>
      <bottom/>
      <diagonal/>
    </border>
  </borders>
  <cellStyleXfs count="4">
    <xf numFmtId="0" fontId="0" fillId="0" borderId="0"/>
    <xf numFmtId="165"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cellStyleXfs>
  <cellXfs count="726">
    <xf numFmtId="0" fontId="0" fillId="0" borderId="0" xfId="0"/>
    <xf numFmtId="0" fontId="1" fillId="0" borderId="0" xfId="0" applyFont="1"/>
    <xf numFmtId="166" fontId="0" fillId="0" borderId="0" xfId="1" applyNumberFormat="1" applyFont="1"/>
    <xf numFmtId="0" fontId="0" fillId="2" borderId="0" xfId="0" applyFill="1"/>
    <xf numFmtId="14" fontId="0" fillId="2" borderId="0" xfId="0" applyNumberFormat="1" applyFill="1"/>
    <xf numFmtId="0" fontId="6" fillId="2" borderId="0" xfId="0" applyFont="1" applyFill="1" applyAlignment="1">
      <alignment vertical="center" wrapText="1"/>
    </xf>
    <xf numFmtId="0" fontId="5" fillId="2" borderId="0" xfId="0" applyFont="1" applyFill="1"/>
    <xf numFmtId="0" fontId="7" fillId="0" borderId="0" xfId="0" applyFont="1"/>
    <xf numFmtId="0" fontId="8" fillId="0" borderId="0" xfId="0" applyFont="1"/>
    <xf numFmtId="167" fontId="0" fillId="0" borderId="0" xfId="0" applyNumberFormat="1"/>
    <xf numFmtId="164" fontId="0" fillId="0" borderId="0" xfId="2" applyFont="1"/>
    <xf numFmtId="0" fontId="0" fillId="5" borderId="0" xfId="0" applyFill="1"/>
    <xf numFmtId="14" fontId="8" fillId="0" borderId="0" xfId="0" applyNumberFormat="1" applyFont="1"/>
    <xf numFmtId="0" fontId="8" fillId="2" borderId="0" xfId="0" applyFont="1" applyFill="1"/>
    <xf numFmtId="0" fontId="8" fillId="2" borderId="0" xfId="0" applyFont="1" applyFill="1" applyAlignment="1">
      <alignment horizontal="left"/>
    </xf>
    <xf numFmtId="0" fontId="8" fillId="2" borderId="0" xfId="0" applyFont="1" applyFill="1" applyAlignment="1">
      <alignment horizontal="left" vertical="center"/>
    </xf>
    <xf numFmtId="166" fontId="1" fillId="0" borderId="0" xfId="1" applyNumberFormat="1" applyFont="1"/>
    <xf numFmtId="0" fontId="0" fillId="0" borderId="0" xfId="0" applyAlignment="1">
      <alignment wrapText="1"/>
    </xf>
    <xf numFmtId="0" fontId="8" fillId="7" borderId="0" xfId="0" applyFont="1" applyFill="1"/>
    <xf numFmtId="0" fontId="8" fillId="7" borderId="0" xfId="0" applyFont="1" applyFill="1" applyAlignment="1">
      <alignment vertical="top" wrapText="1"/>
    </xf>
    <xf numFmtId="0" fontId="0" fillId="6" borderId="0" xfId="0" applyFill="1" applyAlignment="1">
      <alignment wrapText="1"/>
    </xf>
    <xf numFmtId="0" fontId="13" fillId="7" borderId="0" xfId="0" applyFont="1" applyFill="1" applyAlignment="1">
      <alignment wrapText="1"/>
    </xf>
    <xf numFmtId="0" fontId="8" fillId="7" borderId="0" xfId="0" applyFont="1" applyFill="1" applyAlignment="1">
      <alignment wrapText="1"/>
    </xf>
    <xf numFmtId="0" fontId="0" fillId="5" borderId="0" xfId="0" applyFill="1" applyAlignment="1">
      <alignment wrapText="1"/>
    </xf>
    <xf numFmtId="0" fontId="9" fillId="8" borderId="0" xfId="0" applyFont="1" applyFill="1" applyAlignment="1">
      <alignment wrapText="1"/>
    </xf>
    <xf numFmtId="0" fontId="0" fillId="8" borderId="0" xfId="0" applyFill="1" applyAlignment="1">
      <alignment wrapText="1"/>
    </xf>
    <xf numFmtId="0" fontId="0" fillId="8" borderId="0" xfId="0" applyFill="1"/>
    <xf numFmtId="0" fontId="0" fillId="7" borderId="0" xfId="0" applyFill="1"/>
    <xf numFmtId="0" fontId="0" fillId="7" borderId="0" xfId="0" applyFill="1" applyAlignment="1">
      <alignment wrapText="1"/>
    </xf>
    <xf numFmtId="0" fontId="0" fillId="9" borderId="0" xfId="0" applyFill="1"/>
    <xf numFmtId="0" fontId="0" fillId="9" borderId="0" xfId="0" applyFill="1" applyAlignment="1">
      <alignment wrapText="1"/>
    </xf>
    <xf numFmtId="0" fontId="4" fillId="0" borderId="0" xfId="0" applyFont="1" applyAlignment="1">
      <alignment vertical="center"/>
    </xf>
    <xf numFmtId="0" fontId="2" fillId="0" borderId="0" xfId="0" applyFont="1"/>
    <xf numFmtId="0" fontId="0" fillId="0" borderId="0" xfId="0" applyAlignment="1">
      <alignment horizontal="right"/>
    </xf>
    <xf numFmtId="0" fontId="0" fillId="4" borderId="0" xfId="0" applyFill="1"/>
    <xf numFmtId="14" fontId="0" fillId="4" borderId="0" xfId="0" applyNumberFormat="1" applyFill="1"/>
    <xf numFmtId="0" fontId="0" fillId="10" borderId="0" xfId="0" applyFill="1" applyAlignment="1">
      <alignment wrapText="1"/>
    </xf>
    <xf numFmtId="0" fontId="0" fillId="10" borderId="0" xfId="0" applyFill="1"/>
    <xf numFmtId="2" fontId="0" fillId="0" borderId="0" xfId="2" applyNumberFormat="1" applyFont="1"/>
    <xf numFmtId="0" fontId="10" fillId="0" borderId="0" xfId="0" applyFont="1"/>
    <xf numFmtId="0" fontId="4" fillId="0" borderId="0" xfId="0" applyFont="1" applyAlignment="1">
      <alignment vertical="center" wrapText="1"/>
    </xf>
    <xf numFmtId="0" fontId="0" fillId="0" borderId="0" xfId="0" applyAlignment="1">
      <alignment vertical="top" wrapText="1"/>
    </xf>
    <xf numFmtId="0" fontId="12" fillId="0" borderId="0" xfId="0" applyFont="1"/>
    <xf numFmtId="0" fontId="8" fillId="2" borderId="0" xfId="0" applyFont="1" applyFill="1" applyAlignment="1">
      <alignment vertical="center" wrapText="1"/>
    </xf>
    <xf numFmtId="0" fontId="8" fillId="11" borderId="1" xfId="0" applyFont="1" applyFill="1" applyBorder="1" applyAlignment="1">
      <alignment horizontal="right"/>
    </xf>
    <xf numFmtId="0" fontId="8" fillId="11" borderId="2" xfId="0" applyFont="1" applyFill="1" applyBorder="1" applyAlignment="1">
      <alignment horizontal="right"/>
    </xf>
    <xf numFmtId="0" fontId="8" fillId="2" borderId="3" xfId="0" applyFont="1" applyFill="1" applyBorder="1" applyAlignment="1">
      <alignment horizontal="right"/>
    </xf>
    <xf numFmtId="0" fontId="8" fillId="2" borderId="4" xfId="0" applyFont="1" applyFill="1" applyBorder="1" applyAlignment="1">
      <alignment horizontal="right"/>
    </xf>
    <xf numFmtId="0" fontId="8" fillId="6" borderId="3" xfId="0" applyFont="1" applyFill="1" applyBorder="1" applyAlignment="1">
      <alignment horizontal="right"/>
    </xf>
    <xf numFmtId="0" fontId="8" fillId="6" borderId="4" xfId="0" applyFont="1" applyFill="1" applyBorder="1" applyAlignment="1">
      <alignment horizontal="right"/>
    </xf>
    <xf numFmtId="0" fontId="8" fillId="12" borderId="3" xfId="0" applyFont="1" applyFill="1" applyBorder="1" applyAlignment="1">
      <alignment horizontal="right"/>
    </xf>
    <xf numFmtId="0" fontId="8" fillId="12" borderId="4" xfId="0" applyFont="1" applyFill="1" applyBorder="1" applyAlignment="1">
      <alignment horizontal="right" vertical="center"/>
    </xf>
    <xf numFmtId="0" fontId="0" fillId="12" borderId="4" xfId="0" applyFill="1" applyBorder="1" applyAlignment="1">
      <alignment horizontal="right"/>
    </xf>
    <xf numFmtId="0" fontId="0" fillId="2" borderId="0" xfId="0" applyFill="1" applyAlignment="1">
      <alignment wrapText="1"/>
    </xf>
    <xf numFmtId="164" fontId="1" fillId="0" borderId="0" xfId="2" applyFont="1"/>
    <xf numFmtId="0" fontId="0" fillId="0" borderId="0" xfId="0" pivotButton="1"/>
    <xf numFmtId="166" fontId="0" fillId="0" borderId="0" xfId="0" applyNumberFormat="1"/>
    <xf numFmtId="164" fontId="0" fillId="0" borderId="0" xfId="0" applyNumberFormat="1"/>
    <xf numFmtId="0" fontId="17" fillId="0" borderId="0" xfId="0" applyFont="1"/>
    <xf numFmtId="0" fontId="0" fillId="0" borderId="0" xfId="0" applyAlignment="1">
      <alignment horizontal="center"/>
    </xf>
    <xf numFmtId="14" fontId="18" fillId="3" borderId="0" xfId="0" applyNumberFormat="1" applyFont="1" applyFill="1" applyAlignment="1">
      <alignment horizontal="center"/>
    </xf>
    <xf numFmtId="0" fontId="18" fillId="3" borderId="0" xfId="0" applyFont="1" applyFill="1" applyAlignment="1">
      <alignment horizontal="center"/>
    </xf>
    <xf numFmtId="14" fontId="0" fillId="0" borderId="0" xfId="0" applyNumberFormat="1" applyAlignment="1">
      <alignment horizontal="center"/>
    </xf>
    <xf numFmtId="0" fontId="0" fillId="0" borderId="0" xfId="0" applyAlignment="1">
      <alignment horizontal="left"/>
    </xf>
    <xf numFmtId="0" fontId="0" fillId="0" borderId="0" xfId="0" applyAlignment="1">
      <alignment horizontal="left" indent="1"/>
    </xf>
    <xf numFmtId="0" fontId="9" fillId="0" borderId="0" xfId="0" applyFont="1"/>
    <xf numFmtId="164" fontId="8" fillId="4" borderId="6" xfId="2" applyFont="1" applyFill="1" applyBorder="1"/>
    <xf numFmtId="164" fontId="8" fillId="4" borderId="0" xfId="2" applyFont="1" applyFill="1" applyBorder="1"/>
    <xf numFmtId="164" fontId="8" fillId="2" borderId="6" xfId="2" applyFont="1" applyFill="1" applyBorder="1"/>
    <xf numFmtId="164" fontId="8" fillId="2" borderId="0" xfId="2" applyFont="1" applyFill="1" applyBorder="1"/>
    <xf numFmtId="0" fontId="20" fillId="2" borderId="6" xfId="0" applyFont="1" applyFill="1" applyBorder="1"/>
    <xf numFmtId="0" fontId="20" fillId="4" borderId="6" xfId="0" applyFont="1" applyFill="1" applyBorder="1"/>
    <xf numFmtId="0" fontId="8" fillId="4" borderId="6" xfId="0" applyFont="1" applyFill="1" applyBorder="1" applyAlignment="1">
      <alignment horizontal="left" indent="1"/>
    </xf>
    <xf numFmtId="0" fontId="8" fillId="2" borderId="6" xfId="0" applyFont="1" applyFill="1" applyBorder="1" applyAlignment="1">
      <alignment horizontal="left" indent="1"/>
    </xf>
    <xf numFmtId="166" fontId="8" fillId="2" borderId="9" xfId="1" applyNumberFormat="1" applyFont="1" applyFill="1" applyBorder="1"/>
    <xf numFmtId="168" fontId="8" fillId="2" borderId="0" xfId="2" applyNumberFormat="1" applyFont="1" applyFill="1" applyBorder="1"/>
    <xf numFmtId="168" fontId="8" fillId="2" borderId="11" xfId="2" applyNumberFormat="1" applyFont="1" applyFill="1" applyBorder="1"/>
    <xf numFmtId="166" fontId="8" fillId="2" borderId="10" xfId="1" applyNumberFormat="1" applyFont="1" applyFill="1" applyBorder="1"/>
    <xf numFmtId="168" fontId="8" fillId="2" borderId="12" xfId="2" applyNumberFormat="1" applyFont="1" applyFill="1" applyBorder="1"/>
    <xf numFmtId="166" fontId="8" fillId="4" borderId="9" xfId="1" applyNumberFormat="1" applyFont="1" applyFill="1" applyBorder="1"/>
    <xf numFmtId="168" fontId="8" fillId="4" borderId="0" xfId="2" applyNumberFormat="1" applyFont="1" applyFill="1" applyBorder="1"/>
    <xf numFmtId="168" fontId="8" fillId="4" borderId="11" xfId="2" applyNumberFormat="1" applyFont="1" applyFill="1" applyBorder="1"/>
    <xf numFmtId="166" fontId="0" fillId="2" borderId="0" xfId="1" applyNumberFormat="1" applyFont="1" applyFill="1"/>
    <xf numFmtId="164" fontId="8" fillId="2" borderId="0" xfId="2" applyFont="1" applyFill="1" applyBorder="1" applyAlignment="1">
      <alignment horizontal="center"/>
    </xf>
    <xf numFmtId="164" fontId="8" fillId="2" borderId="11" xfId="2" applyFont="1" applyFill="1" applyBorder="1" applyAlignment="1">
      <alignment horizontal="center"/>
    </xf>
    <xf numFmtId="0" fontId="0" fillId="14" borderId="0" xfId="0" applyFill="1" applyAlignment="1">
      <alignment wrapText="1"/>
    </xf>
    <xf numFmtId="0" fontId="20" fillId="7" borderId="14" xfId="0" applyFont="1" applyFill="1" applyBorder="1" applyAlignment="1">
      <alignment vertical="center"/>
    </xf>
    <xf numFmtId="0" fontId="20" fillId="7" borderId="15" xfId="0" applyFont="1" applyFill="1" applyBorder="1" applyAlignment="1">
      <alignment horizontal="center" vertical="center"/>
    </xf>
    <xf numFmtId="0" fontId="20" fillId="7" borderId="16" xfId="0" applyFont="1" applyFill="1" applyBorder="1" applyAlignment="1">
      <alignment horizontal="center" vertical="center" wrapText="1"/>
    </xf>
    <xf numFmtId="0" fontId="20" fillId="7" borderId="14" xfId="0" applyFont="1" applyFill="1" applyBorder="1" applyAlignment="1">
      <alignment horizontal="center" vertical="center"/>
    </xf>
    <xf numFmtId="168" fontId="20" fillId="7" borderId="14" xfId="2" applyNumberFormat="1" applyFont="1" applyFill="1" applyBorder="1" applyAlignment="1">
      <alignment horizontal="center" vertical="center" wrapText="1"/>
    </xf>
    <xf numFmtId="0" fontId="0" fillId="0" borderId="0" xfId="0" applyAlignment="1">
      <alignment vertical="center"/>
    </xf>
    <xf numFmtId="166" fontId="8" fillId="2" borderId="6" xfId="1" applyNumberFormat="1" applyFont="1" applyFill="1" applyBorder="1"/>
    <xf numFmtId="166" fontId="8" fillId="4" borderId="6" xfId="1" applyNumberFormat="1" applyFont="1" applyFill="1" applyBorder="1"/>
    <xf numFmtId="166" fontId="8" fillId="2" borderId="6" xfId="1" applyNumberFormat="1" applyFont="1" applyFill="1" applyBorder="1" applyAlignment="1">
      <alignment horizontal="right"/>
    </xf>
    <xf numFmtId="0" fontId="20" fillId="7" borderId="14" xfId="0" applyFont="1" applyFill="1" applyBorder="1" applyAlignment="1">
      <alignment vertical="center" wrapText="1"/>
    </xf>
    <xf numFmtId="0" fontId="20" fillId="7" borderId="13" xfId="0" applyFont="1" applyFill="1" applyBorder="1" applyAlignment="1">
      <alignment horizontal="center" vertical="center" wrapText="1"/>
    </xf>
    <xf numFmtId="166" fontId="20" fillId="7" borderId="14" xfId="1" applyNumberFormat="1" applyFont="1" applyFill="1" applyBorder="1" applyAlignment="1">
      <alignment horizontal="center" vertical="center" wrapText="1"/>
    </xf>
    <xf numFmtId="0" fontId="0" fillId="0" borderId="0" xfId="0" applyAlignment="1">
      <alignment vertical="center" wrapText="1"/>
    </xf>
    <xf numFmtId="0" fontId="8" fillId="2" borderId="17" xfId="0" applyFont="1" applyFill="1" applyBorder="1"/>
    <xf numFmtId="166" fontId="20" fillId="2" borderId="20" xfId="1" applyNumberFormat="1" applyFont="1" applyFill="1" applyBorder="1"/>
    <xf numFmtId="168" fontId="20" fillId="2" borderId="0" xfId="2" applyNumberFormat="1" applyFont="1" applyFill="1" applyBorder="1"/>
    <xf numFmtId="164" fontId="8" fillId="2" borderId="9" xfId="2" applyFont="1" applyFill="1" applyBorder="1" applyAlignment="1">
      <alignment horizontal="center"/>
    </xf>
    <xf numFmtId="0" fontId="8" fillId="4" borderId="9" xfId="0" applyFont="1" applyFill="1" applyBorder="1"/>
    <xf numFmtId="0" fontId="8" fillId="4" borderId="11" xfId="0" applyFont="1" applyFill="1" applyBorder="1"/>
    <xf numFmtId="166" fontId="12" fillId="4" borderId="9" xfId="1" applyNumberFormat="1" applyFont="1" applyFill="1" applyBorder="1"/>
    <xf numFmtId="168" fontId="12" fillId="4" borderId="0" xfId="2" applyNumberFormat="1" applyFont="1" applyFill="1"/>
    <xf numFmtId="168" fontId="12" fillId="4" borderId="11" xfId="2" applyNumberFormat="1" applyFont="1" applyFill="1" applyBorder="1"/>
    <xf numFmtId="164" fontId="8" fillId="4" borderId="9" xfId="2" applyFont="1" applyFill="1" applyBorder="1" applyAlignment="1">
      <alignment horizontal="center"/>
    </xf>
    <xf numFmtId="164" fontId="8" fillId="4" borderId="11" xfId="2" applyFont="1" applyFill="1" applyBorder="1" applyAlignment="1">
      <alignment horizontal="center"/>
    </xf>
    <xf numFmtId="0" fontId="8" fillId="2" borderId="9" xfId="0" applyFont="1" applyFill="1" applyBorder="1"/>
    <xf numFmtId="0" fontId="8" fillId="2" borderId="11" xfId="0" applyFont="1" applyFill="1" applyBorder="1"/>
    <xf numFmtId="166" fontId="12" fillId="2" borderId="9" xfId="1" applyNumberFormat="1" applyFont="1" applyFill="1" applyBorder="1"/>
    <xf numFmtId="166" fontId="20" fillId="2" borderId="9" xfId="1" applyNumberFormat="1" applyFont="1" applyFill="1" applyBorder="1"/>
    <xf numFmtId="0" fontId="8" fillId="2" borderId="8" xfId="0" applyFont="1" applyFill="1" applyBorder="1" applyAlignment="1">
      <alignment horizontal="left" indent="1"/>
    </xf>
    <xf numFmtId="164" fontId="8" fillId="2" borderId="10" xfId="2" applyFont="1" applyFill="1" applyBorder="1" applyAlignment="1">
      <alignment horizontal="center"/>
    </xf>
    <xf numFmtId="164" fontId="8" fillId="2" borderId="7" xfId="2" applyFont="1" applyFill="1" applyBorder="1" applyAlignment="1">
      <alignment horizontal="center"/>
    </xf>
    <xf numFmtId="0" fontId="20" fillId="2" borderId="9" xfId="0" applyFont="1" applyFill="1" applyBorder="1"/>
    <xf numFmtId="0" fontId="8" fillId="2" borderId="0" xfId="0" applyFont="1" applyFill="1" applyAlignment="1">
      <alignment horizontal="center"/>
    </xf>
    <xf numFmtId="166" fontId="20" fillId="2" borderId="9" xfId="1" applyNumberFormat="1" applyFont="1" applyFill="1" applyBorder="1" applyAlignment="1">
      <alignment horizontal="center"/>
    </xf>
    <xf numFmtId="166" fontId="20" fillId="2" borderId="0" xfId="1" applyNumberFormat="1" applyFont="1" applyFill="1" applyAlignment="1">
      <alignment horizontal="center"/>
    </xf>
    <xf numFmtId="0" fontId="8" fillId="2" borderId="9" xfId="0" applyFont="1" applyFill="1" applyBorder="1" applyAlignment="1">
      <alignment horizontal="left" indent="1"/>
    </xf>
    <xf numFmtId="164" fontId="8" fillId="2" borderId="0" xfId="2" applyFont="1" applyFill="1" applyAlignment="1">
      <alignment horizontal="center"/>
    </xf>
    <xf numFmtId="10" fontId="8" fillId="2" borderId="0" xfId="3" applyNumberFormat="1" applyFont="1" applyFill="1" applyAlignment="1">
      <alignment horizontal="center"/>
    </xf>
    <xf numFmtId="166" fontId="8" fillId="2" borderId="9" xfId="1" applyNumberFormat="1" applyFont="1" applyFill="1" applyBorder="1" applyAlignment="1">
      <alignment horizontal="center"/>
    </xf>
    <xf numFmtId="168" fontId="8" fillId="2" borderId="0" xfId="2" applyNumberFormat="1" applyFont="1" applyFill="1" applyBorder="1" applyAlignment="1">
      <alignment horizontal="center"/>
    </xf>
    <xf numFmtId="0" fontId="20" fillId="7" borderId="9" xfId="0" applyFont="1" applyFill="1" applyBorder="1" applyAlignment="1">
      <alignment horizontal="left"/>
    </xf>
    <xf numFmtId="164" fontId="8" fillId="7" borderId="0" xfId="2" applyFont="1" applyFill="1" applyAlignment="1">
      <alignment horizontal="center"/>
    </xf>
    <xf numFmtId="10" fontId="8" fillId="7" borderId="0" xfId="3" applyNumberFormat="1" applyFont="1" applyFill="1" applyAlignment="1">
      <alignment horizontal="center"/>
    </xf>
    <xf numFmtId="166" fontId="8" fillId="7" borderId="9" xfId="1" applyNumberFormat="1" applyFont="1" applyFill="1" applyBorder="1" applyAlignment="1">
      <alignment horizontal="center"/>
    </xf>
    <xf numFmtId="168" fontId="8" fillId="7" borderId="0" xfId="2" applyNumberFormat="1" applyFont="1" applyFill="1" applyBorder="1" applyAlignment="1">
      <alignment horizontal="center"/>
    </xf>
    <xf numFmtId="0" fontId="20" fillId="7" borderId="9" xfId="0" applyFont="1" applyFill="1" applyBorder="1"/>
    <xf numFmtId="0" fontId="8" fillId="7" borderId="9" xfId="0" applyFont="1" applyFill="1" applyBorder="1" applyAlignment="1">
      <alignment horizontal="left" indent="1"/>
    </xf>
    <xf numFmtId="169" fontId="8" fillId="7" borderId="0" xfId="2" applyNumberFormat="1" applyFont="1" applyFill="1" applyAlignment="1">
      <alignment horizontal="center"/>
    </xf>
    <xf numFmtId="169" fontId="8" fillId="2" borderId="0" xfId="2" applyNumberFormat="1" applyFont="1" applyFill="1" applyAlignment="1">
      <alignment horizontal="center"/>
    </xf>
    <xf numFmtId="0" fontId="20" fillId="2" borderId="9" xfId="0" applyFont="1" applyFill="1" applyBorder="1" applyAlignment="1">
      <alignment horizontal="left"/>
    </xf>
    <xf numFmtId="0" fontId="20" fillId="2" borderId="10" xfId="0" applyFont="1" applyFill="1" applyBorder="1"/>
    <xf numFmtId="10" fontId="8" fillId="2" borderId="7" xfId="3" applyNumberFormat="1" applyFont="1" applyFill="1" applyBorder="1" applyAlignment="1">
      <alignment horizontal="center"/>
    </xf>
    <xf numFmtId="166" fontId="8" fillId="2" borderId="10" xfId="1" applyNumberFormat="1" applyFont="1" applyFill="1" applyBorder="1" applyAlignment="1">
      <alignment horizontal="center"/>
    </xf>
    <xf numFmtId="168" fontId="8" fillId="2" borderId="7" xfId="2" applyNumberFormat="1" applyFont="1" applyFill="1" applyBorder="1" applyAlignment="1">
      <alignment horizontal="center"/>
    </xf>
    <xf numFmtId="0" fontId="20" fillId="7" borderId="13" xfId="0" applyFont="1" applyFill="1" applyBorder="1" applyAlignment="1">
      <alignment horizontal="center" vertical="center"/>
    </xf>
    <xf numFmtId="0" fontId="20" fillId="2" borderId="0" xfId="0" applyFont="1" applyFill="1"/>
    <xf numFmtId="166" fontId="20" fillId="2" borderId="0" xfId="1" applyNumberFormat="1" applyFont="1" applyFill="1"/>
    <xf numFmtId="0" fontId="8" fillId="2" borderId="0" xfId="0" applyFont="1" applyFill="1" applyAlignment="1">
      <alignment horizontal="left" indent="1"/>
    </xf>
    <xf numFmtId="164" fontId="8" fillId="2" borderId="0" xfId="2" applyFont="1" applyFill="1"/>
    <xf numFmtId="0" fontId="20" fillId="4" borderId="0" xfId="0" applyFont="1" applyFill="1"/>
    <xf numFmtId="164" fontId="8" fillId="4" borderId="0" xfId="2" applyFont="1" applyFill="1"/>
    <xf numFmtId="166" fontId="8" fillId="2" borderId="9" xfId="1" applyNumberFormat="1" applyFont="1" applyFill="1" applyBorder="1" applyAlignment="1">
      <alignment horizontal="right"/>
    </xf>
    <xf numFmtId="0" fontId="20" fillId="2" borderId="7" xfId="0" applyFont="1" applyFill="1" applyBorder="1"/>
    <xf numFmtId="164" fontId="8" fillId="2" borderId="7" xfId="2" applyFont="1" applyFill="1" applyBorder="1"/>
    <xf numFmtId="0" fontId="20" fillId="2" borderId="18" xfId="0" applyFont="1" applyFill="1" applyBorder="1"/>
    <xf numFmtId="164" fontId="8" fillId="0" borderId="0" xfId="2" applyFont="1" applyFill="1" applyBorder="1"/>
    <xf numFmtId="0" fontId="20" fillId="2" borderId="8" xfId="0" applyFont="1" applyFill="1" applyBorder="1"/>
    <xf numFmtId="164" fontId="8" fillId="4" borderId="0" xfId="2" applyFont="1" applyFill="1" applyBorder="1" applyAlignment="1">
      <alignment horizontal="center"/>
    </xf>
    <xf numFmtId="10" fontId="8" fillId="4" borderId="0" xfId="3" applyNumberFormat="1" applyFont="1" applyFill="1" applyBorder="1" applyAlignment="1">
      <alignment horizontal="center"/>
    </xf>
    <xf numFmtId="166" fontId="8" fillId="4" borderId="9" xfId="1" applyNumberFormat="1" applyFont="1" applyFill="1" applyBorder="1" applyAlignment="1">
      <alignment horizontal="center"/>
    </xf>
    <xf numFmtId="164" fontId="8" fillId="2" borderId="19" xfId="2" applyFont="1" applyFill="1" applyBorder="1" applyAlignment="1"/>
    <xf numFmtId="166" fontId="24" fillId="2" borderId="9" xfId="1" applyNumberFormat="1" applyFont="1" applyFill="1" applyBorder="1"/>
    <xf numFmtId="164" fontId="8" fillId="2" borderId="0" xfId="2" applyFont="1" applyFill="1" applyBorder="1" applyAlignment="1"/>
    <xf numFmtId="164" fontId="8" fillId="2" borderId="11" xfId="2" applyFont="1" applyFill="1" applyBorder="1" applyAlignment="1"/>
    <xf numFmtId="0" fontId="23" fillId="2" borderId="9" xfId="0" applyFont="1" applyFill="1" applyBorder="1"/>
    <xf numFmtId="0" fontId="24" fillId="2" borderId="0" xfId="0" applyFont="1" applyFill="1" applyAlignment="1">
      <alignment horizontal="center"/>
    </xf>
    <xf numFmtId="0" fontId="24" fillId="2" borderId="11" xfId="0" applyFont="1" applyFill="1" applyBorder="1" applyAlignment="1">
      <alignment horizontal="center"/>
    </xf>
    <xf numFmtId="166" fontId="23" fillId="2" borderId="9" xfId="1" applyNumberFormat="1" applyFont="1" applyFill="1" applyBorder="1" applyAlignment="1">
      <alignment horizontal="center"/>
    </xf>
    <xf numFmtId="166" fontId="23" fillId="2" borderId="11" xfId="1" applyNumberFormat="1" applyFont="1" applyFill="1" applyBorder="1" applyAlignment="1">
      <alignment horizontal="center"/>
    </xf>
    <xf numFmtId="0" fontId="24" fillId="2" borderId="9" xfId="0" applyFont="1" applyFill="1" applyBorder="1" applyAlignment="1">
      <alignment horizontal="left" indent="1"/>
    </xf>
    <xf numFmtId="164" fontId="24" fillId="2" borderId="0" xfId="2" applyFont="1" applyFill="1" applyAlignment="1">
      <alignment horizontal="center"/>
    </xf>
    <xf numFmtId="164" fontId="24" fillId="2" borderId="0" xfId="2" applyFont="1" applyFill="1" applyBorder="1" applyAlignment="1">
      <alignment horizontal="center"/>
    </xf>
    <xf numFmtId="10" fontId="24" fillId="2" borderId="11" xfId="3" applyNumberFormat="1" applyFont="1" applyFill="1" applyBorder="1" applyAlignment="1">
      <alignment horizontal="center"/>
    </xf>
    <xf numFmtId="166" fontId="24" fillId="2" borderId="9" xfId="1" applyNumberFormat="1" applyFont="1" applyFill="1" applyBorder="1" applyAlignment="1">
      <alignment horizontal="center"/>
    </xf>
    <xf numFmtId="168" fontId="24" fillId="2" borderId="11" xfId="2" applyNumberFormat="1" applyFont="1" applyFill="1" applyBorder="1" applyAlignment="1">
      <alignment horizontal="center"/>
    </xf>
    <xf numFmtId="0" fontId="23" fillId="14" borderId="9" xfId="0" applyFont="1" applyFill="1" applyBorder="1" applyAlignment="1">
      <alignment horizontal="left"/>
    </xf>
    <xf numFmtId="164" fontId="24" fillId="14" borderId="0" xfId="2" applyFont="1" applyFill="1" applyAlignment="1">
      <alignment horizontal="center"/>
    </xf>
    <xf numFmtId="164" fontId="24" fillId="14" borderId="0" xfId="2" applyFont="1" applyFill="1" applyBorder="1" applyAlignment="1">
      <alignment horizontal="center"/>
    </xf>
    <xf numFmtId="10" fontId="24" fillId="14" borderId="11" xfId="3" applyNumberFormat="1" applyFont="1" applyFill="1" applyBorder="1" applyAlignment="1">
      <alignment horizontal="center"/>
    </xf>
    <xf numFmtId="166" fontId="24" fillId="14" borderId="9" xfId="1" applyNumberFormat="1" applyFont="1" applyFill="1" applyBorder="1" applyAlignment="1">
      <alignment horizontal="center"/>
    </xf>
    <xf numFmtId="168" fontId="24" fillId="14" borderId="11" xfId="2" applyNumberFormat="1" applyFont="1" applyFill="1" applyBorder="1" applyAlignment="1">
      <alignment horizontal="center"/>
    </xf>
    <xf numFmtId="169" fontId="24" fillId="2" borderId="0" xfId="2" applyNumberFormat="1" applyFont="1" applyFill="1" applyAlignment="1">
      <alignment horizontal="center"/>
    </xf>
    <xf numFmtId="0" fontId="23" fillId="14" borderId="9" xfId="0" applyFont="1" applyFill="1" applyBorder="1"/>
    <xf numFmtId="169" fontId="24" fillId="14" borderId="0" xfId="2" applyNumberFormat="1" applyFont="1" applyFill="1" applyAlignment="1">
      <alignment horizontal="center"/>
    </xf>
    <xf numFmtId="0" fontId="23" fillId="0" borderId="9" xfId="0" applyFont="1" applyBorder="1"/>
    <xf numFmtId="166" fontId="24" fillId="0" borderId="9" xfId="1" applyNumberFormat="1" applyFont="1" applyFill="1" applyBorder="1" applyAlignment="1">
      <alignment horizontal="center"/>
    </xf>
    <xf numFmtId="0" fontId="24" fillId="14" borderId="9" xfId="0" applyFont="1" applyFill="1" applyBorder="1" applyAlignment="1">
      <alignment horizontal="left" indent="1"/>
    </xf>
    <xf numFmtId="164" fontId="24" fillId="2" borderId="11" xfId="2" applyFont="1" applyFill="1" applyBorder="1" applyAlignment="1">
      <alignment horizontal="center"/>
    </xf>
    <xf numFmtId="164" fontId="24" fillId="14" borderId="11" xfId="2" applyFont="1" applyFill="1" applyBorder="1" applyAlignment="1">
      <alignment horizontal="center"/>
    </xf>
    <xf numFmtId="164" fontId="8" fillId="7" borderId="0" xfId="2" applyFont="1" applyFill="1" applyBorder="1" applyAlignment="1"/>
    <xf numFmtId="3" fontId="0" fillId="0" borderId="0" xfId="0" applyNumberFormat="1"/>
    <xf numFmtId="14" fontId="0" fillId="0" borderId="0" xfId="0" applyNumberFormat="1"/>
    <xf numFmtId="10" fontId="0" fillId="0" borderId="0" xfId="3" applyNumberFormat="1" applyFont="1"/>
    <xf numFmtId="10" fontId="0" fillId="0" borderId="0" xfId="0" applyNumberFormat="1"/>
    <xf numFmtId="10" fontId="0" fillId="0" borderId="0" xfId="0" pivotButton="1" applyNumberFormat="1"/>
    <xf numFmtId="14" fontId="12" fillId="20" borderId="0" xfId="0" applyNumberFormat="1" applyFont="1" applyFill="1"/>
    <xf numFmtId="0" fontId="0" fillId="20" borderId="0" xfId="0" applyFill="1"/>
    <xf numFmtId="0" fontId="8" fillId="21" borderId="0" xfId="0" applyFont="1" applyFill="1"/>
    <xf numFmtId="0" fontId="8" fillId="21" borderId="0" xfId="0" applyFont="1" applyFill="1" applyAlignment="1">
      <alignment wrapText="1"/>
    </xf>
    <xf numFmtId="0" fontId="8" fillId="2" borderId="0" xfId="0" applyFont="1" applyFill="1" applyAlignment="1">
      <alignment horizontal="left" vertical="center" wrapText="1"/>
    </xf>
    <xf numFmtId="0" fontId="8" fillId="11" borderId="23" xfId="0" applyFont="1" applyFill="1" applyBorder="1" applyAlignment="1">
      <alignment horizontal="right"/>
    </xf>
    <xf numFmtId="49" fontId="8" fillId="11" borderId="24" xfId="0" applyNumberFormat="1" applyFont="1" applyFill="1" applyBorder="1" applyAlignment="1">
      <alignment horizontal="right"/>
    </xf>
    <xf numFmtId="0" fontId="8" fillId="2" borderId="16" xfId="0" applyFont="1" applyFill="1" applyBorder="1"/>
    <xf numFmtId="0" fontId="8" fillId="2" borderId="14" xfId="0" applyFont="1" applyFill="1" applyBorder="1" applyAlignment="1">
      <alignment horizontal="right"/>
    </xf>
    <xf numFmtId="0" fontId="8" fillId="2" borderId="5" xfId="0" applyFont="1" applyFill="1" applyBorder="1" applyAlignment="1">
      <alignment vertical="center" wrapText="1"/>
    </xf>
    <xf numFmtId="0" fontId="0" fillId="2" borderId="0" xfId="0" applyFill="1" applyAlignment="1">
      <alignment horizontal="right"/>
    </xf>
    <xf numFmtId="0" fontId="8" fillId="11" borderId="25" xfId="0" applyFont="1" applyFill="1" applyBorder="1" applyAlignment="1">
      <alignment horizontal="right"/>
    </xf>
    <xf numFmtId="49" fontId="8" fillId="11" borderId="0" xfId="0" applyNumberFormat="1" applyFont="1" applyFill="1" applyAlignment="1">
      <alignment horizontal="right"/>
    </xf>
    <xf numFmtId="0" fontId="0" fillId="27" borderId="0" xfId="0" applyFill="1"/>
    <xf numFmtId="0" fontId="12" fillId="2" borderId="0" xfId="0" applyFont="1" applyFill="1"/>
    <xf numFmtId="0" fontId="20" fillId="21" borderId="0" xfId="0" applyFont="1" applyFill="1" applyAlignment="1">
      <alignment vertical="center"/>
    </xf>
    <xf numFmtId="0" fontId="0" fillId="21" borderId="0" xfId="0" applyFill="1" applyAlignment="1">
      <alignment wrapText="1"/>
    </xf>
    <xf numFmtId="0" fontId="2" fillId="21" borderId="0" xfId="0" applyFont="1" applyFill="1"/>
    <xf numFmtId="0" fontId="2" fillId="28" borderId="0" xfId="0" applyFont="1" applyFill="1"/>
    <xf numFmtId="0" fontId="2" fillId="29" borderId="0" xfId="0" applyFont="1" applyFill="1"/>
    <xf numFmtId="0" fontId="0" fillId="30" borderId="0" xfId="0" applyFill="1"/>
    <xf numFmtId="0" fontId="7" fillId="30" borderId="0" xfId="0" applyFont="1" applyFill="1"/>
    <xf numFmtId="0" fontId="0" fillId="31" borderId="0" xfId="0" applyFill="1"/>
    <xf numFmtId="0" fontId="0" fillId="21" borderId="0" xfId="0" applyFill="1"/>
    <xf numFmtId="0" fontId="8" fillId="29" borderId="0" xfId="0" applyFont="1" applyFill="1"/>
    <xf numFmtId="0" fontId="20" fillId="20" borderId="0" xfId="0" applyFont="1" applyFill="1"/>
    <xf numFmtId="10" fontId="8" fillId="6" borderId="20" xfId="3" applyNumberFormat="1" applyFont="1" applyFill="1" applyBorder="1" applyAlignment="1" applyProtection="1">
      <alignment horizontal="center"/>
      <protection locked="0"/>
    </xf>
    <xf numFmtId="10" fontId="8" fillId="6" borderId="9" xfId="3" applyNumberFormat="1" applyFont="1" applyFill="1" applyBorder="1" applyAlignment="1" applyProtection="1">
      <alignment horizontal="center"/>
      <protection locked="0"/>
    </xf>
    <xf numFmtId="0" fontId="20" fillId="6" borderId="13" xfId="0" applyFont="1" applyFill="1" applyBorder="1" applyAlignment="1">
      <alignment horizontal="center" vertical="center" wrapText="1"/>
    </xf>
    <xf numFmtId="0" fontId="16" fillId="15" borderId="15" xfId="0" applyFont="1" applyFill="1" applyBorder="1"/>
    <xf numFmtId="0" fontId="16" fillId="15" borderId="16" xfId="0" applyFont="1" applyFill="1" applyBorder="1"/>
    <xf numFmtId="0" fontId="0" fillId="32" borderId="0" xfId="0" applyFill="1"/>
    <xf numFmtId="0" fontId="0" fillId="33" borderId="0" xfId="0" applyFill="1"/>
    <xf numFmtId="0" fontId="8" fillId="0" borderId="0" xfId="0" applyFont="1" applyAlignment="1">
      <alignment wrapText="1"/>
    </xf>
    <xf numFmtId="0" fontId="2" fillId="10" borderId="0" xfId="0" applyFont="1" applyFill="1"/>
    <xf numFmtId="0" fontId="8" fillId="32" borderId="0" xfId="0" applyFont="1" applyFill="1"/>
    <xf numFmtId="0" fontId="12" fillId="8" borderId="0" xfId="0" applyFont="1" applyFill="1" applyAlignment="1">
      <alignment vertical="center"/>
    </xf>
    <xf numFmtId="0" fontId="20" fillId="34" borderId="0" xfId="0" applyFont="1" applyFill="1"/>
    <xf numFmtId="0" fontId="12" fillId="19" borderId="0" xfId="0" applyFont="1" applyFill="1" applyAlignment="1">
      <alignment vertical="center" textRotation="90"/>
    </xf>
    <xf numFmtId="0" fontId="0" fillId="19" borderId="0" xfId="0" applyFill="1" applyAlignment="1">
      <alignment wrapText="1"/>
    </xf>
    <xf numFmtId="0" fontId="12" fillId="19" borderId="0" xfId="0" applyFont="1" applyFill="1" applyAlignment="1">
      <alignment vertical="top" wrapText="1"/>
    </xf>
    <xf numFmtId="0" fontId="21" fillId="2" borderId="0" xfId="0" applyFont="1" applyFill="1" applyAlignment="1">
      <alignment vertical="center" wrapText="1"/>
    </xf>
    <xf numFmtId="0" fontId="20" fillId="35" borderId="13" xfId="0" applyFont="1" applyFill="1" applyBorder="1" applyAlignment="1">
      <alignment horizontal="center" vertical="center" wrapText="1"/>
    </xf>
    <xf numFmtId="10" fontId="8" fillId="35" borderId="20" xfId="3" applyNumberFormat="1" applyFont="1" applyFill="1" applyBorder="1" applyAlignment="1" applyProtection="1">
      <alignment horizontal="center"/>
      <protection locked="0"/>
    </xf>
    <xf numFmtId="10" fontId="8" fillId="35" borderId="9" xfId="3" applyNumberFormat="1" applyFont="1" applyFill="1" applyBorder="1" applyAlignment="1" applyProtection="1">
      <alignment horizontal="center"/>
      <protection locked="0"/>
    </xf>
    <xf numFmtId="0" fontId="14" fillId="36" borderId="13" xfId="0" applyFont="1" applyFill="1" applyBorder="1" applyAlignment="1">
      <alignment horizontal="center" vertical="center" wrapText="1"/>
    </xf>
    <xf numFmtId="10" fontId="2" fillId="36" borderId="20" xfId="3" applyNumberFormat="1" applyFont="1" applyFill="1" applyBorder="1" applyAlignment="1" applyProtection="1">
      <alignment horizontal="center"/>
      <protection locked="0"/>
    </xf>
    <xf numFmtId="10" fontId="2" fillId="36" borderId="9" xfId="3" applyNumberFormat="1" applyFont="1" applyFill="1" applyBorder="1" applyAlignment="1" applyProtection="1">
      <alignment horizontal="center"/>
      <protection locked="0"/>
    </xf>
    <xf numFmtId="0" fontId="16" fillId="19" borderId="14" xfId="0" applyFont="1" applyFill="1" applyBorder="1"/>
    <xf numFmtId="0" fontId="0" fillId="0" borderId="0" xfId="0" applyAlignment="1">
      <alignment horizontal="left" indent="2"/>
    </xf>
    <xf numFmtId="0" fontId="28" fillId="0" borderId="0" xfId="0" applyFont="1"/>
    <xf numFmtId="0" fontId="11" fillId="0" borderId="0" xfId="0" applyFont="1"/>
    <xf numFmtId="0" fontId="29" fillId="4" borderId="0" xfId="0" applyFont="1" applyFill="1"/>
    <xf numFmtId="0" fontId="12" fillId="4" borderId="0" xfId="0" applyFont="1" applyFill="1"/>
    <xf numFmtId="0" fontId="0" fillId="37" borderId="0" xfId="0" applyFill="1"/>
    <xf numFmtId="0" fontId="0" fillId="37" borderId="0" xfId="0" applyFill="1" applyAlignment="1">
      <alignment vertical="center" wrapText="1"/>
    </xf>
    <xf numFmtId="0" fontId="8" fillId="4" borderId="0" xfId="0" applyFont="1" applyFill="1" applyAlignment="1">
      <alignment horizontal="left" wrapText="1"/>
    </xf>
    <xf numFmtId="0" fontId="12" fillId="5" borderId="0" xfId="0" applyFont="1" applyFill="1" applyAlignment="1">
      <alignment vertical="center" textRotation="90"/>
    </xf>
    <xf numFmtId="0" fontId="12" fillId="9" borderId="0" xfId="0" applyFont="1" applyFill="1" applyAlignment="1">
      <alignment vertical="center"/>
    </xf>
    <xf numFmtId="0" fontId="0" fillId="10" borderId="0" xfId="0" quotePrefix="1" applyFill="1" applyAlignment="1">
      <alignment wrapText="1"/>
    </xf>
    <xf numFmtId="0" fontId="0" fillId="5" borderId="0" xfId="0" quotePrefix="1" applyFill="1" applyAlignment="1">
      <alignment wrapText="1"/>
    </xf>
    <xf numFmtId="0" fontId="0" fillId="20" borderId="0" xfId="0" applyFill="1" applyAlignment="1">
      <alignment wrapText="1"/>
    </xf>
    <xf numFmtId="0" fontId="8" fillId="6" borderId="9" xfId="0" applyFont="1" applyFill="1" applyBorder="1" applyAlignment="1">
      <alignment horizontal="center"/>
    </xf>
    <xf numFmtId="10" fontId="8" fillId="6" borderId="9" xfId="3" applyNumberFormat="1" applyFont="1" applyFill="1" applyBorder="1" applyAlignment="1">
      <alignment horizontal="center"/>
    </xf>
    <xf numFmtId="10" fontId="8" fillId="6" borderId="10" xfId="3" applyNumberFormat="1" applyFont="1" applyFill="1" applyBorder="1" applyAlignment="1">
      <alignment horizontal="center"/>
    </xf>
    <xf numFmtId="168" fontId="8" fillId="7" borderId="6" xfId="2" applyNumberFormat="1" applyFont="1" applyFill="1" applyBorder="1" applyAlignment="1"/>
    <xf numFmtId="168" fontId="8" fillId="2" borderId="6" xfId="2" applyNumberFormat="1" applyFont="1" applyFill="1" applyBorder="1" applyAlignment="1"/>
    <xf numFmtId="0" fontId="20" fillId="6" borderId="13" xfId="0" applyFont="1" applyFill="1" applyBorder="1" applyAlignment="1">
      <alignment horizontal="center" vertical="center"/>
    </xf>
    <xf numFmtId="0" fontId="8" fillId="35" borderId="9" xfId="0" applyFont="1" applyFill="1" applyBorder="1" applyAlignment="1">
      <alignment horizontal="center"/>
    </xf>
    <xf numFmtId="10" fontId="8" fillId="35" borderId="9" xfId="3" applyNumberFormat="1" applyFont="1" applyFill="1" applyBorder="1" applyAlignment="1">
      <alignment horizontal="center"/>
    </xf>
    <xf numFmtId="10" fontId="8" fillId="35" borderId="10" xfId="3" applyNumberFormat="1" applyFont="1" applyFill="1" applyBorder="1" applyAlignment="1">
      <alignment horizontal="center"/>
    </xf>
    <xf numFmtId="0" fontId="2" fillId="36" borderId="9" xfId="0" applyFont="1" applyFill="1" applyBorder="1" applyAlignment="1">
      <alignment horizontal="center"/>
    </xf>
    <xf numFmtId="10" fontId="2" fillId="36" borderId="9" xfId="3" applyNumberFormat="1" applyFont="1" applyFill="1" applyBorder="1" applyAlignment="1">
      <alignment horizontal="center"/>
    </xf>
    <xf numFmtId="10" fontId="2" fillId="36" borderId="10" xfId="3" applyNumberFormat="1" applyFont="1" applyFill="1" applyBorder="1" applyAlignment="1">
      <alignment horizontal="center"/>
    </xf>
    <xf numFmtId="0" fontId="30" fillId="3" borderId="7" xfId="0" applyFont="1" applyFill="1" applyBorder="1"/>
    <xf numFmtId="0" fontId="30" fillId="19" borderId="14" xfId="0" applyFont="1" applyFill="1" applyBorder="1" applyAlignment="1">
      <alignment horizontal="left"/>
    </xf>
    <xf numFmtId="0" fontId="30" fillId="19" borderId="15" xfId="0" applyFont="1" applyFill="1" applyBorder="1" applyAlignment="1">
      <alignment horizontal="left"/>
    </xf>
    <xf numFmtId="0" fontId="5" fillId="2" borderId="0" xfId="0" applyFont="1" applyFill="1" applyAlignment="1">
      <alignment vertical="center" wrapText="1"/>
    </xf>
    <xf numFmtId="0" fontId="30" fillId="3" borderId="12" xfId="0" applyFont="1" applyFill="1" applyBorder="1"/>
    <xf numFmtId="168" fontId="8" fillId="4" borderId="6" xfId="2" applyNumberFormat="1" applyFont="1" applyFill="1" applyBorder="1" applyAlignment="1"/>
    <xf numFmtId="0" fontId="8" fillId="4" borderId="9" xfId="0" applyFont="1" applyFill="1" applyBorder="1" applyAlignment="1">
      <alignment horizontal="center"/>
    </xf>
    <xf numFmtId="10" fontId="8" fillId="4" borderId="9" xfId="3" applyNumberFormat="1" applyFont="1" applyFill="1" applyBorder="1" applyAlignment="1">
      <alignment horizontal="center"/>
    </xf>
    <xf numFmtId="0" fontId="30" fillId="16" borderId="7" xfId="0" applyFont="1" applyFill="1" applyBorder="1"/>
    <xf numFmtId="0" fontId="30" fillId="38" borderId="14" xfId="0" applyFont="1" applyFill="1" applyBorder="1"/>
    <xf numFmtId="0" fontId="30" fillId="38" borderId="15" xfId="0" applyFont="1" applyFill="1" applyBorder="1"/>
    <xf numFmtId="0" fontId="8" fillId="7" borderId="9" xfId="0" applyFont="1" applyFill="1" applyBorder="1" applyAlignment="1">
      <alignment horizontal="center"/>
    </xf>
    <xf numFmtId="10" fontId="8" fillId="7" borderId="9" xfId="3" applyNumberFormat="1" applyFont="1" applyFill="1" applyBorder="1" applyAlignment="1">
      <alignment horizontal="center"/>
    </xf>
    <xf numFmtId="0" fontId="2" fillId="13" borderId="9" xfId="0" applyFont="1" applyFill="1" applyBorder="1" applyAlignment="1">
      <alignment horizontal="center"/>
    </xf>
    <xf numFmtId="10" fontId="2" fillId="13" borderId="9" xfId="3" applyNumberFormat="1" applyFont="1" applyFill="1" applyBorder="1" applyAlignment="1">
      <alignment horizontal="center"/>
    </xf>
    <xf numFmtId="0" fontId="16" fillId="3" borderId="7" xfId="0" applyFont="1" applyFill="1" applyBorder="1"/>
    <xf numFmtId="0" fontId="24" fillId="4" borderId="9" xfId="0" applyFont="1" applyFill="1" applyBorder="1" applyAlignment="1">
      <alignment horizontal="center"/>
    </xf>
    <xf numFmtId="10" fontId="24" fillId="4" borderId="9" xfId="3" applyNumberFormat="1" applyFont="1" applyFill="1" applyBorder="1" applyAlignment="1">
      <alignment horizontal="center"/>
    </xf>
    <xf numFmtId="10" fontId="24" fillId="4" borderId="10" xfId="3" applyNumberFormat="1" applyFont="1" applyFill="1" applyBorder="1" applyAlignment="1">
      <alignment horizontal="center"/>
    </xf>
    <xf numFmtId="0" fontId="16" fillId="38" borderId="8" xfId="0" applyFont="1" applyFill="1" applyBorder="1"/>
    <xf numFmtId="0" fontId="16" fillId="38" borderId="7" xfId="0" applyFont="1" applyFill="1" applyBorder="1"/>
    <xf numFmtId="0" fontId="24" fillId="7" borderId="9" xfId="0" applyFont="1" applyFill="1" applyBorder="1" applyAlignment="1">
      <alignment horizontal="center"/>
    </xf>
    <xf numFmtId="10" fontId="24" fillId="7" borderId="9" xfId="3" applyNumberFormat="1" applyFont="1" applyFill="1" applyBorder="1" applyAlignment="1">
      <alignment horizontal="center"/>
    </xf>
    <xf numFmtId="10" fontId="24" fillId="7" borderId="10" xfId="3" applyNumberFormat="1" applyFont="1" applyFill="1" applyBorder="1" applyAlignment="1">
      <alignment horizontal="center"/>
    </xf>
    <xf numFmtId="0" fontId="26" fillId="13" borderId="9" xfId="0" applyFont="1" applyFill="1" applyBorder="1" applyAlignment="1">
      <alignment horizontal="center"/>
    </xf>
    <xf numFmtId="10" fontId="26" fillId="13" borderId="9" xfId="3" applyNumberFormat="1" applyFont="1" applyFill="1" applyBorder="1" applyAlignment="1">
      <alignment horizontal="center"/>
    </xf>
    <xf numFmtId="10" fontId="26" fillId="13" borderId="10" xfId="3" applyNumberFormat="1" applyFont="1" applyFill="1" applyBorder="1" applyAlignment="1">
      <alignment horizontal="center"/>
    </xf>
    <xf numFmtId="164" fontId="8" fillId="2" borderId="6" xfId="2" applyFont="1" applyFill="1" applyBorder="1" applyAlignment="1"/>
    <xf numFmtId="164" fontId="8" fillId="32" borderId="0" xfId="2" applyFont="1" applyFill="1" applyBorder="1" applyAlignment="1"/>
    <xf numFmtId="0" fontId="8" fillId="32" borderId="6" xfId="0" applyFont="1" applyFill="1" applyBorder="1" applyAlignment="1">
      <alignment horizontal="left" indent="1"/>
    </xf>
    <xf numFmtId="166" fontId="20" fillId="32" borderId="9" xfId="1" applyNumberFormat="1" applyFont="1" applyFill="1" applyBorder="1"/>
    <xf numFmtId="164" fontId="8" fillId="32" borderId="6" xfId="2" applyFont="1" applyFill="1" applyBorder="1" applyAlignment="1"/>
    <xf numFmtId="166" fontId="8" fillId="32" borderId="9" xfId="1" applyNumberFormat="1" applyFont="1" applyFill="1" applyBorder="1"/>
    <xf numFmtId="0" fontId="16" fillId="10" borderId="7" xfId="0" applyFont="1" applyFill="1" applyBorder="1"/>
    <xf numFmtId="168" fontId="20" fillId="4" borderId="13" xfId="2" applyNumberFormat="1" applyFont="1" applyFill="1" applyBorder="1" applyAlignment="1">
      <alignment horizontal="center" vertical="center" wrapText="1"/>
    </xf>
    <xf numFmtId="0" fontId="20" fillId="38" borderId="13" xfId="0" applyFont="1" applyFill="1" applyBorder="1" applyAlignment="1">
      <alignment horizontal="center" vertical="center" wrapText="1"/>
    </xf>
    <xf numFmtId="0" fontId="20" fillId="38" borderId="13" xfId="0" applyFont="1" applyFill="1" applyBorder="1" applyAlignment="1">
      <alignment horizontal="center" vertical="center"/>
    </xf>
    <xf numFmtId="10" fontId="8" fillId="38" borderId="9" xfId="3" applyNumberFormat="1" applyFont="1" applyFill="1" applyBorder="1" applyAlignment="1">
      <alignment horizontal="center"/>
    </xf>
    <xf numFmtId="0" fontId="20" fillId="38" borderId="13" xfId="0" applyFont="1" applyFill="1" applyBorder="1" applyAlignment="1">
      <alignment vertical="center"/>
    </xf>
    <xf numFmtId="10" fontId="8" fillId="4" borderId="9" xfId="3" applyNumberFormat="1" applyFont="1" applyFill="1" applyBorder="1" applyAlignment="1" applyProtection="1">
      <alignment horizontal="center"/>
      <protection locked="0"/>
    </xf>
    <xf numFmtId="0" fontId="20" fillId="4" borderId="13" xfId="0" applyFont="1" applyFill="1" applyBorder="1"/>
    <xf numFmtId="0" fontId="16" fillId="4" borderId="14" xfId="0" applyFont="1" applyFill="1" applyBorder="1"/>
    <xf numFmtId="0" fontId="16" fillId="18" borderId="7" xfId="0" applyFont="1" applyFill="1" applyBorder="1"/>
    <xf numFmtId="0" fontId="16" fillId="18" borderId="12" xfId="0" applyFont="1" applyFill="1" applyBorder="1"/>
    <xf numFmtId="10" fontId="8" fillId="7" borderId="9" xfId="3" applyNumberFormat="1" applyFont="1" applyFill="1" applyBorder="1" applyAlignment="1" applyProtection="1">
      <alignment horizontal="center"/>
      <protection locked="0"/>
    </xf>
    <xf numFmtId="0" fontId="20" fillId="4" borderId="16" xfId="0" applyFont="1" applyFill="1" applyBorder="1" applyAlignment="1">
      <alignment horizontal="center" vertical="center" wrapText="1"/>
    </xf>
    <xf numFmtId="166" fontId="20" fillId="4" borderId="14" xfId="1" applyNumberFormat="1" applyFont="1" applyFill="1" applyBorder="1" applyAlignment="1">
      <alignment horizontal="center" vertical="center" wrapText="1"/>
    </xf>
    <xf numFmtId="168" fontId="20" fillId="4" borderId="14" xfId="2" applyNumberFormat="1" applyFont="1" applyFill="1" applyBorder="1" applyAlignment="1">
      <alignment horizontal="center" vertical="center" wrapText="1"/>
    </xf>
    <xf numFmtId="0" fontId="8" fillId="4" borderId="9" xfId="0" applyFont="1" applyFill="1" applyBorder="1" applyProtection="1">
      <protection locked="0"/>
    </xf>
    <xf numFmtId="10" fontId="8" fillId="4" borderId="10" xfId="3" applyNumberFormat="1" applyFont="1" applyFill="1" applyBorder="1" applyAlignment="1" applyProtection="1">
      <alignment horizontal="center"/>
      <protection locked="0"/>
    </xf>
    <xf numFmtId="0" fontId="8" fillId="7" borderId="9" xfId="0" applyFont="1" applyFill="1" applyBorder="1" applyProtection="1">
      <protection locked="0"/>
    </xf>
    <xf numFmtId="10" fontId="8" fillId="7" borderId="10" xfId="3" applyNumberFormat="1" applyFont="1" applyFill="1" applyBorder="1" applyAlignment="1" applyProtection="1">
      <alignment horizontal="center"/>
      <protection locked="0"/>
    </xf>
    <xf numFmtId="0" fontId="20" fillId="37" borderId="13" xfId="0" applyFont="1" applyFill="1" applyBorder="1" applyAlignment="1">
      <alignment horizontal="center" vertical="center" wrapText="1"/>
    </xf>
    <xf numFmtId="0" fontId="20" fillId="37" borderId="16" xfId="0" applyFont="1" applyFill="1" applyBorder="1" applyAlignment="1">
      <alignment horizontal="center" vertical="center" wrapText="1"/>
    </xf>
    <xf numFmtId="166" fontId="20" fillId="37" borderId="14" xfId="1" applyNumberFormat="1" applyFont="1" applyFill="1" applyBorder="1" applyAlignment="1">
      <alignment horizontal="center" vertical="center" wrapText="1"/>
    </xf>
    <xf numFmtId="0" fontId="8" fillId="37" borderId="9" xfId="0" applyFont="1" applyFill="1" applyBorder="1" applyProtection="1">
      <protection locked="0"/>
    </xf>
    <xf numFmtId="10" fontId="8" fillId="37" borderId="9" xfId="3" applyNumberFormat="1" applyFont="1" applyFill="1" applyBorder="1" applyAlignment="1" applyProtection="1">
      <alignment horizontal="center"/>
      <protection locked="0"/>
    </xf>
    <xf numFmtId="10" fontId="8" fillId="37" borderId="10" xfId="3" applyNumberFormat="1" applyFont="1" applyFill="1" applyBorder="1" applyAlignment="1" applyProtection="1">
      <alignment horizontal="center"/>
      <protection locked="0"/>
    </xf>
    <xf numFmtId="168" fontId="20" fillId="37" borderId="13" xfId="2" applyNumberFormat="1" applyFont="1" applyFill="1" applyBorder="1" applyAlignment="1">
      <alignment horizontal="center" vertical="center" wrapText="1"/>
    </xf>
    <xf numFmtId="168" fontId="20" fillId="2" borderId="11" xfId="2" applyNumberFormat="1" applyFont="1" applyFill="1" applyBorder="1"/>
    <xf numFmtId="14" fontId="8" fillId="2" borderId="16" xfId="0" applyNumberFormat="1" applyFont="1" applyFill="1" applyBorder="1"/>
    <xf numFmtId="0" fontId="0" fillId="39" borderId="0" xfId="0" applyFill="1"/>
    <xf numFmtId="164" fontId="8" fillId="4" borderId="9" xfId="0" applyNumberFormat="1" applyFont="1" applyFill="1" applyBorder="1"/>
    <xf numFmtId="168" fontId="8" fillId="2" borderId="9" xfId="2" applyNumberFormat="1" applyFont="1" applyFill="1" applyBorder="1"/>
    <xf numFmtId="168" fontId="8" fillId="4" borderId="9" xfId="2" applyNumberFormat="1" applyFont="1" applyFill="1" applyBorder="1"/>
    <xf numFmtId="168" fontId="8" fillId="2" borderId="10" xfId="2" applyNumberFormat="1" applyFont="1" applyFill="1" applyBorder="1"/>
    <xf numFmtId="0" fontId="30" fillId="16" borderId="12" xfId="0" applyFont="1" applyFill="1" applyBorder="1"/>
    <xf numFmtId="164" fontId="8" fillId="2" borderId="9" xfId="2" applyFont="1" applyFill="1" applyBorder="1" applyAlignment="1"/>
    <xf numFmtId="0" fontId="16" fillId="10" borderId="12" xfId="0" applyFont="1" applyFill="1" applyBorder="1"/>
    <xf numFmtId="0" fontId="20" fillId="35" borderId="13" xfId="0" applyFont="1" applyFill="1" applyBorder="1" applyAlignment="1">
      <alignment horizontal="center" vertical="center"/>
    </xf>
    <xf numFmtId="0" fontId="14" fillId="36" borderId="13" xfId="0" applyFont="1" applyFill="1" applyBorder="1" applyAlignment="1">
      <alignment horizontal="center" vertical="center"/>
    </xf>
    <xf numFmtId="0" fontId="5" fillId="2" borderId="0" xfId="0" applyFont="1" applyFill="1" applyAlignment="1">
      <alignment horizontal="left" vertical="center" wrapText="1"/>
    </xf>
    <xf numFmtId="0" fontId="20" fillId="4" borderId="13" xfId="0" applyFont="1" applyFill="1" applyBorder="1" applyAlignment="1">
      <alignment horizontal="center" vertical="center"/>
    </xf>
    <xf numFmtId="0" fontId="20" fillId="4" borderId="13" xfId="0" applyFont="1" applyFill="1" applyBorder="1" applyAlignment="1">
      <alignment horizontal="center" vertical="center" wrapText="1"/>
    </xf>
    <xf numFmtId="0" fontId="14" fillId="13" borderId="13" xfId="0" applyFont="1" applyFill="1" applyBorder="1" applyAlignment="1">
      <alignment horizontal="center" vertical="center"/>
    </xf>
    <xf numFmtId="0" fontId="25" fillId="7" borderId="15" xfId="0" applyFont="1" applyFill="1" applyBorder="1" applyAlignment="1">
      <alignment horizontal="center"/>
    </xf>
    <xf numFmtId="0" fontId="8" fillId="2" borderId="9" xfId="0" applyFont="1" applyFill="1" applyBorder="1" applyAlignment="1">
      <alignment horizontal="center"/>
    </xf>
    <xf numFmtId="0" fontId="19" fillId="7" borderId="14" xfId="0" applyFont="1" applyFill="1" applyBorder="1"/>
    <xf numFmtId="0" fontId="19" fillId="7" borderId="16" xfId="0" applyFont="1" applyFill="1" applyBorder="1"/>
    <xf numFmtId="0" fontId="20" fillId="4" borderId="15"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37" borderId="15" xfId="0" applyFont="1" applyFill="1" applyBorder="1" applyAlignment="1">
      <alignment horizontal="center" vertical="center" wrapText="1"/>
    </xf>
    <xf numFmtId="168" fontId="20" fillId="2" borderId="20" xfId="2" applyNumberFormat="1" applyFont="1" applyFill="1" applyBorder="1"/>
    <xf numFmtId="168" fontId="12" fillId="4" borderId="9" xfId="2" applyNumberFormat="1" applyFont="1" applyFill="1" applyBorder="1"/>
    <xf numFmtId="168" fontId="20" fillId="2" borderId="9" xfId="2" applyNumberFormat="1" applyFont="1" applyFill="1" applyBorder="1"/>
    <xf numFmtId="168" fontId="8" fillId="2" borderId="20" xfId="2" applyNumberFormat="1" applyFont="1" applyFill="1" applyBorder="1"/>
    <xf numFmtId="164" fontId="8" fillId="2" borderId="12" xfId="2" applyFont="1" applyFill="1" applyBorder="1" applyAlignment="1">
      <alignment horizontal="center"/>
    </xf>
    <xf numFmtId="0" fontId="16" fillId="19" borderId="15" xfId="0" applyFont="1" applyFill="1" applyBorder="1"/>
    <xf numFmtId="0" fontId="20" fillId="7" borderId="14" xfId="0" applyFont="1" applyFill="1" applyBorder="1" applyAlignment="1">
      <alignment horizontal="center" vertical="center" wrapText="1"/>
    </xf>
    <xf numFmtId="164" fontId="8" fillId="2" borderId="6" xfId="2" applyFont="1" applyFill="1" applyBorder="1" applyAlignment="1">
      <alignment horizontal="right"/>
    </xf>
    <xf numFmtId="164" fontId="8" fillId="4" borderId="9" xfId="2" applyFont="1" applyFill="1" applyBorder="1"/>
    <xf numFmtId="0" fontId="12" fillId="0" borderId="0" xfId="0" applyFont="1" applyAlignment="1">
      <alignment horizontal="center"/>
    </xf>
    <xf numFmtId="164" fontId="8" fillId="0" borderId="0" xfId="2" applyFont="1" applyFill="1" applyBorder="1" applyAlignment="1">
      <alignment horizontal="center"/>
    </xf>
    <xf numFmtId="164" fontId="0" fillId="0" borderId="0" xfId="2" applyFont="1" applyFill="1" applyBorder="1"/>
    <xf numFmtId="10" fontId="8" fillId="0" borderId="0" xfId="3" applyNumberFormat="1" applyFont="1" applyFill="1" applyBorder="1" applyAlignment="1">
      <alignment horizontal="center"/>
    </xf>
    <xf numFmtId="10" fontId="8" fillId="0" borderId="0" xfId="3" applyNumberFormat="1" applyFont="1" applyFill="1" applyBorder="1" applyProtection="1">
      <protection locked="0"/>
    </xf>
    <xf numFmtId="10" fontId="0" fillId="0" borderId="0" xfId="3" applyNumberFormat="1" applyFont="1" applyFill="1" applyBorder="1"/>
    <xf numFmtId="164" fontId="8" fillId="0" borderId="0" xfId="2" applyFont="1" applyFill="1" applyBorder="1" applyProtection="1">
      <protection locked="0"/>
    </xf>
    <xf numFmtId="166" fontId="8" fillId="0" borderId="0" xfId="1" applyNumberFormat="1" applyFont="1" applyFill="1" applyBorder="1" applyAlignment="1">
      <alignment horizontal="center"/>
    </xf>
    <xf numFmtId="166" fontId="8" fillId="0" borderId="0" xfId="1" applyNumberFormat="1" applyFont="1" applyFill="1" applyBorder="1" applyProtection="1">
      <protection locked="0"/>
    </xf>
    <xf numFmtId="166" fontId="0" fillId="0" borderId="0" xfId="1" applyNumberFormat="1" applyFont="1" applyFill="1" applyBorder="1"/>
    <xf numFmtId="164" fontId="20" fillId="0" borderId="0" xfId="2" applyFont="1" applyFill="1" applyBorder="1" applyAlignment="1">
      <alignment horizontal="center" wrapText="1"/>
    </xf>
    <xf numFmtId="10" fontId="20" fillId="0" borderId="0" xfId="3" applyNumberFormat="1" applyFont="1" applyFill="1" applyBorder="1" applyAlignment="1">
      <alignment horizontal="center" wrapText="1"/>
    </xf>
    <xf numFmtId="166" fontId="20" fillId="0" borderId="0" xfId="1" applyNumberFormat="1" applyFont="1" applyFill="1" applyBorder="1" applyAlignment="1">
      <alignment horizontal="center" wrapText="1"/>
    </xf>
    <xf numFmtId="168" fontId="8" fillId="7" borderId="0" xfId="2" applyNumberFormat="1" applyFont="1" applyFill="1" applyBorder="1" applyAlignment="1"/>
    <xf numFmtId="168" fontId="8" fillId="2" borderId="11" xfId="2" applyNumberFormat="1" applyFont="1" applyFill="1" applyBorder="1" applyAlignment="1"/>
    <xf numFmtId="168" fontId="8" fillId="2" borderId="0" xfId="2" applyNumberFormat="1" applyFont="1" applyFill="1" applyBorder="1" applyAlignment="1"/>
    <xf numFmtId="168" fontId="8" fillId="4" borderId="11" xfId="2" applyNumberFormat="1" applyFont="1" applyFill="1" applyBorder="1" applyAlignment="1"/>
    <xf numFmtId="168" fontId="8" fillId="4" borderId="0" xfId="2" applyNumberFormat="1" applyFont="1" applyFill="1" applyBorder="1" applyAlignment="1"/>
    <xf numFmtId="164" fontId="8" fillId="4" borderId="6" xfId="2" applyFont="1" applyFill="1" applyBorder="1" applyAlignment="1"/>
    <xf numFmtId="164" fontId="8" fillId="4" borderId="0" xfId="2" applyFont="1" applyFill="1" applyBorder="1" applyAlignment="1"/>
    <xf numFmtId="164" fontId="8" fillId="4" borderId="11" xfId="2" applyFont="1" applyFill="1" applyBorder="1" applyAlignment="1"/>
    <xf numFmtId="0" fontId="16" fillId="38" borderId="14" xfId="0" applyFont="1" applyFill="1" applyBorder="1"/>
    <xf numFmtId="0" fontId="20" fillId="38" borderId="16" xfId="0" applyFont="1" applyFill="1" applyBorder="1" applyAlignment="1">
      <alignment horizontal="center" vertical="center" wrapText="1"/>
    </xf>
    <xf numFmtId="0" fontId="20" fillId="38" borderId="15" xfId="0" applyFont="1" applyFill="1" applyBorder="1" applyAlignment="1">
      <alignment horizontal="center" vertical="center" wrapText="1"/>
    </xf>
    <xf numFmtId="0" fontId="20" fillId="38" borderId="14" xfId="0" applyFont="1" applyFill="1" applyBorder="1" applyAlignment="1">
      <alignment horizontal="center" vertical="center" wrapText="1"/>
    </xf>
    <xf numFmtId="0" fontId="20" fillId="38" borderId="15" xfId="0" applyFont="1" applyFill="1" applyBorder="1" applyAlignment="1">
      <alignment horizontal="center" vertical="center"/>
    </xf>
    <xf numFmtId="164" fontId="8" fillId="2" borderId="17" xfId="2" applyFont="1" applyFill="1" applyBorder="1" applyAlignment="1"/>
    <xf numFmtId="0" fontId="16" fillId="38" borderId="16" xfId="0" applyFont="1" applyFill="1" applyBorder="1"/>
    <xf numFmtId="164" fontId="8" fillId="32" borderId="11" xfId="2" applyFont="1" applyFill="1" applyBorder="1" applyAlignment="1"/>
    <xf numFmtId="0" fontId="16" fillId="4" borderId="15" xfId="0" applyFont="1" applyFill="1" applyBorder="1"/>
    <xf numFmtId="164" fontId="8" fillId="4" borderId="6" xfId="2" applyFont="1" applyFill="1" applyBorder="1" applyAlignment="1">
      <alignment horizontal="center"/>
    </xf>
    <xf numFmtId="0" fontId="20" fillId="9" borderId="13" xfId="0" applyFont="1" applyFill="1" applyBorder="1" applyAlignment="1">
      <alignment horizontal="center" vertical="center" wrapText="1"/>
    </xf>
    <xf numFmtId="0" fontId="20" fillId="9" borderId="16" xfId="0" applyFont="1" applyFill="1" applyBorder="1" applyAlignment="1">
      <alignment horizontal="center" vertical="center" wrapText="1"/>
    </xf>
    <xf numFmtId="0" fontId="20" fillId="9" borderId="15" xfId="0" applyFont="1" applyFill="1" applyBorder="1" applyAlignment="1">
      <alignment horizontal="center" vertical="center" wrapText="1"/>
    </xf>
    <xf numFmtId="0" fontId="20" fillId="9" borderId="14" xfId="0" applyFont="1" applyFill="1" applyBorder="1" applyAlignment="1">
      <alignment horizontal="center" vertical="center" wrapText="1"/>
    </xf>
    <xf numFmtId="10" fontId="8" fillId="9" borderId="9" xfId="3" applyNumberFormat="1" applyFont="1" applyFill="1" applyBorder="1" applyAlignment="1" applyProtection="1">
      <alignment horizontal="center"/>
      <protection locked="0"/>
    </xf>
    <xf numFmtId="10" fontId="8" fillId="9" borderId="9" xfId="3" applyNumberFormat="1" applyFont="1" applyFill="1" applyBorder="1" applyAlignment="1">
      <alignment horizontal="center"/>
    </xf>
    <xf numFmtId="10" fontId="8" fillId="9" borderId="10" xfId="3" applyNumberFormat="1" applyFont="1" applyFill="1" applyBorder="1" applyAlignment="1">
      <alignment horizontal="center"/>
    </xf>
    <xf numFmtId="10" fontId="2" fillId="34" borderId="9" xfId="3" applyNumberFormat="1" applyFont="1" applyFill="1" applyBorder="1" applyAlignment="1" applyProtection="1">
      <alignment horizontal="center"/>
      <protection locked="0"/>
    </xf>
    <xf numFmtId="10" fontId="2" fillId="34" borderId="9" xfId="3" applyNumberFormat="1" applyFont="1" applyFill="1" applyBorder="1" applyAlignment="1">
      <alignment horizontal="center"/>
    </xf>
    <xf numFmtId="10" fontId="2" fillId="34" borderId="10" xfId="3" applyNumberFormat="1" applyFont="1" applyFill="1" applyBorder="1" applyAlignment="1">
      <alignment horizontal="center"/>
    </xf>
    <xf numFmtId="0" fontId="14" fillId="34" borderId="13" xfId="0" applyFont="1" applyFill="1" applyBorder="1" applyAlignment="1">
      <alignment horizontal="center" vertical="center" wrapText="1"/>
    </xf>
    <xf numFmtId="0" fontId="14" fillId="34" borderId="16" xfId="0" applyFont="1" applyFill="1" applyBorder="1" applyAlignment="1">
      <alignment horizontal="center" vertical="center" wrapText="1"/>
    </xf>
    <xf numFmtId="0" fontId="14" fillId="34" borderId="15" xfId="0" applyFont="1" applyFill="1" applyBorder="1" applyAlignment="1">
      <alignment horizontal="center" vertical="center" wrapText="1"/>
    </xf>
    <xf numFmtId="0" fontId="14" fillId="34" borderId="14" xfId="0" applyFont="1" applyFill="1" applyBorder="1" applyAlignment="1">
      <alignment horizontal="center" vertical="center" wrapText="1"/>
    </xf>
    <xf numFmtId="0" fontId="20" fillId="27" borderId="13" xfId="0" applyFont="1" applyFill="1" applyBorder="1" applyAlignment="1">
      <alignment horizontal="center" vertical="center" wrapText="1"/>
    </xf>
    <xf numFmtId="10" fontId="8" fillId="27" borderId="9" xfId="3" applyNumberFormat="1" applyFont="1" applyFill="1" applyBorder="1" applyAlignment="1" applyProtection="1">
      <alignment horizontal="center"/>
      <protection locked="0"/>
    </xf>
    <xf numFmtId="10" fontId="8" fillId="27" borderId="9" xfId="3" applyNumberFormat="1" applyFont="1" applyFill="1" applyBorder="1" applyAlignment="1">
      <alignment horizontal="center"/>
    </xf>
    <xf numFmtId="10" fontId="8" fillId="27" borderId="10" xfId="3" applyNumberFormat="1" applyFont="1" applyFill="1" applyBorder="1" applyAlignment="1">
      <alignment horizontal="center"/>
    </xf>
    <xf numFmtId="0" fontId="20" fillId="27" borderId="16" xfId="0" applyFont="1" applyFill="1" applyBorder="1" applyAlignment="1">
      <alignment horizontal="center" vertical="center" wrapText="1"/>
    </xf>
    <xf numFmtId="0" fontId="20" fillId="27" borderId="15" xfId="0" applyFont="1" applyFill="1" applyBorder="1" applyAlignment="1">
      <alignment horizontal="center" vertical="center" wrapText="1"/>
    </xf>
    <xf numFmtId="0" fontId="20" fillId="27" borderId="14" xfId="0" applyFont="1" applyFill="1" applyBorder="1" applyAlignment="1">
      <alignment horizontal="center" vertical="center" wrapText="1"/>
    </xf>
    <xf numFmtId="0" fontId="20" fillId="40" borderId="13" xfId="0" applyFont="1" applyFill="1" applyBorder="1" applyAlignment="1">
      <alignment horizontal="center" vertical="center" wrapText="1"/>
    </xf>
    <xf numFmtId="0" fontId="20" fillId="40" borderId="16" xfId="0" applyFont="1" applyFill="1" applyBorder="1" applyAlignment="1">
      <alignment horizontal="center" vertical="center" wrapText="1"/>
    </xf>
    <xf numFmtId="0" fontId="20" fillId="40" borderId="15" xfId="0" applyFont="1" applyFill="1" applyBorder="1" applyAlignment="1">
      <alignment horizontal="center" vertical="center" wrapText="1"/>
    </xf>
    <xf numFmtId="0" fontId="20" fillId="40" borderId="13" xfId="0" applyFont="1" applyFill="1" applyBorder="1" applyAlignment="1">
      <alignment horizontal="center" vertical="center"/>
    </xf>
    <xf numFmtId="0" fontId="20" fillId="40" borderId="14" xfId="0" applyFont="1" applyFill="1" applyBorder="1" applyAlignment="1">
      <alignment horizontal="center" vertical="center" wrapText="1"/>
    </xf>
    <xf numFmtId="0" fontId="25" fillId="38" borderId="13" xfId="0" applyFont="1" applyFill="1" applyBorder="1" applyAlignment="1">
      <alignment horizontal="center"/>
    </xf>
    <xf numFmtId="0" fontId="23" fillId="38" borderId="13" xfId="0" applyFont="1" applyFill="1" applyBorder="1"/>
    <xf numFmtId="10" fontId="24" fillId="14" borderId="0" xfId="3" applyNumberFormat="1" applyFont="1" applyFill="1" applyBorder="1" applyAlignment="1">
      <alignment horizontal="center"/>
    </xf>
    <xf numFmtId="10" fontId="24" fillId="2" borderId="0" xfId="3" applyNumberFormat="1" applyFont="1" applyFill="1" applyBorder="1" applyAlignment="1">
      <alignment horizontal="center"/>
    </xf>
    <xf numFmtId="0" fontId="24" fillId="2" borderId="19" xfId="0" applyFont="1" applyFill="1" applyBorder="1" applyAlignment="1">
      <alignment horizontal="center"/>
    </xf>
    <xf numFmtId="166" fontId="23" fillId="2" borderId="18" xfId="1" applyNumberFormat="1" applyFont="1" applyFill="1" applyBorder="1" applyAlignment="1">
      <alignment horizontal="center"/>
    </xf>
    <xf numFmtId="168" fontId="24" fillId="2" borderId="6" xfId="2" applyNumberFormat="1" applyFont="1" applyFill="1" applyBorder="1" applyAlignment="1">
      <alignment horizontal="center"/>
    </xf>
    <xf numFmtId="168" fontId="24" fillId="14" borderId="6" xfId="2" applyNumberFormat="1" applyFont="1" applyFill="1" applyBorder="1" applyAlignment="1">
      <alignment horizontal="center"/>
    </xf>
    <xf numFmtId="166" fontId="23" fillId="2" borderId="19" xfId="1" applyNumberFormat="1" applyFont="1" applyFill="1" applyBorder="1" applyAlignment="1">
      <alignment horizontal="center"/>
    </xf>
    <xf numFmtId="168" fontId="24" fillId="2" borderId="0" xfId="2" applyNumberFormat="1" applyFont="1" applyFill="1" applyBorder="1" applyAlignment="1">
      <alignment horizontal="center"/>
    </xf>
    <xf numFmtId="168" fontId="24" fillId="14" borderId="0" xfId="2" applyNumberFormat="1" applyFont="1" applyFill="1" applyBorder="1" applyAlignment="1">
      <alignment horizontal="center"/>
    </xf>
    <xf numFmtId="0" fontId="20" fillId="0" borderId="0" xfId="0" applyFont="1" applyAlignment="1">
      <alignment horizontal="left" wrapText="1"/>
    </xf>
    <xf numFmtId="0" fontId="8" fillId="0" borderId="0" xfId="0" applyFont="1" applyAlignment="1">
      <alignment horizontal="left"/>
    </xf>
    <xf numFmtId="0" fontId="6" fillId="2" borderId="0" xfId="0" applyFont="1" applyFill="1"/>
    <xf numFmtId="0" fontId="34" fillId="3" borderId="0" xfId="0" applyFont="1" applyFill="1"/>
    <xf numFmtId="0" fontId="6" fillId="2" borderId="0" xfId="0" applyFont="1" applyFill="1" applyAlignment="1">
      <alignment horizontal="left"/>
    </xf>
    <xf numFmtId="168" fontId="6" fillId="2" borderId="0" xfId="0" applyNumberFormat="1" applyFont="1" applyFill="1"/>
    <xf numFmtId="164" fontId="3" fillId="0" borderId="0" xfId="2" applyFont="1"/>
    <xf numFmtId="0" fontId="8" fillId="4" borderId="11" xfId="0" applyFont="1" applyFill="1" applyBorder="1" applyProtection="1">
      <protection locked="0"/>
    </xf>
    <xf numFmtId="0" fontId="8" fillId="7" borderId="11" xfId="0" applyFont="1" applyFill="1" applyBorder="1" applyProtection="1">
      <protection locked="0"/>
    </xf>
    <xf numFmtId="0" fontId="8" fillId="37" borderId="11" xfId="0" applyFont="1" applyFill="1" applyBorder="1" applyProtection="1">
      <protection locked="0"/>
    </xf>
    <xf numFmtId="0" fontId="20" fillId="6" borderId="16" xfId="0" applyFont="1" applyFill="1" applyBorder="1" applyAlignment="1">
      <alignment horizontal="center" vertical="center" wrapText="1"/>
    </xf>
    <xf numFmtId="0" fontId="20" fillId="35" borderId="16" xfId="0" applyFont="1" applyFill="1" applyBorder="1" applyAlignment="1">
      <alignment horizontal="center" vertical="center" wrapText="1"/>
    </xf>
    <xf numFmtId="0" fontId="14" fillId="36" borderId="16" xfId="0" applyFont="1" applyFill="1" applyBorder="1" applyAlignment="1">
      <alignment horizontal="center" vertical="center" wrapText="1"/>
    </xf>
    <xf numFmtId="0" fontId="8" fillId="35" borderId="0" xfId="0" applyFont="1" applyFill="1" applyAlignment="1">
      <alignment horizontal="center"/>
    </xf>
    <xf numFmtId="0" fontId="2" fillId="36" borderId="0" xfId="0" applyFont="1" applyFill="1" applyAlignment="1">
      <alignment horizontal="center"/>
    </xf>
    <xf numFmtId="0" fontId="8" fillId="4" borderId="0" xfId="0" applyFont="1" applyFill="1" applyAlignment="1">
      <alignment horizontal="center"/>
    </xf>
    <xf numFmtId="0" fontId="8" fillId="7" borderId="0" xfId="0" applyFont="1" applyFill="1" applyAlignment="1">
      <alignment horizontal="center"/>
    </xf>
    <xf numFmtId="0" fontId="24" fillId="4" borderId="0" xfId="0" applyFont="1" applyFill="1" applyAlignment="1">
      <alignment horizontal="center"/>
    </xf>
    <xf numFmtId="0" fontId="24" fillId="7" borderId="0" xfId="0" applyFont="1" applyFill="1" applyAlignment="1">
      <alignment horizontal="center"/>
    </xf>
    <xf numFmtId="0" fontId="24" fillId="2" borderId="6" xfId="0" applyFont="1" applyFill="1" applyBorder="1" applyAlignment="1">
      <alignment horizontal="center"/>
    </xf>
    <xf numFmtId="0" fontId="26" fillId="13" borderId="20" xfId="0" applyFont="1" applyFill="1" applyBorder="1" applyAlignment="1">
      <alignment horizontal="center"/>
    </xf>
    <xf numFmtId="0" fontId="8" fillId="2" borderId="6" xfId="0" applyFont="1" applyFill="1" applyBorder="1"/>
    <xf numFmtId="0" fontId="2" fillId="13" borderId="20" xfId="0" applyFont="1" applyFill="1" applyBorder="1" applyAlignment="1">
      <alignment horizontal="center"/>
    </xf>
    <xf numFmtId="0" fontId="8" fillId="6" borderId="20" xfId="0" applyFont="1" applyFill="1" applyBorder="1" applyAlignment="1">
      <alignment horizontal="center"/>
    </xf>
    <xf numFmtId="0" fontId="8" fillId="2" borderId="6" xfId="0" applyFont="1" applyFill="1" applyBorder="1" applyAlignment="1">
      <alignment horizontal="center"/>
    </xf>
    <xf numFmtId="0" fontId="27" fillId="17" borderId="7" xfId="0" applyFont="1" applyFill="1" applyBorder="1"/>
    <xf numFmtId="0" fontId="27" fillId="17" borderId="12" xfId="0" applyFont="1" applyFill="1" applyBorder="1"/>
    <xf numFmtId="10" fontId="8" fillId="38" borderId="20" xfId="3" applyNumberFormat="1" applyFont="1" applyFill="1" applyBorder="1" applyAlignment="1">
      <alignment horizontal="center"/>
    </xf>
    <xf numFmtId="10" fontId="8" fillId="4" borderId="20" xfId="3" applyNumberFormat="1" applyFont="1" applyFill="1" applyBorder="1" applyAlignment="1">
      <alignment horizontal="center"/>
    </xf>
    <xf numFmtId="10" fontId="3" fillId="0" borderId="0" xfId="3" applyNumberFormat="1" applyFont="1"/>
    <xf numFmtId="0" fontId="21" fillId="2" borderId="19" xfId="0" applyFont="1" applyFill="1" applyBorder="1" applyAlignment="1">
      <alignment vertical="center" wrapText="1"/>
    </xf>
    <xf numFmtId="0" fontId="21" fillId="2" borderId="19" xfId="0" applyFont="1" applyFill="1" applyBorder="1" applyAlignment="1">
      <alignment vertical="top" wrapText="1"/>
    </xf>
    <xf numFmtId="0" fontId="21" fillId="2" borderId="0" xfId="0" applyFont="1" applyFill="1" applyAlignment="1">
      <alignment vertical="top" wrapText="1"/>
    </xf>
    <xf numFmtId="0" fontId="5" fillId="2" borderId="0" xfId="0" applyFont="1" applyFill="1" applyAlignment="1">
      <alignment vertical="top" wrapText="1"/>
    </xf>
    <xf numFmtId="0" fontId="5" fillId="2" borderId="19" xfId="0" applyFont="1" applyFill="1" applyBorder="1" applyAlignment="1">
      <alignment vertical="center" wrapText="1"/>
    </xf>
    <xf numFmtId="164" fontId="8" fillId="4" borderId="11" xfId="2" applyFont="1" applyFill="1" applyBorder="1"/>
    <xf numFmtId="164" fontId="8" fillId="2" borderId="9" xfId="2" applyFont="1" applyFill="1" applyBorder="1"/>
    <xf numFmtId="164" fontId="8" fillId="2" borderId="9" xfId="2" applyFont="1" applyFill="1" applyBorder="1" applyAlignment="1">
      <alignment horizontal="right"/>
    </xf>
    <xf numFmtId="0" fontId="9" fillId="0" borderId="0" xfId="0" applyFont="1" applyAlignment="1">
      <alignment wrapText="1"/>
    </xf>
    <xf numFmtId="0" fontId="9" fillId="0" borderId="0" xfId="0" applyFont="1" applyAlignment="1">
      <alignment horizontal="left" vertical="center"/>
    </xf>
    <xf numFmtId="0" fontId="38" fillId="31" borderId="0" xfId="0" applyFont="1" applyFill="1" applyAlignment="1">
      <alignment horizontal="center"/>
    </xf>
    <xf numFmtId="49" fontId="11" fillId="41" borderId="0" xfId="0" applyNumberFormat="1" applyFont="1" applyFill="1"/>
    <xf numFmtId="0" fontId="1" fillId="41" borderId="0" xfId="0" applyFont="1" applyFill="1" applyAlignment="1">
      <alignment wrapText="1"/>
    </xf>
    <xf numFmtId="49" fontId="0" fillId="0" borderId="0" xfId="0" applyNumberFormat="1"/>
    <xf numFmtId="164" fontId="24" fillId="2" borderId="0" xfId="2" applyFont="1" applyFill="1" applyBorder="1" applyAlignment="1"/>
    <xf numFmtId="164" fontId="24" fillId="2" borderId="11" xfId="2" applyFont="1" applyFill="1" applyBorder="1" applyAlignment="1"/>
    <xf numFmtId="0" fontId="34" fillId="3" borderId="0" xfId="0" applyFont="1" applyFill="1" applyAlignment="1">
      <alignment horizontal="center"/>
    </xf>
    <xf numFmtId="0" fontId="8" fillId="12" borderId="4" xfId="0" quotePrefix="1" applyFont="1" applyFill="1" applyBorder="1" applyAlignment="1">
      <alignment horizontal="right" vertical="center"/>
    </xf>
    <xf numFmtId="0" fontId="0" fillId="2" borderId="0" xfId="0" applyFill="1" applyAlignment="1">
      <alignment vertical="center" wrapText="1"/>
    </xf>
    <xf numFmtId="0" fontId="5" fillId="2" borderId="19" xfId="0" applyFont="1" applyFill="1" applyBorder="1" applyAlignment="1">
      <alignment vertical="top" wrapText="1"/>
    </xf>
    <xf numFmtId="0" fontId="20" fillId="14" borderId="0" xfId="0" applyFont="1" applyFill="1"/>
    <xf numFmtId="164" fontId="8" fillId="14" borderId="0" xfId="2" applyFont="1" applyFill="1"/>
    <xf numFmtId="164" fontId="8" fillId="14" borderId="0" xfId="2" applyFont="1" applyFill="1" applyBorder="1"/>
    <xf numFmtId="166" fontId="8" fillId="14" borderId="9" xfId="1" applyNumberFormat="1" applyFont="1" applyFill="1" applyBorder="1"/>
    <xf numFmtId="0" fontId="20" fillId="14" borderId="0" xfId="0" applyFont="1" applyFill="1" applyAlignment="1">
      <alignment horizontal="left"/>
    </xf>
    <xf numFmtId="0" fontId="8" fillId="14" borderId="0" xfId="0" applyFont="1" applyFill="1" applyAlignment="1">
      <alignment horizontal="left" indent="1"/>
    </xf>
    <xf numFmtId="166" fontId="24" fillId="14" borderId="9" xfId="1" applyNumberFormat="1" applyFont="1" applyFill="1" applyBorder="1"/>
    <xf numFmtId="0" fontId="0" fillId="2" borderId="0" xfId="0" applyFill="1" applyAlignment="1">
      <alignment vertical="center"/>
    </xf>
    <xf numFmtId="0" fontId="23" fillId="2" borderId="10" xfId="0" applyFont="1" applyFill="1" applyBorder="1"/>
    <xf numFmtId="164" fontId="24" fillId="2" borderId="7" xfId="2" applyFont="1" applyFill="1" applyBorder="1" applyAlignment="1">
      <alignment horizontal="center"/>
    </xf>
    <xf numFmtId="10" fontId="24" fillId="2" borderId="7" xfId="3" applyNumberFormat="1" applyFont="1" applyFill="1" applyBorder="1" applyAlignment="1">
      <alignment horizontal="center"/>
    </xf>
    <xf numFmtId="10" fontId="24" fillId="2" borderId="12" xfId="3" applyNumberFormat="1" applyFont="1" applyFill="1" applyBorder="1" applyAlignment="1">
      <alignment horizontal="center"/>
    </xf>
    <xf numFmtId="166" fontId="24" fillId="2" borderId="10" xfId="1" applyNumberFormat="1" applyFont="1" applyFill="1" applyBorder="1" applyAlignment="1">
      <alignment horizontal="center"/>
    </xf>
    <xf numFmtId="168" fontId="24" fillId="2" borderId="8" xfId="2" applyNumberFormat="1" applyFont="1" applyFill="1" applyBorder="1" applyAlignment="1">
      <alignment horizontal="center"/>
    </xf>
    <xf numFmtId="168" fontId="24" fillId="2" borderId="7" xfId="2" applyNumberFormat="1" applyFont="1" applyFill="1" applyBorder="1" applyAlignment="1">
      <alignment horizontal="center"/>
    </xf>
    <xf numFmtId="168" fontId="24" fillId="2" borderId="12" xfId="2" applyNumberFormat="1" applyFont="1" applyFill="1" applyBorder="1" applyAlignment="1">
      <alignment horizontal="center"/>
    </xf>
    <xf numFmtId="0" fontId="16" fillId="21" borderId="0" xfId="0" applyFont="1" applyFill="1"/>
    <xf numFmtId="0" fontId="20" fillId="7" borderId="13" xfId="0" applyFont="1" applyFill="1" applyBorder="1" applyAlignment="1">
      <alignment vertical="center"/>
    </xf>
    <xf numFmtId="0" fontId="20" fillId="31" borderId="13" xfId="0" applyFont="1" applyFill="1" applyBorder="1" applyAlignment="1">
      <alignment horizontal="center" vertical="center" wrapText="1"/>
    </xf>
    <xf numFmtId="0" fontId="20" fillId="7" borderId="18" xfId="0" applyFont="1" applyFill="1" applyBorder="1" applyAlignment="1">
      <alignment vertical="center"/>
    </xf>
    <xf numFmtId="0" fontId="20" fillId="7" borderId="0" xfId="0" applyFont="1" applyFill="1" applyAlignment="1">
      <alignment horizontal="center" vertical="center"/>
    </xf>
    <xf numFmtId="0" fontId="20" fillId="7" borderId="0" xfId="0" applyFont="1" applyFill="1" applyAlignment="1">
      <alignment horizontal="center" vertical="center" wrapText="1"/>
    </xf>
    <xf numFmtId="10" fontId="8" fillId="31" borderId="0" xfId="3" applyNumberFormat="1" applyFont="1" applyFill="1" applyBorder="1" applyAlignment="1" applyProtection="1">
      <alignment horizontal="center"/>
      <protection locked="0"/>
    </xf>
    <xf numFmtId="166" fontId="8" fillId="0" borderId="0" xfId="1" applyNumberFormat="1" applyFont="1" applyFill="1" applyBorder="1"/>
    <xf numFmtId="0" fontId="20" fillId="42" borderId="6" xfId="0" applyFont="1" applyFill="1" applyBorder="1"/>
    <xf numFmtId="164" fontId="8" fillId="42" borderId="0" xfId="2" applyFont="1" applyFill="1" applyBorder="1"/>
    <xf numFmtId="166" fontId="8" fillId="4" borderId="0" xfId="1" applyNumberFormat="1" applyFont="1" applyFill="1" applyBorder="1"/>
    <xf numFmtId="0" fontId="20" fillId="4" borderId="6" xfId="0" applyFont="1" applyFill="1" applyBorder="1" applyAlignment="1">
      <alignment horizontal="left" indent="1"/>
    </xf>
    <xf numFmtId="0" fontId="8" fillId="4" borderId="0" xfId="0" applyFont="1" applyFill="1" applyAlignment="1">
      <alignment horizontal="left" indent="1"/>
    </xf>
    <xf numFmtId="0" fontId="8" fillId="0" borderId="6" xfId="0" applyFont="1" applyBorder="1" applyAlignment="1">
      <alignment horizontal="left" indent="1"/>
    </xf>
    <xf numFmtId="0" fontId="20" fillId="42" borderId="0" xfId="0" applyFont="1" applyFill="1"/>
    <xf numFmtId="166" fontId="8" fillId="2" borderId="0" xfId="1" applyNumberFormat="1" applyFont="1" applyFill="1" applyBorder="1"/>
    <xf numFmtId="166" fontId="8" fillId="42" borderId="0" xfId="1" applyNumberFormat="1" applyFont="1" applyFill="1" applyBorder="1"/>
    <xf numFmtId="10" fontId="8" fillId="31" borderId="7" xfId="3" applyNumberFormat="1" applyFont="1" applyFill="1" applyBorder="1" applyAlignment="1" applyProtection="1">
      <alignment horizontal="center"/>
      <protection locked="0"/>
    </xf>
    <xf numFmtId="166" fontId="8" fillId="2" borderId="7" xfId="1" applyNumberFormat="1" applyFont="1" applyFill="1" applyBorder="1"/>
    <xf numFmtId="10" fontId="8" fillId="4" borderId="0" xfId="3" applyNumberFormat="1" applyFont="1" applyFill="1" applyBorder="1" applyAlignment="1" applyProtection="1">
      <alignment horizontal="center"/>
      <protection locked="0"/>
    </xf>
    <xf numFmtId="0" fontId="20" fillId="7" borderId="6" xfId="0" applyFont="1" applyFill="1" applyBorder="1"/>
    <xf numFmtId="164" fontId="8" fillId="7" borderId="0" xfId="2" applyFont="1" applyFill="1" applyBorder="1"/>
    <xf numFmtId="10" fontId="8" fillId="7" borderId="0" xfId="3" applyNumberFormat="1" applyFont="1" applyFill="1" applyBorder="1" applyAlignment="1" applyProtection="1">
      <alignment horizontal="center"/>
      <protection locked="0"/>
    </xf>
    <xf numFmtId="0" fontId="42" fillId="44" borderId="13" xfId="0" applyFont="1" applyFill="1" applyBorder="1" applyAlignment="1">
      <alignment horizontal="center"/>
    </xf>
    <xf numFmtId="0" fontId="42" fillId="45" borderId="16" xfId="0" applyFont="1" applyFill="1" applyBorder="1" applyAlignment="1">
      <alignment horizontal="center"/>
    </xf>
    <xf numFmtId="0" fontId="4" fillId="46" borderId="16" xfId="0" applyFont="1" applyFill="1" applyBorder="1" applyAlignment="1">
      <alignment horizontal="center"/>
    </xf>
    <xf numFmtId="0" fontId="43" fillId="44" borderId="10" xfId="0" applyFont="1" applyFill="1" applyBorder="1" applyAlignment="1">
      <alignment horizontal="center" vertical="center"/>
    </xf>
    <xf numFmtId="0" fontId="4" fillId="45" borderId="12" xfId="0" applyFont="1" applyFill="1" applyBorder="1" applyAlignment="1">
      <alignment horizontal="center"/>
    </xf>
    <xf numFmtId="0" fontId="4" fillId="46" borderId="12" xfId="0" applyFont="1" applyFill="1" applyBorder="1" applyAlignment="1">
      <alignment horizontal="center"/>
    </xf>
    <xf numFmtId="0" fontId="20" fillId="35" borderId="20"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20" fillId="7" borderId="17" xfId="0" applyFont="1" applyFill="1" applyBorder="1" applyAlignment="1">
      <alignment vertical="center"/>
    </xf>
    <xf numFmtId="0" fontId="0" fillId="0" borderId="11" xfId="0" applyBorder="1"/>
    <xf numFmtId="0" fontId="0" fillId="2" borderId="11" xfId="0" applyFill="1" applyBorder="1"/>
    <xf numFmtId="0" fontId="12" fillId="7" borderId="11" xfId="0" applyFont="1" applyFill="1" applyBorder="1"/>
    <xf numFmtId="0" fontId="0" fillId="0" borderId="9" xfId="0" applyBorder="1"/>
    <xf numFmtId="0" fontId="12" fillId="7" borderId="9" xfId="0" applyFont="1" applyFill="1" applyBorder="1"/>
    <xf numFmtId="0" fontId="12" fillId="8" borderId="0" xfId="0" applyFont="1" applyFill="1"/>
    <xf numFmtId="0" fontId="12" fillId="35" borderId="13" xfId="0" applyFont="1" applyFill="1" applyBorder="1"/>
    <xf numFmtId="0" fontId="0" fillId="0" borderId="13" xfId="0" applyBorder="1" applyAlignment="1">
      <alignment wrapText="1"/>
    </xf>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12" fillId="8" borderId="13" xfId="0" applyFont="1" applyFill="1" applyBorder="1"/>
    <xf numFmtId="0" fontId="0" fillId="0" borderId="13" xfId="0" applyBorder="1"/>
    <xf numFmtId="0" fontId="12" fillId="0" borderId="13" xfId="0" applyFont="1" applyBorder="1" applyAlignment="1">
      <alignment wrapText="1"/>
    </xf>
    <xf numFmtId="0" fontId="16" fillId="7" borderId="0" xfId="0" applyFont="1" applyFill="1"/>
    <xf numFmtId="164" fontId="8" fillId="0" borderId="9" xfId="2" applyFont="1" applyFill="1" applyBorder="1"/>
    <xf numFmtId="164" fontId="8" fillId="7" borderId="9" xfId="2" applyFont="1" applyFill="1" applyBorder="1"/>
    <xf numFmtId="164" fontId="8" fillId="0" borderId="12" xfId="2" applyFont="1" applyFill="1" applyBorder="1"/>
    <xf numFmtId="164" fontId="8" fillId="0" borderId="11" xfId="2" applyFont="1" applyFill="1" applyBorder="1"/>
    <xf numFmtId="0" fontId="20" fillId="0" borderId="10" xfId="0" applyFont="1" applyBorder="1"/>
    <xf numFmtId="0" fontId="20" fillId="36" borderId="13" xfId="0" applyFont="1" applyFill="1" applyBorder="1" applyAlignment="1">
      <alignment horizontal="center" vertical="center" wrapText="1"/>
    </xf>
    <xf numFmtId="0" fontId="20" fillId="47" borderId="13" xfId="0" applyFont="1" applyFill="1" applyBorder="1" applyAlignment="1">
      <alignment horizontal="center" vertical="center" wrapText="1"/>
    </xf>
    <xf numFmtId="10" fontId="8" fillId="35" borderId="10" xfId="3" applyNumberFormat="1" applyFont="1" applyFill="1" applyBorder="1" applyAlignment="1" applyProtection="1">
      <alignment horizontal="center"/>
      <protection locked="0"/>
    </xf>
    <xf numFmtId="10" fontId="8" fillId="36" borderId="9" xfId="3" applyNumberFormat="1" applyFont="1" applyFill="1" applyBorder="1" applyAlignment="1" applyProtection="1">
      <alignment horizontal="center"/>
      <protection locked="0"/>
    </xf>
    <xf numFmtId="10" fontId="8" fillId="47" borderId="9" xfId="3" applyNumberFormat="1" applyFont="1" applyFill="1" applyBorder="1" applyAlignment="1" applyProtection="1">
      <alignment horizontal="center"/>
      <protection locked="0"/>
    </xf>
    <xf numFmtId="10" fontId="8" fillId="47" borderId="7" xfId="3" applyNumberFormat="1" applyFont="1" applyFill="1" applyBorder="1" applyAlignment="1" applyProtection="1">
      <alignment horizontal="center"/>
      <protection locked="0"/>
    </xf>
    <xf numFmtId="0" fontId="20" fillId="7" borderId="17" xfId="0" applyFont="1" applyFill="1" applyBorder="1" applyAlignment="1">
      <alignment horizontal="center" vertical="center" wrapText="1"/>
    </xf>
    <xf numFmtId="0" fontId="20" fillId="7" borderId="20" xfId="0" applyFont="1" applyFill="1" applyBorder="1" applyAlignment="1">
      <alignment horizontal="center" vertical="center"/>
    </xf>
    <xf numFmtId="164" fontId="8" fillId="0" borderId="10" xfId="2" applyFont="1" applyFill="1" applyBorder="1"/>
    <xf numFmtId="166" fontId="8" fillId="0" borderId="9" xfId="1" applyNumberFormat="1" applyFont="1" applyFill="1" applyBorder="1"/>
    <xf numFmtId="166" fontId="8" fillId="0" borderId="10" xfId="1" applyNumberFormat="1" applyFont="1" applyFill="1" applyBorder="1"/>
    <xf numFmtId="10" fontId="8" fillId="36" borderId="10" xfId="3" applyNumberFormat="1" applyFont="1" applyFill="1" applyBorder="1" applyAlignment="1" applyProtection="1">
      <alignment horizontal="center"/>
      <protection locked="0"/>
    </xf>
    <xf numFmtId="0" fontId="0" fillId="48" borderId="0" xfId="0" applyFill="1"/>
    <xf numFmtId="0" fontId="0" fillId="48" borderId="0" xfId="0" applyFill="1" applyAlignment="1">
      <alignment vertical="center"/>
    </xf>
    <xf numFmtId="0" fontId="44" fillId="0" borderId="0" xfId="0" applyFont="1"/>
    <xf numFmtId="0" fontId="20" fillId="36" borderId="20" xfId="0" applyFont="1" applyFill="1" applyBorder="1" applyAlignment="1">
      <alignment horizontal="center" vertical="center" wrapText="1"/>
    </xf>
    <xf numFmtId="0" fontId="20" fillId="47" borderId="19" xfId="0" applyFont="1" applyFill="1" applyBorder="1" applyAlignment="1">
      <alignment horizontal="center" vertical="center" wrapText="1"/>
    </xf>
    <xf numFmtId="0" fontId="0" fillId="8" borderId="0" xfId="0" quotePrefix="1" applyFill="1" applyAlignment="1">
      <alignment wrapText="1"/>
    </xf>
    <xf numFmtId="0" fontId="0" fillId="49" borderId="0" xfId="0" applyFill="1" applyAlignment="1">
      <alignment wrapText="1"/>
    </xf>
    <xf numFmtId="0" fontId="8" fillId="26" borderId="3" xfId="0" applyFont="1" applyFill="1" applyBorder="1" applyAlignment="1">
      <alignment horizontal="center"/>
    </xf>
    <xf numFmtId="0" fontId="8" fillId="26" borderId="4" xfId="0" applyFont="1" applyFill="1" applyBorder="1" applyAlignment="1">
      <alignment horizontal="center"/>
    </xf>
    <xf numFmtId="0" fontId="11" fillId="0" borderId="0" xfId="0" quotePrefix="1" applyFont="1"/>
    <xf numFmtId="0" fontId="11" fillId="0" borderId="0" xfId="0" applyFont="1"/>
    <xf numFmtId="0" fontId="14" fillId="25" borderId="21" xfId="0" applyFont="1" applyFill="1" applyBorder="1" applyAlignment="1">
      <alignment horizontal="center"/>
    </xf>
    <xf numFmtId="0" fontId="14" fillId="25" borderId="22" xfId="0" applyFont="1" applyFill="1" applyBorder="1" applyAlignment="1">
      <alignment horizontal="center"/>
    </xf>
    <xf numFmtId="0" fontId="2" fillId="22" borderId="3" xfId="0" applyFont="1" applyFill="1" applyBorder="1" applyAlignment="1">
      <alignment horizontal="center"/>
    </xf>
    <xf numFmtId="0" fontId="2" fillId="22" borderId="4" xfId="0" applyFont="1" applyFill="1" applyBorder="1" applyAlignment="1">
      <alignment horizontal="center"/>
    </xf>
    <xf numFmtId="0" fontId="14" fillId="23" borderId="13" xfId="0" applyFont="1" applyFill="1" applyBorder="1" applyAlignment="1">
      <alignment horizontal="center"/>
    </xf>
    <xf numFmtId="0" fontId="20" fillId="24" borderId="14" xfId="0" applyFont="1" applyFill="1" applyBorder="1" applyAlignment="1">
      <alignment horizontal="center"/>
    </xf>
    <xf numFmtId="0" fontId="20" fillId="24" borderId="16" xfId="0" applyFont="1" applyFill="1" applyBorder="1" applyAlignment="1">
      <alignment horizontal="center"/>
    </xf>
    <xf numFmtId="0" fontId="2" fillId="22" borderId="13" xfId="0" applyFont="1" applyFill="1" applyBorder="1" applyAlignment="1">
      <alignment horizontal="center"/>
    </xf>
    <xf numFmtId="0" fontId="20" fillId="24" borderId="13" xfId="0" applyFont="1" applyFill="1" applyBorder="1" applyAlignment="1">
      <alignment horizontal="center"/>
    </xf>
    <xf numFmtId="0" fontId="28" fillId="0" borderId="0" xfId="0" applyFont="1" applyAlignment="1">
      <alignment horizontal="center"/>
    </xf>
    <xf numFmtId="0" fontId="12" fillId="6" borderId="0" xfId="0" applyFont="1" applyFill="1" applyAlignment="1">
      <alignment horizontal="center" vertical="center" textRotation="90"/>
    </xf>
    <xf numFmtId="0" fontId="12" fillId="10" borderId="0" xfId="0" applyFont="1" applyFill="1" applyAlignment="1">
      <alignment horizontal="center" vertical="center" textRotation="90"/>
    </xf>
    <xf numFmtId="0" fontId="12" fillId="5" borderId="0" xfId="0" applyFont="1" applyFill="1" applyAlignment="1">
      <alignment horizontal="center" vertical="center" textRotation="90"/>
    </xf>
    <xf numFmtId="0" fontId="27" fillId="17" borderId="8" xfId="0" applyFont="1" applyFill="1" applyBorder="1" applyAlignment="1">
      <alignment horizontal="center"/>
    </xf>
    <xf numFmtId="0" fontId="27" fillId="17" borderId="7" xfId="0" applyFont="1" applyFill="1" applyBorder="1" applyAlignment="1">
      <alignment horizontal="center"/>
    </xf>
    <xf numFmtId="0" fontId="32" fillId="37" borderId="15" xfId="0" applyFont="1" applyFill="1" applyBorder="1" applyAlignment="1">
      <alignment horizontal="center"/>
    </xf>
    <xf numFmtId="0" fontId="32" fillId="37" borderId="16" xfId="0" applyFont="1" applyFill="1" applyBorder="1" applyAlignment="1">
      <alignment horizontal="center"/>
    </xf>
    <xf numFmtId="0" fontId="32" fillId="7" borderId="15" xfId="0" applyFont="1" applyFill="1" applyBorder="1" applyAlignment="1">
      <alignment horizontal="center"/>
    </xf>
    <xf numFmtId="0" fontId="32" fillId="4" borderId="14" xfId="0" applyFont="1" applyFill="1" applyBorder="1" applyAlignment="1">
      <alignment horizontal="center"/>
    </xf>
    <xf numFmtId="0" fontId="32" fillId="4" borderId="15" xfId="0" applyFont="1" applyFill="1" applyBorder="1" applyAlignment="1">
      <alignment horizontal="center"/>
    </xf>
    <xf numFmtId="0" fontId="32" fillId="4" borderId="16" xfId="0" applyFont="1" applyFill="1" applyBorder="1" applyAlignment="1">
      <alignment horizontal="center"/>
    </xf>
    <xf numFmtId="0" fontId="21" fillId="2" borderId="19" xfId="0" applyFont="1" applyFill="1" applyBorder="1" applyAlignment="1">
      <alignment horizontal="left" vertical="top" wrapText="1"/>
    </xf>
    <xf numFmtId="0" fontId="21" fillId="2" borderId="0" xfId="0" applyFont="1" applyFill="1" applyAlignment="1">
      <alignment horizontal="left" vertical="top" wrapText="1"/>
    </xf>
    <xf numFmtId="0" fontId="35" fillId="15" borderId="14" xfId="0" applyFont="1" applyFill="1" applyBorder="1" applyAlignment="1">
      <alignment horizontal="center"/>
    </xf>
    <xf numFmtId="0" fontId="35" fillId="15" borderId="15" xfId="0" applyFont="1" applyFill="1" applyBorder="1" applyAlignment="1">
      <alignment horizontal="center"/>
    </xf>
    <xf numFmtId="0" fontId="25" fillId="6" borderId="14" xfId="0" applyFont="1" applyFill="1" applyBorder="1" applyAlignment="1">
      <alignment horizontal="center"/>
    </xf>
    <xf numFmtId="0" fontId="25" fillId="6" borderId="15" xfId="0" applyFont="1" applyFill="1" applyBorder="1" applyAlignment="1">
      <alignment horizontal="center"/>
    </xf>
    <xf numFmtId="0" fontId="25" fillId="6" borderId="16" xfId="0" applyFont="1" applyFill="1" applyBorder="1" applyAlignment="1">
      <alignment horizontal="center"/>
    </xf>
    <xf numFmtId="0" fontId="25" fillId="36" borderId="15" xfId="0" applyFont="1" applyFill="1" applyBorder="1" applyAlignment="1">
      <alignment horizontal="center"/>
    </xf>
    <xf numFmtId="0" fontId="25" fillId="36" borderId="16" xfId="0" applyFont="1" applyFill="1" applyBorder="1" applyAlignment="1">
      <alignment horizontal="center"/>
    </xf>
    <xf numFmtId="0" fontId="25" fillId="35" borderId="14" xfId="0" applyFont="1" applyFill="1" applyBorder="1" applyAlignment="1">
      <alignment horizontal="center"/>
    </xf>
    <xf numFmtId="0" fontId="25" fillId="35" borderId="15" xfId="0" applyFont="1" applyFill="1" applyBorder="1" applyAlignment="1">
      <alignment horizontal="center"/>
    </xf>
    <xf numFmtId="0" fontId="27" fillId="36" borderId="0" xfId="0" applyFont="1" applyFill="1" applyAlignment="1">
      <alignment horizontal="left"/>
    </xf>
    <xf numFmtId="0" fontId="41" fillId="43" borderId="6" xfId="0" applyFont="1" applyFill="1" applyBorder="1" applyAlignment="1">
      <alignment horizontal="left" wrapText="1"/>
    </xf>
    <xf numFmtId="0" fontId="41" fillId="43" borderId="0" xfId="0" applyFont="1" applyFill="1" applyAlignment="1">
      <alignment horizontal="left"/>
    </xf>
    <xf numFmtId="0" fontId="25" fillId="35" borderId="7" xfId="0" applyFont="1" applyFill="1" applyBorder="1" applyAlignment="1">
      <alignment horizontal="center"/>
    </xf>
    <xf numFmtId="0" fontId="25" fillId="36" borderId="7" xfId="0" applyFont="1" applyFill="1" applyBorder="1" applyAlignment="1">
      <alignment horizontal="center"/>
    </xf>
    <xf numFmtId="0" fontId="25" fillId="47" borderId="7" xfId="0" applyFont="1" applyFill="1" applyBorder="1" applyAlignment="1">
      <alignment horizontal="center"/>
    </xf>
    <xf numFmtId="0" fontId="12" fillId="35" borderId="14" xfId="0" applyFont="1" applyFill="1" applyBorder="1"/>
    <xf numFmtId="0" fontId="12" fillId="35" borderId="15" xfId="0" applyFont="1" applyFill="1" applyBorder="1"/>
    <xf numFmtId="0" fontId="12" fillId="35" borderId="16" xfId="0" applyFont="1" applyFill="1" applyBorder="1"/>
    <xf numFmtId="0" fontId="0" fillId="0" borderId="14" xfId="0" applyBorder="1" applyAlignment="1">
      <alignment horizontal="left" wrapText="1"/>
    </xf>
    <xf numFmtId="0" fontId="0" fillId="0" borderId="15" xfId="0" applyBorder="1" applyAlignment="1">
      <alignment horizontal="left" wrapText="1"/>
    </xf>
    <xf numFmtId="0" fontId="0" fillId="0" borderId="16" xfId="0" applyBorder="1" applyAlignment="1">
      <alignment horizontal="left" wrapText="1"/>
    </xf>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12" fillId="0" borderId="14" xfId="0" applyFont="1" applyBorder="1" applyAlignment="1">
      <alignment horizontal="left" wrapText="1"/>
    </xf>
    <xf numFmtId="0" fontId="12" fillId="0" borderId="15" xfId="0" applyFont="1" applyBorder="1" applyAlignment="1">
      <alignment horizontal="left" wrapText="1"/>
    </xf>
    <xf numFmtId="0" fontId="12" fillId="0" borderId="16" xfId="0" applyFont="1" applyBorder="1" applyAlignment="1">
      <alignment horizontal="left" wrapText="1"/>
    </xf>
    <xf numFmtId="0" fontId="27" fillId="29" borderId="0" xfId="0" applyFont="1" applyFill="1" applyAlignment="1">
      <alignment horizontal="center"/>
    </xf>
    <xf numFmtId="0" fontId="25" fillId="21" borderId="7" xfId="0" applyFont="1" applyFill="1" applyBorder="1" applyAlignment="1">
      <alignment horizontal="center"/>
    </xf>
    <xf numFmtId="0" fontId="41" fillId="43" borderId="6" xfId="0" applyFont="1" applyFill="1" applyBorder="1" applyAlignment="1">
      <alignment horizontal="left"/>
    </xf>
    <xf numFmtId="0" fontId="16" fillId="10" borderId="8" xfId="0" applyFont="1" applyFill="1" applyBorder="1" applyAlignment="1">
      <alignment horizontal="center"/>
    </xf>
    <xf numFmtId="0" fontId="16" fillId="10" borderId="7" xfId="0" applyFont="1" applyFill="1" applyBorder="1" applyAlignment="1">
      <alignment horizontal="center"/>
    </xf>
    <xf numFmtId="0" fontId="5" fillId="2" borderId="19" xfId="0" applyFont="1" applyFill="1" applyBorder="1" applyAlignment="1">
      <alignment horizontal="left" vertical="top" wrapText="1"/>
    </xf>
    <xf numFmtId="0" fontId="5" fillId="2" borderId="0" xfId="0" applyFont="1" applyFill="1" applyAlignment="1">
      <alignment horizontal="left" vertical="top" wrapText="1"/>
    </xf>
    <xf numFmtId="0" fontId="25" fillId="7" borderId="14" xfId="0" applyFont="1" applyFill="1" applyBorder="1" applyAlignment="1">
      <alignment horizontal="center"/>
    </xf>
    <xf numFmtId="0" fontId="25" fillId="7" borderId="15" xfId="0" applyFont="1" applyFill="1" applyBorder="1" applyAlignment="1">
      <alignment horizontal="center"/>
    </xf>
    <xf numFmtId="0" fontId="25" fillId="7" borderId="16" xfId="0" applyFont="1" applyFill="1" applyBorder="1" applyAlignment="1">
      <alignment horizontal="center"/>
    </xf>
    <xf numFmtId="0" fontId="25" fillId="38" borderId="14" xfId="0" applyFont="1" applyFill="1" applyBorder="1" applyAlignment="1">
      <alignment horizontal="center"/>
    </xf>
    <xf numFmtId="0" fontId="25" fillId="38" borderId="15" xfId="0" applyFont="1" applyFill="1" applyBorder="1" applyAlignment="1">
      <alignment horizontal="center"/>
    </xf>
    <xf numFmtId="0" fontId="25" fillId="38" borderId="16" xfId="0" applyFont="1" applyFill="1" applyBorder="1" applyAlignment="1">
      <alignment horizontal="center"/>
    </xf>
    <xf numFmtId="0" fontId="25" fillId="40" borderId="14" xfId="0" applyFont="1" applyFill="1" applyBorder="1" applyAlignment="1">
      <alignment horizontal="center"/>
    </xf>
    <xf numFmtId="0" fontId="25" fillId="40" borderId="15" xfId="0" applyFont="1" applyFill="1" applyBorder="1" applyAlignment="1">
      <alignment horizontal="center"/>
    </xf>
    <xf numFmtId="0" fontId="25" fillId="40" borderId="16" xfId="0" applyFont="1" applyFill="1" applyBorder="1" applyAlignment="1">
      <alignment horizontal="center"/>
    </xf>
    <xf numFmtId="164" fontId="8" fillId="32" borderId="0" xfId="2" applyFont="1" applyFill="1" applyBorder="1" applyAlignment="1">
      <alignment horizontal="center"/>
    </xf>
    <xf numFmtId="0" fontId="33" fillId="18" borderId="8" xfId="0" applyFont="1" applyFill="1" applyBorder="1" applyAlignment="1">
      <alignment horizontal="center"/>
    </xf>
    <xf numFmtId="0" fontId="33" fillId="18" borderId="7" xfId="0" applyFont="1" applyFill="1" applyBorder="1" applyAlignment="1">
      <alignment horizontal="center"/>
    </xf>
    <xf numFmtId="0" fontId="16" fillId="34" borderId="14" xfId="0" applyFont="1" applyFill="1" applyBorder="1" applyAlignment="1">
      <alignment horizontal="center"/>
    </xf>
    <xf numFmtId="0" fontId="16" fillId="34" borderId="15" xfId="0" applyFont="1" applyFill="1" applyBorder="1" applyAlignment="1">
      <alignment horizontal="center"/>
    </xf>
    <xf numFmtId="0" fontId="16" fillId="34" borderId="16" xfId="0" applyFont="1" applyFill="1" applyBorder="1" applyAlignment="1">
      <alignment horizontal="center"/>
    </xf>
    <xf numFmtId="0" fontId="25" fillId="9" borderId="14" xfId="0" applyFont="1" applyFill="1" applyBorder="1" applyAlignment="1">
      <alignment horizontal="center"/>
    </xf>
    <xf numFmtId="0" fontId="25" fillId="9" borderId="15" xfId="0" applyFont="1" applyFill="1" applyBorder="1" applyAlignment="1">
      <alignment horizontal="center"/>
    </xf>
    <xf numFmtId="0" fontId="25" fillId="9" borderId="16" xfId="0" applyFont="1" applyFill="1" applyBorder="1" applyAlignment="1">
      <alignment horizontal="center"/>
    </xf>
    <xf numFmtId="0" fontId="25" fillId="27" borderId="14" xfId="0" applyFont="1" applyFill="1" applyBorder="1" applyAlignment="1">
      <alignment horizontal="center"/>
    </xf>
    <xf numFmtId="0" fontId="25" fillId="27" borderId="15" xfId="0" applyFont="1" applyFill="1" applyBorder="1" applyAlignment="1">
      <alignment horizontal="center"/>
    </xf>
    <xf numFmtId="0" fontId="25" fillId="27" borderId="16" xfId="0" applyFont="1" applyFill="1" applyBorder="1" applyAlignment="1">
      <alignment horizontal="center"/>
    </xf>
    <xf numFmtId="0" fontId="31" fillId="6" borderId="14" xfId="0" applyFont="1" applyFill="1" applyBorder="1" applyAlignment="1">
      <alignment horizontal="center"/>
    </xf>
    <xf numFmtId="0" fontId="31" fillId="6" borderId="15" xfId="0" applyFont="1" applyFill="1" applyBorder="1" applyAlignment="1">
      <alignment horizontal="center"/>
    </xf>
    <xf numFmtId="0" fontId="31" fillId="6" borderId="16" xfId="0" applyFont="1" applyFill="1" applyBorder="1" applyAlignment="1">
      <alignment horizontal="center"/>
    </xf>
    <xf numFmtId="0" fontId="20" fillId="35" borderId="14" xfId="0" applyFont="1" applyFill="1" applyBorder="1" applyAlignment="1">
      <alignment horizontal="center" vertical="center"/>
    </xf>
    <xf numFmtId="0" fontId="20" fillId="35" borderId="16" xfId="0" applyFont="1" applyFill="1" applyBorder="1" applyAlignment="1">
      <alignment horizontal="center" vertical="center"/>
    </xf>
    <xf numFmtId="0" fontId="20" fillId="35" borderId="13" xfId="0" applyFont="1" applyFill="1" applyBorder="1" applyAlignment="1">
      <alignment horizontal="center" vertical="center"/>
    </xf>
    <xf numFmtId="0" fontId="20" fillId="35" borderId="20" xfId="0" applyFont="1" applyFill="1" applyBorder="1" applyAlignment="1">
      <alignment horizontal="center" vertical="center" wrapText="1"/>
    </xf>
    <xf numFmtId="0" fontId="20" fillId="35" borderId="10" xfId="0" applyFont="1" applyFill="1" applyBorder="1" applyAlignment="1">
      <alignment horizontal="center" vertical="center" wrapText="1"/>
    </xf>
    <xf numFmtId="0" fontId="27" fillId="3" borderId="8" xfId="0" applyFont="1" applyFill="1" applyBorder="1" applyAlignment="1">
      <alignment horizontal="center"/>
    </xf>
    <xf numFmtId="0" fontId="27" fillId="3" borderId="7" xfId="0" applyFont="1" applyFill="1" applyBorder="1" applyAlignment="1">
      <alignment horizontal="center"/>
    </xf>
    <xf numFmtId="0" fontId="31" fillId="35" borderId="14" xfId="0" applyFont="1" applyFill="1" applyBorder="1" applyAlignment="1">
      <alignment horizontal="center"/>
    </xf>
    <xf numFmtId="0" fontId="31" fillId="35" borderId="15" xfId="0" applyFont="1" applyFill="1" applyBorder="1" applyAlignment="1">
      <alignment horizontal="center"/>
    </xf>
    <xf numFmtId="0" fontId="31" fillId="35" borderId="16" xfId="0" applyFont="1" applyFill="1" applyBorder="1" applyAlignment="1">
      <alignment horizontal="center"/>
    </xf>
    <xf numFmtId="0" fontId="20" fillId="35" borderId="13" xfId="0" applyFont="1" applyFill="1" applyBorder="1" applyAlignment="1">
      <alignment horizontal="center" vertical="center" wrapText="1"/>
    </xf>
    <xf numFmtId="0" fontId="20" fillId="6" borderId="13" xfId="0" applyFont="1" applyFill="1" applyBorder="1" applyAlignment="1">
      <alignment horizontal="center" vertical="center"/>
    </xf>
    <xf numFmtId="0" fontId="20" fillId="6" borderId="13"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0" fillId="6" borderId="10" xfId="0" applyFont="1" applyFill="1" applyBorder="1" applyAlignment="1">
      <alignment horizontal="center" vertical="center" wrapText="1"/>
    </xf>
    <xf numFmtId="0" fontId="20" fillId="7" borderId="13" xfId="0" applyFont="1" applyFill="1" applyBorder="1" applyAlignment="1">
      <alignment horizontal="left" vertical="center"/>
    </xf>
    <xf numFmtId="0" fontId="20" fillId="7" borderId="13" xfId="0" applyFont="1" applyFill="1" applyBorder="1" applyAlignment="1">
      <alignment horizontal="center" vertical="center"/>
    </xf>
    <xf numFmtId="0" fontId="14" fillId="36" borderId="20" xfId="0" applyFont="1" applyFill="1" applyBorder="1" applyAlignment="1">
      <alignment horizontal="center" vertical="center" wrapText="1"/>
    </xf>
    <xf numFmtId="0" fontId="14" fillId="36" borderId="8" xfId="0" applyFont="1" applyFill="1" applyBorder="1" applyAlignment="1">
      <alignment horizontal="center" vertical="center" wrapText="1"/>
    </xf>
    <xf numFmtId="0" fontId="30" fillId="36" borderId="14" xfId="0" applyFont="1" applyFill="1" applyBorder="1" applyAlignment="1">
      <alignment horizontal="center"/>
    </xf>
    <xf numFmtId="0" fontId="30" fillId="36" borderId="15" xfId="0" applyFont="1" applyFill="1" applyBorder="1" applyAlignment="1">
      <alignment horizontal="center"/>
    </xf>
    <xf numFmtId="0" fontId="30" fillId="36" borderId="16" xfId="0" applyFont="1" applyFill="1" applyBorder="1" applyAlignment="1">
      <alignment horizontal="center"/>
    </xf>
    <xf numFmtId="0" fontId="14" fillId="36" borderId="13" xfId="0" applyFont="1" applyFill="1" applyBorder="1" applyAlignment="1">
      <alignment horizontal="center" vertical="center"/>
    </xf>
    <xf numFmtId="0" fontId="14" fillId="36" borderId="13" xfId="0" applyFont="1" applyFill="1" applyBorder="1" applyAlignment="1">
      <alignment horizontal="center" vertical="center" wrapText="1"/>
    </xf>
    <xf numFmtId="0" fontId="14" fillId="36" borderId="10" xfId="0" applyFont="1" applyFill="1" applyBorder="1" applyAlignment="1">
      <alignment horizontal="center" vertical="center" wrapText="1"/>
    </xf>
    <xf numFmtId="0" fontId="14" fillId="36" borderId="14" xfId="0" applyFont="1" applyFill="1" applyBorder="1" applyAlignment="1">
      <alignment horizontal="center" vertical="center"/>
    </xf>
    <xf numFmtId="0" fontId="14" fillId="36" borderId="16" xfId="0" applyFont="1" applyFill="1" applyBorder="1" applyAlignment="1">
      <alignment horizontal="center" vertical="center"/>
    </xf>
    <xf numFmtId="0" fontId="20" fillId="6" borderId="14" xfId="0" applyFont="1" applyFill="1" applyBorder="1" applyAlignment="1">
      <alignment horizontal="center" vertical="center"/>
    </xf>
    <xf numFmtId="0" fontId="20" fillId="6" borderId="16" xfId="0" applyFont="1" applyFill="1" applyBorder="1" applyAlignment="1">
      <alignment horizontal="center" vertical="center"/>
    </xf>
    <xf numFmtId="0" fontId="20" fillId="35" borderId="8" xfId="0" applyFont="1" applyFill="1" applyBorder="1" applyAlignment="1">
      <alignment horizontal="center" vertical="center" wrapText="1"/>
    </xf>
    <xf numFmtId="0" fontId="30" fillId="16" borderId="8" xfId="0" applyFont="1" applyFill="1" applyBorder="1" applyAlignment="1">
      <alignment horizontal="center"/>
    </xf>
    <xf numFmtId="0" fontId="30" fillId="16" borderId="7" xfId="0" applyFont="1" applyFill="1" applyBorder="1" applyAlignment="1">
      <alignment horizontal="center"/>
    </xf>
    <xf numFmtId="0" fontId="20" fillId="4" borderId="14" xfId="0" applyFont="1" applyFill="1" applyBorder="1" applyAlignment="1">
      <alignment horizontal="center" vertical="center"/>
    </xf>
    <xf numFmtId="0" fontId="20" fillId="4" borderId="16" xfId="0" applyFont="1" applyFill="1" applyBorder="1" applyAlignment="1">
      <alignment horizontal="center" vertical="center"/>
    </xf>
    <xf numFmtId="0" fontId="20" fillId="4" borderId="13" xfId="0" applyFont="1" applyFill="1" applyBorder="1" applyAlignment="1">
      <alignment horizontal="center" vertical="center"/>
    </xf>
    <xf numFmtId="0" fontId="20" fillId="4" borderId="13" xfId="0" applyFont="1" applyFill="1" applyBorder="1" applyAlignment="1">
      <alignment horizontal="center" vertical="center" wrapText="1"/>
    </xf>
    <xf numFmtId="0" fontId="14" fillId="13" borderId="13" xfId="0" applyFont="1" applyFill="1" applyBorder="1" applyAlignment="1">
      <alignment horizontal="center" vertical="center" wrapText="1"/>
    </xf>
    <xf numFmtId="0" fontId="14" fillId="13" borderId="20" xfId="0" applyFont="1" applyFill="1" applyBorder="1" applyAlignment="1">
      <alignment horizontal="center" vertical="center" wrapText="1"/>
    </xf>
    <xf numFmtId="0" fontId="14" fillId="13" borderId="10"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6" xfId="0" applyFont="1" applyFill="1" applyBorder="1" applyAlignment="1">
      <alignment horizontal="center" vertical="center"/>
    </xf>
    <xf numFmtId="0" fontId="31" fillId="7" borderId="14" xfId="0" applyFont="1" applyFill="1" applyBorder="1" applyAlignment="1">
      <alignment horizontal="center"/>
    </xf>
    <xf numFmtId="0" fontId="31" fillId="7" borderId="15" xfId="0" applyFont="1" applyFill="1" applyBorder="1" applyAlignment="1">
      <alignment horizontal="center"/>
    </xf>
    <xf numFmtId="0" fontId="31" fillId="7" borderId="16" xfId="0" applyFont="1" applyFill="1" applyBorder="1" applyAlignment="1">
      <alignment horizontal="center"/>
    </xf>
    <xf numFmtId="0" fontId="20" fillId="4" borderId="20" xfId="0" applyFont="1" applyFill="1" applyBorder="1" applyAlignment="1">
      <alignment horizontal="center" vertical="center" wrapText="1"/>
    </xf>
    <xf numFmtId="0" fontId="20" fillId="4" borderId="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20" fillId="7" borderId="8" xfId="0" applyFont="1" applyFill="1" applyBorder="1" applyAlignment="1">
      <alignment horizontal="center" vertical="center" wrapText="1"/>
    </xf>
    <xf numFmtId="0" fontId="20" fillId="4" borderId="10" xfId="0" applyFont="1" applyFill="1" applyBorder="1" applyAlignment="1">
      <alignment horizontal="center" vertical="center" wrapText="1"/>
    </xf>
    <xf numFmtId="0" fontId="31" fillId="4" borderId="14" xfId="0" applyFont="1" applyFill="1" applyBorder="1" applyAlignment="1">
      <alignment horizontal="center"/>
    </xf>
    <xf numFmtId="0" fontId="31" fillId="4" borderId="15" xfId="0" applyFont="1" applyFill="1" applyBorder="1" applyAlignment="1">
      <alignment horizontal="center"/>
    </xf>
    <xf numFmtId="0" fontId="31" fillId="4" borderId="16" xfId="0" applyFont="1" applyFill="1" applyBorder="1" applyAlignment="1">
      <alignment horizontal="center"/>
    </xf>
    <xf numFmtId="0" fontId="30" fillId="13" borderId="14" xfId="0" applyFont="1" applyFill="1" applyBorder="1" applyAlignment="1">
      <alignment horizontal="center"/>
    </xf>
    <xf numFmtId="0" fontId="30" fillId="13" borderId="15" xfId="0" applyFont="1" applyFill="1" applyBorder="1" applyAlignment="1">
      <alignment horizontal="center"/>
    </xf>
    <xf numFmtId="0" fontId="30" fillId="13" borderId="16" xfId="0" applyFont="1" applyFill="1" applyBorder="1" applyAlignment="1">
      <alignment horizontal="center"/>
    </xf>
    <xf numFmtId="0" fontId="20" fillId="7" borderId="14" xfId="0" applyFont="1" applyFill="1" applyBorder="1" applyAlignment="1">
      <alignment horizontal="center" vertical="center"/>
    </xf>
    <xf numFmtId="0" fontId="20" fillId="7" borderId="16" xfId="0" applyFont="1" applyFill="1" applyBorder="1" applyAlignment="1">
      <alignment horizontal="center" vertical="center"/>
    </xf>
    <xf numFmtId="0" fontId="20" fillId="7" borderId="10" xfId="0" applyFont="1" applyFill="1" applyBorder="1" applyAlignment="1">
      <alignment horizontal="center" vertical="center" wrapText="1"/>
    </xf>
    <xf numFmtId="0" fontId="33" fillId="3" borderId="8" xfId="0" applyFont="1" applyFill="1" applyBorder="1" applyAlignment="1">
      <alignment horizontal="center"/>
    </xf>
    <xf numFmtId="0" fontId="33" fillId="3" borderId="7" xfId="0" applyFont="1" applyFill="1" applyBorder="1" applyAlignment="1">
      <alignment horizontal="center"/>
    </xf>
    <xf numFmtId="164" fontId="24" fillId="2" borderId="0" xfId="2" applyFont="1" applyFill="1" applyBorder="1" applyAlignment="1">
      <alignment horizontal="center"/>
    </xf>
    <xf numFmtId="0" fontId="20" fillId="38" borderId="13" xfId="0" applyFont="1" applyFill="1" applyBorder="1" applyAlignment="1">
      <alignment horizontal="center" vertical="center"/>
    </xf>
    <xf numFmtId="0" fontId="16" fillId="13" borderId="15" xfId="0" applyFont="1" applyFill="1" applyBorder="1" applyAlignment="1">
      <alignment horizontal="center"/>
    </xf>
    <xf numFmtId="0" fontId="25" fillId="4" borderId="15" xfId="0" applyFont="1" applyFill="1" applyBorder="1" applyAlignment="1">
      <alignment horizontal="center"/>
    </xf>
    <xf numFmtId="0" fontId="0" fillId="2" borderId="0" xfId="0" applyFill="1" applyAlignment="1">
      <alignment horizontal="left" vertical="top" wrapText="1"/>
    </xf>
    <xf numFmtId="0" fontId="0" fillId="0" borderId="0" xfId="0" pivotButton="1" applyFont="1"/>
    <xf numFmtId="0" fontId="0" fillId="0" borderId="0" xfId="0" applyFont="1"/>
    <xf numFmtId="0" fontId="0" fillId="0" borderId="0" xfId="0" applyFont="1" applyAlignment="1">
      <alignment horizontal="left"/>
    </xf>
    <xf numFmtId="164" fontId="0" fillId="0" borderId="0" xfId="0" applyNumberFormat="1" applyFont="1"/>
    <xf numFmtId="10" fontId="0" fillId="0" borderId="0" xfId="0" applyNumberFormat="1" applyFont="1"/>
    <xf numFmtId="168" fontId="0" fillId="0" borderId="0" xfId="0" applyNumberFormat="1" applyFont="1"/>
    <xf numFmtId="166" fontId="0" fillId="4" borderId="0" xfId="0" applyNumberFormat="1" applyFont="1" applyFill="1"/>
    <xf numFmtId="0" fontId="0" fillId="0" borderId="0" xfId="0" applyFont="1" applyAlignment="1">
      <alignment horizontal="center"/>
    </xf>
    <xf numFmtId="164" fontId="0" fillId="0" borderId="0" xfId="0" applyNumberFormat="1" applyFont="1" applyAlignment="1">
      <alignment horizontal="center"/>
    </xf>
    <xf numFmtId="0" fontId="0" fillId="0" borderId="0" xfId="0" applyFont="1" applyAlignment="1">
      <alignment horizontal="left" indent="1"/>
    </xf>
    <xf numFmtId="0" fontId="0" fillId="0" borderId="0" xfId="0" applyFont="1" applyAlignment="1">
      <alignment horizontal="left" indent="2"/>
    </xf>
    <xf numFmtId="0" fontId="0" fillId="0" borderId="0" xfId="0" applyFont="1" applyAlignment="1">
      <alignment horizontal="left" indent="3"/>
    </xf>
    <xf numFmtId="0" fontId="0" fillId="0" borderId="0" xfId="0" applyFont="1" applyAlignment="1">
      <alignment horizontal="left" indent="4"/>
    </xf>
  </cellXfs>
  <cellStyles count="4">
    <cellStyle name="Comma" xfId="1" builtinId="3"/>
    <cellStyle name="Currency" xfId="2" builtinId="4"/>
    <cellStyle name="Normal" xfId="0" builtinId="0"/>
    <cellStyle name="Percent" xfId="3" builtinId="5"/>
  </cellStyles>
  <dxfs count="615">
    <dxf>
      <numFmt numFmtId="164" formatCode="_(&quot;$&quot;* #,##0.00_);_(&quot;$&quot;* \(#,##0.00\);_(&quot;$&quot;* &quot;-&quot;??_);_(@_)"/>
    </dxf>
    <dxf>
      <numFmt numFmtId="166" formatCode="_(* #,##0_);_(* \(#,##0\);_(* &quot;-&quot;??_);_(@_)"/>
    </dxf>
    <dxf>
      <numFmt numFmtId="164" formatCode="_(&quot;$&quot;* #,##0.00_);_(&quot;$&quot;* \(#,##0.00\);_(&quot;$&quot;* &quot;-&quot;??_);_(@_)"/>
    </dxf>
    <dxf>
      <numFmt numFmtId="166" formatCode="_(* #,##0_);_(* \(#,##0\);_(* &quot;-&quot;??_);_(@_)"/>
    </dxf>
    <dxf>
      <numFmt numFmtId="14" formatCode="0.00%"/>
    </dxf>
    <dxf>
      <numFmt numFmtId="14" formatCode="0.00%"/>
    </dxf>
    <dxf>
      <numFmt numFmtId="14" formatCode="0.00%"/>
    </dxf>
    <dxf>
      <numFmt numFmtId="14" formatCode="0.00%"/>
    </dxf>
    <dxf>
      <numFmt numFmtId="164" formatCode="_(&quot;$&quot;* #,##0.00_);_(&quot;$&quot;* \(#,##0.00\);_(&quot;$&quot;* &quot;-&quot;??_);_(@_)"/>
    </dxf>
    <dxf>
      <numFmt numFmtId="164" formatCode="_(&quot;$&quot;* #,##0.00_);_(&quot;$&quot;* \(#,##0.00\);_(&quot;$&quot;* &quot;-&quot;??_);_(@_)"/>
    </dxf>
    <dxf>
      <numFmt numFmtId="14" formatCode="0.00%"/>
    </dxf>
    <dxf>
      <numFmt numFmtId="14" formatCode="0.00%"/>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fill>
        <patternFill patternType="solid">
          <bgColor theme="2" tint="0.59999389629810485"/>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numFmt numFmtId="164" formatCode="_(&quot;$&quot;* #,##0.00_);_(&quot;$&quot;* \(#,##0.00\);_(&quot;$&quot;* &quot;-&quot;??_);_(@_)"/>
    </dxf>
    <dxf>
      <numFmt numFmtId="164" formatCode="_(&quot;$&quot;* #,##0.00_);_(&quot;$&quot;* \(#,##0.00\);_(&quot;$&quot;* &quot;-&quot;??_);_(@_)"/>
    </dxf>
    <dxf>
      <numFmt numFmtId="166" formatCode="_(* #,##0_);_(* \(#,##0\);_(* &quot;-&quot;??_);_(@_)"/>
    </dxf>
    <dxf>
      <numFmt numFmtId="168" formatCode="_(&quot;$&quot;* #,##0_);_(&quot;$&quot;* \(#,##0\);_(&quot;$&quot;* &quot;-&quot;??_);_(@_)"/>
    </dxf>
    <dxf>
      <numFmt numFmtId="164" formatCode="_(&quot;$&quot;* #,##0.00_);_(&quot;$&quot;* \(#,##0.00\);_(&quot;$&quot;* &quot;-&quot;??_);_(@_)"/>
    </dxf>
    <dxf>
      <numFmt numFmtId="14" formatCode="0.00%"/>
    </dxf>
    <dxf>
      <numFmt numFmtId="14" formatCode="0.00%"/>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numFmt numFmtId="164" formatCode="_(&quot;$&quot;* #,##0.00_);_(&quot;$&quot;* \(#,##0.00\);_(&quot;$&quot;* &quot;-&quot;??_);_(@_)"/>
    </dxf>
    <dxf>
      <fill>
        <patternFill patternType="solid">
          <bgColor theme="2" tint="0.59999389629810485"/>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numFmt numFmtId="164" formatCode="_(&quot;$&quot;* #,##0.00_);_(&quot;$&quot;* \(#,##0.00\);_(&quot;$&quot;* &quot;-&quot;??_);_(@_)"/>
    </dxf>
    <dxf>
      <numFmt numFmtId="164" formatCode="_(&quot;$&quot;* #,##0.00_);_(&quot;$&quot;* \(#,##0.00\);_(&quot;$&quot;* &quot;-&quot;??_);_(@_)"/>
    </dxf>
    <dxf>
      <numFmt numFmtId="166" formatCode="_(* #,##0_);_(* \(#,##0\);_(* &quot;-&quot;??_);_(@_)"/>
    </dxf>
    <dxf>
      <numFmt numFmtId="168" formatCode="_(&quot;$&quot;* #,##0_);_(&quot;$&quot;* \(#,##0\);_(&quot;$&quot;* &quot;-&quot;??_);_(@_)"/>
    </dxf>
    <dxf>
      <numFmt numFmtId="164" formatCode="_(&quot;$&quot;* #,##0.00_);_(&quot;$&quot;* \(#,##0.00\);_(&quot;$&quot;* &quot;-&quot;??_);_(@_)"/>
    </dxf>
    <dxf>
      <numFmt numFmtId="14" formatCode="0.00%"/>
    </dxf>
    <dxf>
      <numFmt numFmtId="14" formatCode="0.00%"/>
    </dxf>
    <dxf>
      <numFmt numFmtId="164" formatCode="_(&quot;$&quot;* #,##0.00_);_(&quot;$&quot;* \(#,##0.00\);_(&quot;$&quot;* &quot;-&quot;??_);_(@_)"/>
    </dxf>
    <dxf>
      <alignment horizontal="center"/>
    </dxf>
    <dxf>
      <fill>
        <patternFill patternType="solid">
          <bgColor theme="2" tint="0.59999389629810485"/>
        </patternFill>
      </fill>
    </dxf>
    <dxf>
      <font>
        <b val="0"/>
      </font>
    </dxf>
    <dxf>
      <font>
        <b val="0"/>
      </font>
    </dxf>
    <dxf>
      <font>
        <b val="0"/>
      </font>
    </dxf>
    <dxf>
      <font>
        <b val="0"/>
      </font>
    </dxf>
    <dxf>
      <numFmt numFmtId="166" formatCode="_(* #,##0_);_(* \(#,##0\);_(* &quot;-&quot;??_);_(@_)"/>
    </dxf>
    <dxf>
      <font>
        <color theme="0"/>
      </font>
    </dxf>
    <dxf>
      <fill>
        <patternFill>
          <bgColor theme="4"/>
        </patternFill>
      </fill>
    </dxf>
    <dxf>
      <alignment horizontal="center"/>
    </dxf>
    <dxf>
      <font>
        <sz val="18"/>
      </font>
    </dxf>
    <dxf>
      <font>
        <sz val="18"/>
      </font>
    </dxf>
    <dxf>
      <font>
        <sz val="18"/>
      </font>
    </dxf>
    <dxf>
      <font>
        <sz val="18"/>
      </font>
    </dxf>
    <dxf>
      <font>
        <sz val="18"/>
      </font>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font>
        <sz val="14"/>
      </font>
    </dxf>
    <dxf>
      <font>
        <sz val="14"/>
      </font>
    </dxf>
    <dxf>
      <font>
        <sz val="14"/>
      </font>
    </dxf>
    <dxf>
      <font>
        <sz val="14"/>
      </font>
    </dxf>
    <dxf>
      <font>
        <sz val="14"/>
      </font>
    </dxf>
    <dxf>
      <fill>
        <patternFill>
          <bgColor theme="4"/>
        </patternFill>
      </fill>
    </dxf>
    <dxf>
      <fill>
        <patternFill>
          <bgColor theme="4"/>
        </patternFill>
      </fill>
    </dxf>
    <dxf>
      <font>
        <color theme="0"/>
      </font>
    </dxf>
    <dxf>
      <font>
        <color theme="0"/>
      </font>
    </dxf>
    <dxf>
      <fill>
        <patternFill patternType="solid">
          <bgColor theme="3"/>
        </patternFill>
      </fill>
    </dxf>
    <dxf>
      <fill>
        <patternFill patternType="solid">
          <bgColor theme="3"/>
        </patternFill>
      </fill>
    </dxf>
    <dxf>
      <numFmt numFmtId="168" formatCode="_(&quot;$&quot;* #,##0_);_(&quot;$&quot;* \(#,##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Queries!$F$2" lockText="1" noThreeD="1"/>
</file>

<file path=xl/ctrlProps/ctrlProp3.xml><?xml version="1.0" encoding="utf-8"?>
<formControlPr xmlns="http://schemas.microsoft.com/office/spreadsheetml/2009/9/main" objectType="CheckBox" checked="Checked" fmlaLink="Queries!$B$25" lockText="1" noThreeD="1"/>
</file>

<file path=xl/ctrlProps/ctrlProp4.xml><?xml version="1.0" encoding="utf-8"?>
<formControlPr xmlns="http://schemas.microsoft.com/office/spreadsheetml/2009/9/main" objectType="CheckBox" fmlaLink="Queries!$B$2" lockText="1" noThreeD="1"/>
</file>

<file path=xl/ctrlProps/ctrlProp5.xml><?xml version="1.0" encoding="utf-8"?>
<formControlPr xmlns="http://schemas.microsoft.com/office/spreadsheetml/2009/9/main" objectType="CheckBox" checked="Checked" fmlaLink="Queries!$B$17" lockText="1" noThreeD="1"/>
</file>

<file path=xl/ctrlProps/ctrlProp6.xml><?xml version="1.0" encoding="utf-8"?>
<formControlPr xmlns="http://schemas.microsoft.com/office/spreadsheetml/2009/9/main" objectType="CheckBox" fmlaLink="Queries!$B$29" lockText="1" noThreeD="1"/>
</file>

<file path=xl/ctrlProps/ctrlProp7.xml><?xml version="1.0" encoding="utf-8"?>
<formControlPr xmlns="http://schemas.microsoft.com/office/spreadsheetml/2009/9/main" objectType="CheckBox" fmlaLink="Queries!$B$9" lockText="1" noThreeD="1"/>
</file>

<file path=xl/ctrlProps/ctrlProp8.xml><?xml version="1.0" encoding="utf-8"?>
<formControlPr xmlns="http://schemas.microsoft.com/office/spreadsheetml/2009/9/main" objectType="Drop" dropLines="4" dropStyle="combo" dx="22" fmlaLink="Queries!$H$10" fmlaRange="Queries!$H$3:$H$6" noThreeD="1" sel="1" val="0"/>
</file>

<file path=xl/ctrlProps/ctrlProp9.xml><?xml version="1.0" encoding="utf-8"?>
<formControlPr xmlns="http://schemas.microsoft.com/office/spreadsheetml/2009/9/main" objectType="Drop" dropLines="5" dropStyle="combo" dx="22" fmlaLink="Queries!$H$11" fmlaRange="Queries!$H$2:$H$6" noThreeD="1" sel="1" val="0"/>
</file>

<file path=xl/ctrlProps/ctrlProp10.xml><?xml version="1.0" encoding="utf-8"?>
<formControlPr xmlns="http://schemas.microsoft.com/office/spreadsheetml/2009/9/main" objectType="CheckBox" fmlaLink="Queries!$B$26" lockText="1" noThreeD="1"/>
</file>

<file path=xl/ctrlProps/ctrlProp11.xml><?xml version="1.0" encoding="utf-8"?>
<formControlPr xmlns="http://schemas.microsoft.com/office/spreadsheetml/2009/9/main" objectType="CheckBox" fmlaLink="Queries!$B$3" lockText="1" noThreeD="1"/>
</file>

<file path=xl/ctrlProps/ctrlProp12.xml><?xml version="1.0" encoding="utf-8"?>
<formControlPr xmlns="http://schemas.microsoft.com/office/spreadsheetml/2009/9/main" objectType="Drop" dropLines="4" dropStyle="combo" dx="22" fmlaLink="Queries!$H$42" fmlaRange="Queries!$H$35:$H$38" noThreeD="1" sel="1" val="0"/>
</file>

<file path=xl/ctrlProps/ctrlProp13.xml><?xml version="1.0" encoding="utf-8"?>
<formControlPr xmlns="http://schemas.microsoft.com/office/spreadsheetml/2009/9/main" objectType="Drop" dropLines="5" dropStyle="combo" dx="22" fmlaLink="Queries!$H$43" fmlaRange="Queries!$H$34:$H$38" noThreeD="1" sel="1" val="0"/>
</file>

<file path=xl/ctrlProps/ctrlProp14.xml><?xml version="1.0" encoding="utf-8"?>
<formControlPr xmlns="http://schemas.microsoft.com/office/spreadsheetml/2009/9/main" objectType="Drop" dropLines="5" dropStyle="combo" dx="22" fmlaLink="Queries!$H$12" fmlaRange="Queries!$H$2:$H$6" noThreeD="1" sel="1" val="0"/>
</file>

<file path=xl/ctrlProps/ctrlProp15.xml><?xml version="1.0" encoding="utf-8"?>
<formControlPr xmlns="http://schemas.microsoft.com/office/spreadsheetml/2009/9/main" objectType="Drop" dropLines="5" dropStyle="combo" dx="22" fmlaLink="Queries!$H$13" fmlaRange="Queries!$H$2:$H$6" noThreeD="1" sel="1" val="0"/>
</file>

<file path=xl/ctrlProps/ctrlProp16.xml><?xml version="1.0" encoding="utf-8"?>
<formControlPr xmlns="http://schemas.microsoft.com/office/spreadsheetml/2009/9/main" objectType="Drop" dropLines="5" dropStyle="combo" dx="22" fmlaLink="Queries!$H$14" fmlaRange="Queries!$H$2:$H$6" noThreeD="1" sel="1" val="0"/>
</file>

<file path=xl/ctrlProps/ctrlProp17.xml><?xml version="1.0" encoding="utf-8"?>
<formControlPr xmlns="http://schemas.microsoft.com/office/spreadsheetml/2009/9/main" objectType="Drop" dropLines="5" dropStyle="combo" dx="22" fmlaLink="Queries!$H$16" fmlaRange="Queries!$H$2:$H$6" noThreeD="1" sel="1" val="0"/>
</file>

<file path=xl/ctrlProps/ctrlProp18.xml><?xml version="1.0" encoding="utf-8"?>
<formControlPr xmlns="http://schemas.microsoft.com/office/spreadsheetml/2009/9/main" objectType="Drop" dropLines="5" dropStyle="combo" dx="22" fmlaLink="Queries!$H$17" fmlaRange="Queries!$H$2:$H$6" noThreeD="1" sel="1" val="0"/>
</file>

<file path=xl/ctrlProps/ctrlProp19.xml><?xml version="1.0" encoding="utf-8"?>
<formControlPr xmlns="http://schemas.microsoft.com/office/spreadsheetml/2009/9/main" objectType="Drop" dropLines="5" dropStyle="combo" dx="22" fmlaLink="Queries!$H$18" fmlaRange="Queries!$H$2:$H$6" noThreeD="1" sel="1" val="0"/>
</file>

<file path=xl/ctrlProps/ctrlProp20.xml><?xml version="1.0" encoding="utf-8"?>
<formControlPr xmlns="http://schemas.microsoft.com/office/spreadsheetml/2009/9/main" objectType="Drop" dropLines="5" dropStyle="combo" dx="22" fmlaLink="Queries!$H$19" fmlaRange="Queries!$H$2:$H$6" noThreeD="1" sel="1" val="0"/>
</file>

<file path=xl/ctrlProps/ctrlProp21.xml><?xml version="1.0" encoding="utf-8"?>
<formControlPr xmlns="http://schemas.microsoft.com/office/spreadsheetml/2009/9/main" objectType="Drop" dropLines="5" dropStyle="combo" dx="22" fmlaLink="Queries!$H$20" fmlaRange="Queries!$H$2:$H$6" noThreeD="1" sel="1" val="0"/>
</file>

<file path=xl/ctrlProps/ctrlProp22.xml><?xml version="1.0" encoding="utf-8"?>
<formControlPr xmlns="http://schemas.microsoft.com/office/spreadsheetml/2009/9/main" objectType="Drop" dropLines="5" dropStyle="combo" dx="22" fmlaLink="Queries!$H$22" fmlaRange="Queries!$H$2:$H$6" noThreeD="1" sel="1" val="0"/>
</file>

<file path=xl/ctrlProps/ctrlProp23.xml><?xml version="1.0" encoding="utf-8"?>
<formControlPr xmlns="http://schemas.microsoft.com/office/spreadsheetml/2009/9/main" objectType="Drop" dropLines="5" dropStyle="combo" dx="22" fmlaLink="Queries!$H$23" fmlaRange="Queries!$H$2:$H$6" noThreeD="1" sel="1" val="0"/>
</file>

<file path=xl/ctrlProps/ctrlProp24.xml><?xml version="1.0" encoding="utf-8"?>
<formControlPr xmlns="http://schemas.microsoft.com/office/spreadsheetml/2009/9/main" objectType="Drop" dropLines="5" dropStyle="combo" dx="22" fmlaLink="Queries!$H$24" fmlaRange="Queries!$H$2:$H$6" noThreeD="1" sel="1" val="0"/>
</file>

<file path=xl/ctrlProps/ctrlProp25.xml><?xml version="1.0" encoding="utf-8"?>
<formControlPr xmlns="http://schemas.microsoft.com/office/spreadsheetml/2009/9/main" objectType="Drop" dropLines="5" dropStyle="combo" dx="22" fmlaLink="Queries!$H$25" fmlaRange="Queries!$H$2:$H$6" noThreeD="1" sel="1" val="0"/>
</file>

<file path=xl/ctrlProps/ctrlProp26.xml><?xml version="1.0" encoding="utf-8"?>
<formControlPr xmlns="http://schemas.microsoft.com/office/spreadsheetml/2009/9/main" objectType="Drop" dropLines="5" dropStyle="combo" dx="22" fmlaLink="Queries!$H$26" fmlaRange="Queries!$H$2:$H$6" noThreeD="1" sel="1" val="0"/>
</file>

<file path=xl/ctrlProps/ctrlProp27.xml><?xml version="1.0" encoding="utf-8"?>
<formControlPr xmlns="http://schemas.microsoft.com/office/spreadsheetml/2009/9/main" objectType="Drop" dropLines="5" dropStyle="combo" dx="22" fmlaLink="Queries!$H$44" fmlaRange="Queries!$H$34:$H$38" noThreeD="1" sel="1" val="0"/>
</file>

<file path=xl/ctrlProps/ctrlProp28.xml><?xml version="1.0" encoding="utf-8"?>
<formControlPr xmlns="http://schemas.microsoft.com/office/spreadsheetml/2009/9/main" objectType="Drop" dropLines="5" dropStyle="combo" dx="22" fmlaLink="Queries!$H$45" fmlaRange="Queries!$H$34:$H$38" noThreeD="1" sel="1" val="0"/>
</file>

<file path=xl/ctrlProps/ctrlProp29.xml><?xml version="1.0" encoding="utf-8"?>
<formControlPr xmlns="http://schemas.microsoft.com/office/spreadsheetml/2009/9/main" objectType="Drop" dropLines="5" dropStyle="combo" dx="22" fmlaLink="Queries!$H$46" fmlaRange="Queries!$H$34:$H$38" noThreeD="1" sel="1" val="0"/>
</file>

<file path=xl/ctrlProps/ctrlProp30.xml><?xml version="1.0" encoding="utf-8"?>
<formControlPr xmlns="http://schemas.microsoft.com/office/spreadsheetml/2009/9/main" objectType="Drop" dropLines="5" dropStyle="combo" dx="22" fmlaLink="Queries!$H$48" fmlaRange="Queries!$H$34:$H$38" noThreeD="1" sel="1" val="0"/>
</file>

<file path=xl/ctrlProps/ctrlProp31.xml><?xml version="1.0" encoding="utf-8"?>
<formControlPr xmlns="http://schemas.microsoft.com/office/spreadsheetml/2009/9/main" objectType="Drop" dropLines="5" dropStyle="combo" dx="22" fmlaLink="Queries!$H$49" fmlaRange="Queries!$H$34:$H$38" noThreeD="1" sel="1" val="0"/>
</file>

<file path=xl/ctrlProps/ctrlProp32.xml><?xml version="1.0" encoding="utf-8"?>
<formControlPr xmlns="http://schemas.microsoft.com/office/spreadsheetml/2009/9/main" objectType="Drop" dropLines="5" dropStyle="combo" dx="22" fmlaLink="Queries!$H$50" fmlaRange="Queries!$H$34:$H$38" noThreeD="1" sel="1" val="0"/>
</file>

<file path=xl/ctrlProps/ctrlProp33.xml><?xml version="1.0" encoding="utf-8"?>
<formControlPr xmlns="http://schemas.microsoft.com/office/spreadsheetml/2009/9/main" objectType="Drop" dropLines="5" dropStyle="combo" dx="22" fmlaLink="Queries!$H$51" fmlaRange="Queries!$H$34:$H$38" noThreeD="1" sel="1" val="0"/>
</file>

<file path=xl/ctrlProps/ctrlProp34.xml><?xml version="1.0" encoding="utf-8"?>
<formControlPr xmlns="http://schemas.microsoft.com/office/spreadsheetml/2009/9/main" objectType="Drop" dropLines="5" dropStyle="combo" dx="22" fmlaLink="Queries!$H$52" fmlaRange="Queries!$H$34:$H$38" noThreeD="1" sel="1" val="0"/>
</file>

<file path=xl/ctrlProps/ctrlProp35.xml><?xml version="1.0" encoding="utf-8"?>
<formControlPr xmlns="http://schemas.microsoft.com/office/spreadsheetml/2009/9/main" objectType="Drop" dropLines="5" dropStyle="combo" dx="22" fmlaLink="Queries!$H$54" fmlaRange="Queries!$H$34:$H$38" noThreeD="1" sel="1" val="0"/>
</file>

<file path=xl/ctrlProps/ctrlProp36.xml><?xml version="1.0" encoding="utf-8"?>
<formControlPr xmlns="http://schemas.microsoft.com/office/spreadsheetml/2009/9/main" objectType="Drop" dropLines="5" dropStyle="combo" dx="22" fmlaLink="Queries!$H$55" fmlaRange="Queries!$H$34:$H$38" noThreeD="1" sel="1" val="0"/>
</file>

<file path=xl/ctrlProps/ctrlProp37.xml><?xml version="1.0" encoding="utf-8"?>
<formControlPr xmlns="http://schemas.microsoft.com/office/spreadsheetml/2009/9/main" objectType="Drop" dropLines="5" dropStyle="combo" dx="22" fmlaLink="Queries!$H$56" fmlaRange="Queries!$H$34:$H$38" noThreeD="1" sel="1" val="0"/>
</file>

<file path=xl/ctrlProps/ctrlProp38.xml><?xml version="1.0" encoding="utf-8"?>
<formControlPr xmlns="http://schemas.microsoft.com/office/spreadsheetml/2009/9/main" objectType="Drop" dropLines="5" dropStyle="combo" dx="22" fmlaLink="Queries!$H$57" fmlaRange="Queries!$H$34:$H$38" noThreeD="1" sel="1" val="0"/>
</file>

<file path=xl/ctrlProps/ctrlProp39.xml><?xml version="1.0" encoding="utf-8"?>
<formControlPr xmlns="http://schemas.microsoft.com/office/spreadsheetml/2009/9/main" objectType="Drop" dropLines="5" dropStyle="combo" dx="22" fmlaLink="Queries!$H$58" fmlaRange="Queries!$H$34:$H$38" noThreeD="1" sel="1"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603250</xdr:colOff>
          <xdr:row>4</xdr:row>
          <xdr:rowOff>184150</xdr:rowOff>
        </xdr:from>
        <xdr:to>
          <xdr:col>14</xdr:col>
          <xdr:colOff>355600</xdr:colOff>
          <xdr:row>13</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192024" tIns="173736" rIns="192024" bIns="173736" anchor="ctr" upright="1"/>
            <a:lstStyle/>
            <a:p>
              <a:pPr algn="ctr" rtl="0">
                <a:defRPr sz="1000"/>
              </a:pPr>
              <a:r>
                <a:rPr lang="en-IN" sz="7200" b="1" i="0" u="none" strike="noStrike" baseline="0">
                  <a:solidFill>
                    <a:srgbClr val="660066"/>
                  </a:solidFill>
                  <a:latin typeface="Univers"/>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698500</xdr:colOff>
          <xdr:row>2</xdr:row>
          <xdr:rowOff>38100</xdr:rowOff>
        </xdr:from>
        <xdr:to>
          <xdr:col>2</xdr:col>
          <xdr:colOff>869950</xdr:colOff>
          <xdr:row>2</xdr:row>
          <xdr:rowOff>165100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171450</xdr:rowOff>
        </xdr:from>
        <xdr:to>
          <xdr:col>4</xdr:col>
          <xdr:colOff>146050</xdr:colOff>
          <xdr:row>6</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Domestic Parcel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165100</xdr:rowOff>
        </xdr:from>
        <xdr:to>
          <xdr:col>4</xdr:col>
          <xdr:colOff>285750</xdr:colOff>
          <xdr:row>6</xdr:row>
          <xdr:rowOff>152400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International Parcel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171450</xdr:rowOff>
        </xdr:from>
        <xdr:to>
          <xdr:col>3</xdr:col>
          <xdr:colOff>146050</xdr:colOff>
          <xdr:row>16</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Ground Domestic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14</xdr:row>
          <xdr:rowOff>171450</xdr:rowOff>
        </xdr:from>
        <xdr:to>
          <xdr:col>5</xdr:col>
          <xdr:colOff>603250</xdr:colOff>
          <xdr:row>16</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Ground Economy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12700</xdr:rowOff>
        </xdr:from>
        <xdr:to>
          <xdr:col>3</xdr:col>
          <xdr:colOff>361950</xdr:colOff>
          <xdr:row>17</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Ground International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31750</xdr:rowOff>
        </xdr:from>
        <xdr:to>
          <xdr:col>1</xdr:col>
          <xdr:colOff>869950</xdr:colOff>
          <xdr:row>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31750</xdr:rowOff>
        </xdr:from>
        <xdr:to>
          <xdr:col>1</xdr:col>
          <xdr:colOff>869950</xdr:colOff>
          <xdr:row>9</xdr:row>
          <xdr:rowOff>184150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412750</xdr:colOff>
          <xdr:row>5</xdr:row>
          <xdr:rowOff>19050</xdr:rowOff>
        </xdr:from>
        <xdr:to>
          <xdr:col>5</xdr:col>
          <xdr:colOff>933450</xdr:colOff>
          <xdr:row>6</xdr:row>
          <xdr:rowOff>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Domestic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412750</xdr:colOff>
          <xdr:row>5</xdr:row>
          <xdr:rowOff>171450</xdr:rowOff>
        </xdr:from>
        <xdr:to>
          <xdr:col>6</xdr:col>
          <xdr:colOff>190500</xdr:colOff>
          <xdr:row>6</xdr:row>
          <xdr:rowOff>165100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Express International Freight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31750</xdr:rowOff>
        </xdr:from>
        <xdr:to>
          <xdr:col>1</xdr:col>
          <xdr:colOff>869950</xdr:colOff>
          <xdr:row>18</xdr:row>
          <xdr:rowOff>184150</xdr:rowOff>
        </xdr:to>
        <xdr:sp macro="" textlink="">
          <xdr:nvSpPr>
            <xdr:cNvPr id="1059" name="Drop Dow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31750</xdr:rowOff>
        </xdr:from>
        <xdr:to>
          <xdr:col>1</xdr:col>
          <xdr:colOff>869950</xdr:colOff>
          <xdr:row>19</xdr:row>
          <xdr:rowOff>184150</xdr:rowOff>
        </xdr:to>
        <xdr:sp macro="" textlink="">
          <xdr:nvSpPr>
            <xdr:cNvPr id="1060" name="Drop Dow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31750</xdr:rowOff>
        </xdr:from>
        <xdr:to>
          <xdr:col>1</xdr:col>
          <xdr:colOff>869950</xdr:colOff>
          <xdr:row>11</xdr:row>
          <xdr:rowOff>0</xdr:rowOff>
        </xdr:to>
        <xdr:sp macro="" textlink="">
          <xdr:nvSpPr>
            <xdr:cNvPr id="1074" name="Drop Dow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31750</xdr:rowOff>
        </xdr:from>
        <xdr:to>
          <xdr:col>1</xdr:col>
          <xdr:colOff>869950</xdr:colOff>
          <xdr:row>12</xdr:row>
          <xdr:rowOff>0</xdr:rowOff>
        </xdr:to>
        <xdr:sp macro="" textlink="">
          <xdr:nvSpPr>
            <xdr:cNvPr id="1075" name="Drop Dow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31750</xdr:rowOff>
        </xdr:from>
        <xdr:to>
          <xdr:col>1</xdr:col>
          <xdr:colOff>869950</xdr:colOff>
          <xdr:row>13</xdr:row>
          <xdr:rowOff>0</xdr:rowOff>
        </xdr:to>
        <xdr:sp macro="" textlink="">
          <xdr:nvSpPr>
            <xdr:cNvPr id="1076" name="Drop Dow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31750</xdr:rowOff>
        </xdr:from>
        <xdr:to>
          <xdr:col>4</xdr:col>
          <xdr:colOff>869950</xdr:colOff>
          <xdr:row>9</xdr:row>
          <xdr:rowOff>0</xdr:rowOff>
        </xdr:to>
        <xdr:sp macro="" textlink="">
          <xdr:nvSpPr>
            <xdr:cNvPr id="1077" name="Drop Dow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xdr:row>
          <xdr:rowOff>31750</xdr:rowOff>
        </xdr:from>
        <xdr:to>
          <xdr:col>4</xdr:col>
          <xdr:colOff>869950</xdr:colOff>
          <xdr:row>9</xdr:row>
          <xdr:rowOff>184150</xdr:rowOff>
        </xdr:to>
        <xdr:sp macro="" textlink="">
          <xdr:nvSpPr>
            <xdr:cNvPr id="1078" name="Drop Dow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31750</xdr:rowOff>
        </xdr:from>
        <xdr:to>
          <xdr:col>4</xdr:col>
          <xdr:colOff>869950</xdr:colOff>
          <xdr:row>11</xdr:row>
          <xdr:rowOff>0</xdr:rowOff>
        </xdr:to>
        <xdr:sp macro="" textlink="">
          <xdr:nvSpPr>
            <xdr:cNvPr id="1079" name="Drop Dow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xdr:row>
          <xdr:rowOff>31750</xdr:rowOff>
        </xdr:from>
        <xdr:to>
          <xdr:col>4</xdr:col>
          <xdr:colOff>869950</xdr:colOff>
          <xdr:row>12</xdr:row>
          <xdr:rowOff>0</xdr:rowOff>
        </xdr:to>
        <xdr:sp macro="" textlink="">
          <xdr:nvSpPr>
            <xdr:cNvPr id="1080" name="Drop Dow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12</xdr:row>
          <xdr:rowOff>31750</xdr:rowOff>
        </xdr:from>
        <xdr:to>
          <xdr:col>4</xdr:col>
          <xdr:colOff>869950</xdr:colOff>
          <xdr:row>13</xdr:row>
          <xdr:rowOff>0</xdr:rowOff>
        </xdr:to>
        <xdr:sp macro="" textlink="">
          <xdr:nvSpPr>
            <xdr:cNvPr id="1081" name="Drop Dow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8</xdr:row>
          <xdr:rowOff>31750</xdr:rowOff>
        </xdr:from>
        <xdr:to>
          <xdr:col>7</xdr:col>
          <xdr:colOff>869950</xdr:colOff>
          <xdr:row>9</xdr:row>
          <xdr:rowOff>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31750</xdr:rowOff>
        </xdr:from>
        <xdr:to>
          <xdr:col>7</xdr:col>
          <xdr:colOff>869950</xdr:colOff>
          <xdr:row>9</xdr:row>
          <xdr:rowOff>184150</xdr:rowOff>
        </xdr:to>
        <xdr:sp macro="" textlink="">
          <xdr:nvSpPr>
            <xdr:cNvPr id="1083" name="Drop Dow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31750</xdr:rowOff>
        </xdr:from>
        <xdr:to>
          <xdr:col>7</xdr:col>
          <xdr:colOff>869950</xdr:colOff>
          <xdr:row>11</xdr:row>
          <xdr:rowOff>0</xdr:rowOff>
        </xdr:to>
        <xdr:sp macro="" textlink="">
          <xdr:nvSpPr>
            <xdr:cNvPr id="1084" name="Drop Dow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11</xdr:row>
          <xdr:rowOff>31750</xdr:rowOff>
        </xdr:from>
        <xdr:to>
          <xdr:col>7</xdr:col>
          <xdr:colOff>869950</xdr:colOff>
          <xdr:row>12</xdr:row>
          <xdr:rowOff>0</xdr:rowOff>
        </xdr:to>
        <xdr:sp macro="" textlink="">
          <xdr:nvSpPr>
            <xdr:cNvPr id="1085" name="Drop Dow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12</xdr:row>
          <xdr:rowOff>31750</xdr:rowOff>
        </xdr:from>
        <xdr:to>
          <xdr:col>7</xdr:col>
          <xdr:colOff>869950</xdr:colOff>
          <xdr:row>13</xdr:row>
          <xdr:rowOff>0</xdr:rowOff>
        </xdr:to>
        <xdr:sp macro="" textlink="">
          <xdr:nvSpPr>
            <xdr:cNvPr id="1086" name="Drop Dow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31750</xdr:rowOff>
        </xdr:from>
        <xdr:to>
          <xdr:col>1</xdr:col>
          <xdr:colOff>869950</xdr:colOff>
          <xdr:row>20</xdr:row>
          <xdr:rowOff>184150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31750</xdr:rowOff>
        </xdr:from>
        <xdr:to>
          <xdr:col>1</xdr:col>
          <xdr:colOff>869950</xdr:colOff>
          <xdr:row>21</xdr:row>
          <xdr:rowOff>184150</xdr:rowOff>
        </xdr:to>
        <xdr:sp macro="" textlink="">
          <xdr:nvSpPr>
            <xdr:cNvPr id="1088" name="Drop Dow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31750</xdr:rowOff>
        </xdr:from>
        <xdr:to>
          <xdr:col>1</xdr:col>
          <xdr:colOff>869950</xdr:colOff>
          <xdr:row>22</xdr:row>
          <xdr:rowOff>184150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31750</xdr:rowOff>
        </xdr:from>
        <xdr:to>
          <xdr:col>4</xdr:col>
          <xdr:colOff>869950</xdr:colOff>
          <xdr:row>18</xdr:row>
          <xdr:rowOff>184150</xdr:rowOff>
        </xdr:to>
        <xdr:sp macro="" textlink="">
          <xdr:nvSpPr>
            <xdr:cNvPr id="1090" name="Drop Dow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19</xdr:row>
          <xdr:rowOff>31750</xdr:rowOff>
        </xdr:from>
        <xdr:to>
          <xdr:col>4</xdr:col>
          <xdr:colOff>869950</xdr:colOff>
          <xdr:row>19</xdr:row>
          <xdr:rowOff>184150</xdr:rowOff>
        </xdr:to>
        <xdr:sp macro="" textlink="">
          <xdr:nvSpPr>
            <xdr:cNvPr id="1091" name="Drop Dow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20</xdr:row>
          <xdr:rowOff>31750</xdr:rowOff>
        </xdr:from>
        <xdr:to>
          <xdr:col>4</xdr:col>
          <xdr:colOff>869950</xdr:colOff>
          <xdr:row>20</xdr:row>
          <xdr:rowOff>184150</xdr:rowOff>
        </xdr:to>
        <xdr:sp macro="" textlink="">
          <xdr:nvSpPr>
            <xdr:cNvPr id="1092" name="Drop Dow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21</xdr:row>
          <xdr:rowOff>31750</xdr:rowOff>
        </xdr:from>
        <xdr:to>
          <xdr:col>4</xdr:col>
          <xdr:colOff>869950</xdr:colOff>
          <xdr:row>21</xdr:row>
          <xdr:rowOff>184150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22</xdr:row>
          <xdr:rowOff>31750</xdr:rowOff>
        </xdr:from>
        <xdr:to>
          <xdr:col>4</xdr:col>
          <xdr:colOff>869950</xdr:colOff>
          <xdr:row>22</xdr:row>
          <xdr:rowOff>184150</xdr:rowOff>
        </xdr:to>
        <xdr:sp macro="" textlink="">
          <xdr:nvSpPr>
            <xdr:cNvPr id="1094" name="Drop Dow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18</xdr:row>
          <xdr:rowOff>31750</xdr:rowOff>
        </xdr:from>
        <xdr:to>
          <xdr:col>7</xdr:col>
          <xdr:colOff>869950</xdr:colOff>
          <xdr:row>18</xdr:row>
          <xdr:rowOff>184150</xdr:rowOff>
        </xdr:to>
        <xdr:sp macro="" textlink="">
          <xdr:nvSpPr>
            <xdr:cNvPr id="1095" name="Drop Dow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19</xdr:row>
          <xdr:rowOff>31750</xdr:rowOff>
        </xdr:from>
        <xdr:to>
          <xdr:col>7</xdr:col>
          <xdr:colOff>869950</xdr:colOff>
          <xdr:row>19</xdr:row>
          <xdr:rowOff>184150</xdr:rowOff>
        </xdr:to>
        <xdr:sp macro="" textlink="">
          <xdr:nvSpPr>
            <xdr:cNvPr id="1096" name="Drop Dow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20</xdr:row>
          <xdr:rowOff>31750</xdr:rowOff>
        </xdr:from>
        <xdr:to>
          <xdr:col>7</xdr:col>
          <xdr:colOff>869950</xdr:colOff>
          <xdr:row>20</xdr:row>
          <xdr:rowOff>184150</xdr:rowOff>
        </xdr:to>
        <xdr:sp macro="" textlink="">
          <xdr:nvSpPr>
            <xdr:cNvPr id="1097" name="Drop Dow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21</xdr:row>
          <xdr:rowOff>31750</xdr:rowOff>
        </xdr:from>
        <xdr:to>
          <xdr:col>7</xdr:col>
          <xdr:colOff>869950</xdr:colOff>
          <xdr:row>21</xdr:row>
          <xdr:rowOff>184150</xdr:rowOff>
        </xdr:to>
        <xdr:sp macro="" textlink="">
          <xdr:nvSpPr>
            <xdr:cNvPr id="1098" name="Drop Dow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22</xdr:row>
          <xdr:rowOff>31750</xdr:rowOff>
        </xdr:from>
        <xdr:to>
          <xdr:col>7</xdr:col>
          <xdr:colOff>869950</xdr:colOff>
          <xdr:row>22</xdr:row>
          <xdr:rowOff>184150</xdr:rowOff>
        </xdr:to>
        <xdr:sp macro="" textlink="">
          <xdr:nvSpPr>
            <xdr:cNvPr id="1099" name="Drop Dow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647700</xdr:colOff>
          <xdr:row>15</xdr:row>
          <xdr:rowOff>171450</xdr:rowOff>
        </xdr:from>
        <xdr:to>
          <xdr:col>14</xdr:col>
          <xdr:colOff>361950</xdr:colOff>
          <xdr:row>19</xdr:row>
          <xdr:rowOff>88900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IN" sz="2200" b="0" i="0" u="none" strike="noStrike" baseline="0">
                  <a:solidFill>
                    <a:srgbClr val="FF0000"/>
                  </a:solidFill>
                  <a:latin typeface="Calibri"/>
                  <a:ea typeface="Calibri"/>
                  <a:cs typeface="Calibri"/>
                </a:rPr>
                <a:t>Report an Issue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5</xdr:row>
      <xdr:rowOff>57150</xdr:rowOff>
    </xdr:from>
    <xdr:to>
      <xdr:col>0</xdr:col>
      <xdr:colOff>7478155</xdr:colOff>
      <xdr:row>6</xdr:row>
      <xdr:rowOff>114335</xdr:rowOff>
    </xdr:to>
    <xdr:pic>
      <xdr:nvPicPr>
        <xdr:cNvPr id="2" name="Picture 1">
          <a:extLst>
            <a:ext uri="{FF2B5EF4-FFF2-40B4-BE49-F238E27FC236}">
              <a16:creationId xmlns:a16="http://schemas.microsoft.com/office/drawing/2014/main" id="{79C43CF6-E183-4D44-87B0-779972793458}"/>
            </a:ext>
          </a:extLst>
        </xdr:cNvPr>
        <xdr:cNvPicPr>
          <a:picLocks noChangeAspect="1"/>
        </xdr:cNvPicPr>
      </xdr:nvPicPr>
      <xdr:blipFill>
        <a:blip xmlns:r="http://schemas.openxmlformats.org/officeDocument/2006/relationships" r:embed="rId1"/>
        <a:stretch>
          <a:fillRect/>
        </a:stretch>
      </xdr:blipFill>
      <xdr:spPr>
        <a:xfrm>
          <a:off x="95250" y="1647825"/>
          <a:ext cx="7382905" cy="24768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5048250</xdr:colOff>
          <xdr:row>7</xdr:row>
          <xdr:rowOff>76200</xdr:rowOff>
        </xdr:from>
        <xdr:to>
          <xdr:col>0</xdr:col>
          <xdr:colOff>7467600</xdr:colOff>
          <xdr:row>7</xdr:row>
          <xdr:rowOff>400050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0" i="0" u="none" strike="noStrike" baseline="0">
                  <a:solidFill>
                    <a:srgbClr val="3B3B3B"/>
                  </a:solidFill>
                  <a:latin typeface="Calibri"/>
                  <a:ea typeface="Calibri"/>
                  <a:cs typeface="Calibri"/>
                </a:rPr>
                <a:t>Hide OpCo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5048250</xdr:colOff>
          <xdr:row>8</xdr:row>
          <xdr:rowOff>76200</xdr:rowOff>
        </xdr:from>
        <xdr:to>
          <xdr:col>0</xdr:col>
          <xdr:colOff>7467600</xdr:colOff>
          <xdr:row>8</xdr:row>
          <xdr:rowOff>400050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1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800" b="0" i="0" u="none" strike="noStrike" baseline="0">
                  <a:solidFill>
                    <a:srgbClr val="3B3B3B"/>
                  </a:solidFill>
                  <a:latin typeface="Calibri"/>
                  <a:ea typeface="Calibri"/>
                  <a:cs typeface="Calibri"/>
                </a:rPr>
                <a:t>Unhide OpCo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2838450</xdr:colOff>
          <xdr:row>13</xdr:row>
          <xdr:rowOff>133350</xdr:rowOff>
        </xdr:from>
        <xdr:to>
          <xdr:col>0</xdr:col>
          <xdr:colOff>5518150</xdr:colOff>
          <xdr:row>15</xdr:row>
          <xdr:rowOff>184150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100-0000035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IN" sz="2600" b="0" i="0" u="none" strike="noStrike" baseline="0">
                  <a:solidFill>
                    <a:srgbClr val="FF0000"/>
                  </a:solidFill>
                  <a:latin typeface="Calibri"/>
                  <a:ea typeface="Calibri"/>
                  <a:cs typeface="Calibri"/>
                </a:rPr>
                <a:t>Report an Issue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yfedex-my.sharepoint.com/personal/peter_baschnagel_fedex_com/Documents/Desktop/2025%20Surcharge%20Pricing%20Template%20-%20Standard%20GRI%20(Updated%20Sep%202024).xlsm" TargetMode="External"/><Relationship Id="rId1" Type="http://schemas.openxmlformats.org/officeDocument/2006/relationships/externalLinkPath" Target="https://myfedex-my.sharepoint.com/personal/vishal_kadam_fedex_com/Documents/Desktop/BDA_Tools/Current%20Tool%20Projects/Current%20Tool%20Projects/2025%20Surcharge%20Pricing%20Template%20-%20Standard%20GRI%20(Updated%20Sep%202024).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s://myfedex-my.sharepoint.com/personal/vishal_kadam_fedex_com/Documents/Desktop/BDA_Tools/Current%20Tool%20Projects/Current%20Tool%20Projects/Current%20Tool%20Projects/2024%20Surcharge%20Pricing%20Tools/Released%20Versions/2024%20Surcharge%20Pricing%20Template%20-%20Capped%20GRI%20(Updated%20Dec%202023).xlsm?340AEAD0" TargetMode="External"/><Relationship Id="rId1" Type="http://schemas.openxmlformats.org/officeDocument/2006/relationships/externalLinkPath" Target="file:///\\340AEAD0\2024%20Surcharge%20Pricing%20Template%20-%20Capped%20GRI%20(Updated%20Dec%20202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yfedex-my.sharepoint.com/teams/BDAAutomatedTools/Tools/Business%20Review%20Tools/Shipment%20and%20Surcharge%20Template%20Updated%208.2.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lection"/>
      <sheetName val="Navigation Tab"/>
      <sheetName val="Patient"/>
      <sheetName val="Developer Notes"/>
      <sheetName val="Queries"/>
      <sheetName val="Surcharge Data"/>
      <sheetName val="Discount Data"/>
      <sheetName val="Discount Overview"/>
      <sheetName val="Invoiced Data Overview"/>
      <sheetName val="Surcharge Master Data"/>
      <sheetName val="By Zone Charges"/>
      <sheetName val="ExDom Parcel"/>
      <sheetName val="ExDom Freight"/>
      <sheetName val="ExIntl Parcel"/>
      <sheetName val="ExIntl Freight"/>
      <sheetName val="Ground"/>
      <sheetName val="Ground Economy"/>
      <sheetName val="OpCo Summary"/>
      <sheetName val="Full Surcharge Overview"/>
      <sheetName val="Top Surcharge Overview"/>
      <sheetName val="Only Discounted Surcharges"/>
      <sheetName val="Surcharge Master List"/>
    </sheetNames>
    <sheetDataSet>
      <sheetData sheetId="0" refreshError="1"/>
      <sheetData sheetId="1" refreshError="1"/>
      <sheetData sheetId="2" refreshError="1"/>
      <sheetData sheetId="3" refreshError="1"/>
      <sheetData sheetId="4" refreshError="1"/>
      <sheetData sheetId="5">
        <row r="2">
          <cell r="J2">
            <v>0</v>
          </cell>
        </row>
      </sheetData>
      <sheetData sheetId="6">
        <row r="2">
          <cell r="O2">
            <v>0</v>
          </cell>
          <cell r="P2">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sheetName val="Patient"/>
      <sheetName val="Developer Notes"/>
      <sheetName val="Queries"/>
      <sheetName val="Surcharge Data"/>
      <sheetName val="Discount Data"/>
      <sheetName val="OpCo Summary"/>
      <sheetName val="Top Surcharge Overview"/>
      <sheetName val="Full Surcharge Overview"/>
      <sheetName val="Only Discounted Surcharges"/>
      <sheetName val="Discount Overview"/>
      <sheetName val="Invoiced Data Overview"/>
      <sheetName val="By Zone Charges"/>
      <sheetName val="Surcharge Master Data"/>
      <sheetName val="ExDom Parcel"/>
      <sheetName val="ExDom Freight"/>
      <sheetName val="ExIntl Parcel"/>
      <sheetName val="ExIntl Freight"/>
      <sheetName val="Ground"/>
      <sheetName val="Ground Economy"/>
      <sheetName val="Surcharge Master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
      <sheetName val="Developer Notes"/>
      <sheetName val="Patient"/>
      <sheetName val="Queries"/>
      <sheetName val="Shipment Data"/>
      <sheetName val="Surcharge Data"/>
      <sheetName val="Dashboard"/>
      <sheetName val="Intl Dashboard"/>
      <sheetName val="CHT Overview"/>
      <sheetName val="Product Overview"/>
      <sheetName val="YoY"/>
      <sheetName val="Spend &amp; Volume Trend"/>
      <sheetName val="Regions"/>
      <sheetName val="Surcharge Breakdown"/>
      <sheetName val="Surcharge Trends"/>
      <sheetName val="Zones"/>
      <sheetName val="Shipping Lane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I2" t="str">
            <v>Values</v>
          </cell>
        </row>
        <row r="3">
          <cell r="AH3" t="str">
            <v>Month</v>
          </cell>
          <cell r="AI3" t="str">
            <v xml:space="preserve"> Shipments</v>
          </cell>
          <cell r="AJ3" t="str">
            <v>Net Trans</v>
          </cell>
        </row>
        <row r="4">
          <cell r="AH4">
            <v>43617</v>
          </cell>
          <cell r="AI4">
            <v>1342111</v>
          </cell>
          <cell r="AJ4">
            <v>11115453.040000008</v>
          </cell>
        </row>
        <row r="5">
          <cell r="AH5">
            <v>43647</v>
          </cell>
          <cell r="AI5">
            <v>1673881</v>
          </cell>
          <cell r="AJ5">
            <v>13708387.939999996</v>
          </cell>
        </row>
        <row r="6">
          <cell r="AH6">
            <v>43586</v>
          </cell>
          <cell r="AI6">
            <v>1315040</v>
          </cell>
          <cell r="AJ6">
            <v>10783081.060000006</v>
          </cell>
        </row>
        <row r="7">
          <cell r="AH7">
            <v>43466</v>
          </cell>
          <cell r="AI7">
            <v>1559147</v>
          </cell>
          <cell r="AJ7">
            <v>12547348.090000028</v>
          </cell>
        </row>
        <row r="8">
          <cell r="AH8">
            <v>43525</v>
          </cell>
          <cell r="AI8">
            <v>1356418</v>
          </cell>
          <cell r="AJ8">
            <v>10574248.880000006</v>
          </cell>
        </row>
        <row r="9">
          <cell r="AH9">
            <v>43556</v>
          </cell>
          <cell r="AI9">
            <v>1535517</v>
          </cell>
          <cell r="AJ9">
            <v>11985697.339999989</v>
          </cell>
        </row>
        <row r="10">
          <cell r="AH10">
            <v>43497</v>
          </cell>
          <cell r="AI10">
            <v>1313231</v>
          </cell>
          <cell r="AJ10">
            <v>9853570.0999999736</v>
          </cell>
        </row>
      </sheetData>
      <sheetData sheetId="11" refreshError="1"/>
      <sheetData sheetId="12" refreshError="1"/>
      <sheetData sheetId="13" refreshError="1"/>
      <sheetData sheetId="14" refreshError="1"/>
      <sheetData sheetId="15" refreshError="1"/>
      <sheetData sheetId="16" refreshError="1"/>
    </sheetDataSet>
  </externalBook>
</externalLink>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al Kadam" refreshedDate="46267.637009027778" createdVersion="8" refreshedVersion="8" minRefreshableVersion="3" recordCount="192" xr:uid="{BBE21EB6-30DF-4AF4-8DA9-F77018445B2E}">
  <cacheSource type="worksheet">
    <worksheetSource ref="A1:K193" sheet="Surcharge Data"/>
  </cacheSource>
  <cacheFields count="11">
    <cacheField name="Category" numFmtId="0">
      <sharedItems count="2">
        <s v="Ex_Cat_1"/>
        <s v="Gr_Cat_1"/>
      </sharedItems>
    </cacheField>
    <cacheField name="OpCo" numFmtId="0">
      <sharedItems count="3">
        <s v="Express"/>
        <s v="Express Freight"/>
        <s v="Ground"/>
      </sharedItems>
    </cacheField>
    <cacheField name="Dom_Intl" numFmtId="0">
      <sharedItems count="1">
        <s v="Domestic"/>
      </sharedItems>
    </cacheField>
    <cacheField name="Product Name" numFmtId="0">
      <sharedItems count="15">
        <s v="Express Saver"/>
        <s v="Non-Transportation Related"/>
        <s v="Standard Overnight"/>
        <s v="Regular Pickups"/>
        <s v="Priority Overnight"/>
        <s v="2Day"/>
        <s v="On Call Pickups"/>
        <s v="First Overnight"/>
        <s v="Automated Pickups"/>
        <s v="2Day Freight"/>
        <s v="2Day AM"/>
        <s v="3Day Freight"/>
        <s v="Ground"/>
        <s v="Return Manager"/>
        <s v="Home Delivery"/>
      </sharedItems>
    </cacheField>
    <cacheField name="Zone" numFmtId="0">
      <sharedItems containsBlank="1"/>
    </cacheField>
    <cacheField name="SC Code" numFmtId="0">
      <sharedItems/>
    </cacheField>
    <cacheField name="Table SC Name" numFmtId="0">
      <sharedItems/>
    </cacheField>
    <cacheField name="Surcharge Amount (USD)" numFmtId="164">
      <sharedItems containsSemiMixedTypes="0" containsString="0" containsNumber="1" minValue="0" maxValue="273662.02"/>
    </cacheField>
    <cacheField name="Occurrences" numFmtId="166">
      <sharedItems containsSemiMixedTypes="0" containsString="0" containsNumber="1" containsInteger="1" minValue="1" maxValue="61322"/>
    </cacheField>
    <cacheField name="Table SC Name2" numFmtId="0">
      <sharedItems containsSemiMixedTypes="0" containsString="0" containsNumber="1" containsInteger="1" minValue="0" maxValue="0"/>
    </cacheField>
    <cacheField name="Miscellaneous Surcharge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al Kadam" refreshedDate="46267.637009143516" createdVersion="8" refreshedVersion="8" minRefreshableVersion="3" recordCount="192" xr:uid="{7E934A55-4995-412A-9F7F-956316CDF631}">
  <cacheSource type="worksheet">
    <worksheetSource ref="A1:K193" sheet="Surcharge Data"/>
  </cacheSource>
  <cacheFields count="11">
    <cacheField name="Category" numFmtId="0">
      <sharedItems count="2">
        <s v="Ex_Cat_1"/>
        <s v="Gr_Cat_1"/>
      </sharedItems>
    </cacheField>
    <cacheField name="OpCo" numFmtId="0">
      <sharedItems count="3">
        <s v="Express"/>
        <s v="Express Freight"/>
        <s v="Ground"/>
      </sharedItems>
    </cacheField>
    <cacheField name="Dom_Intl" numFmtId="0">
      <sharedItems count="1">
        <s v="Domestic"/>
      </sharedItems>
    </cacheField>
    <cacheField name="Product Name" numFmtId="0">
      <sharedItems count="15">
        <s v="Express Saver"/>
        <s v="Non-Transportation Related"/>
        <s v="Standard Overnight"/>
        <s v="Regular Pickups"/>
        <s v="Priority Overnight"/>
        <s v="2Day"/>
        <s v="On Call Pickups"/>
        <s v="First Overnight"/>
        <s v="Automated Pickups"/>
        <s v="2Day Freight"/>
        <s v="2Day AM"/>
        <s v="3Day Freight"/>
        <s v="Ground"/>
        <s v="Return Manager"/>
        <s v="Home Delivery"/>
      </sharedItems>
    </cacheField>
    <cacheField name="Zone" numFmtId="0">
      <sharedItems containsBlank="1"/>
    </cacheField>
    <cacheField name="SC Code" numFmtId="0">
      <sharedItems/>
    </cacheField>
    <cacheField name="Table SC Name" numFmtId="0">
      <sharedItems/>
    </cacheField>
    <cacheField name="Surcharge Amount (USD)" numFmtId="164">
      <sharedItems containsSemiMixedTypes="0" containsString="0" containsNumber="1" minValue="0" maxValue="273662.02"/>
    </cacheField>
    <cacheField name="Occurrences" numFmtId="166">
      <sharedItems containsSemiMixedTypes="0" containsString="0" containsNumber="1" containsInteger="1" minValue="1" maxValue="61322"/>
    </cacheField>
    <cacheField name="Table SC Name2" numFmtId="0">
      <sharedItems containsSemiMixedTypes="0" containsString="0" containsNumber="1" containsInteger="1" minValue="0" maxValue="0"/>
    </cacheField>
    <cacheField name="Miscellaneous Surcharges"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Kadam" refreshedDate="46267.637009259262" createdVersion="8" refreshedVersion="8" minRefreshableVersion="3" recordCount="100" xr:uid="{33304E0D-7079-44ED-9092-C6F42CD330F3}">
  <cacheSource type="worksheet">
    <worksheetSource ref="A1:Q101" sheet="Discount Data"/>
  </cacheSource>
  <cacheFields count="17">
    <cacheField name="CHT ID" numFmtId="0">
      <sharedItems containsSemiMixedTypes="0" containsString="0" containsNumber="1" containsInteger="1" minValue="488185414" maxValue="488185414"/>
    </cacheField>
    <cacheField name="CHT Level" numFmtId="0">
      <sharedItems/>
    </cacheField>
    <cacheField name="Effective Date" numFmtId="3">
      <sharedItems count="2">
        <s v="Eff_Date_1"/>
        <s v="Eff_Date_2"/>
      </sharedItems>
    </cacheField>
    <cacheField name="Category" numFmtId="3">
      <sharedItems count="2">
        <s v="Ex_Cat_1"/>
        <s v="Gr_Cat_1"/>
      </sharedItems>
    </cacheField>
    <cacheField name="Surcharge ID" numFmtId="3">
      <sharedItems containsSemiMixedTypes="0" containsString="0" containsNumber="1" containsInteger="1" minValue="1032" maxValue="2232"/>
    </cacheField>
    <cacheField name="Surcharge Code" numFmtId="0">
      <sharedItems/>
    </cacheField>
    <cacheField name="Surcharge Name" numFmtId="0">
      <sharedItems count="27">
        <s v="Oversize"/>
        <s v="Dom Residential Delivery"/>
        <s v="Das Commercial"/>
        <s v="Das Extended Commercial"/>
        <s v="Das Residential"/>
        <s v="Das Extended Residential"/>
        <s v="Dom Packaging Ahs"/>
        <s v="Dom Dimension Ahs"/>
        <s v="Dom Weight Ahs"/>
        <s v="Intl Dimension Ahs"/>
        <s v="Intl Freight Ahs"/>
        <s v="Demand - Additional Handling Surcharge"/>
        <s v="Demand - Oversize Charge"/>
        <s v="Intl Oversize"/>
        <s v="DAS Remote Residential"/>
        <s v="DAS Remote Commercial"/>
        <s v="Additional Handling Dimension"/>
        <s v="Additional Handling Weight"/>
        <s v="Home Delivery DAS Residential"/>
        <s v="Home Delivery DAS Extended Residential"/>
        <s v="Ground DAS Commercial"/>
        <s v="Ground DAS Extended Commercial"/>
        <s v="Charge for Oversized Packages"/>
        <s v="Residential Charge"/>
        <s v="AHS-PKG - Additional Handling Packaging Charge"/>
        <s v="Demand Surcharge"/>
        <s v="Home Delivery DAS Remote Residential"/>
      </sharedItems>
    </cacheField>
    <cacheField name="Service" numFmtId="0">
      <sharedItems/>
    </cacheField>
    <cacheField name="Product" numFmtId="0">
      <sharedItems count="7">
        <s v="SO"/>
        <s v="EE"/>
        <s v="IF"/>
        <s v="IE"/>
        <s v="GR"/>
        <s v="HD"/>
        <s v="IG"/>
      </sharedItems>
    </cacheField>
    <cacheField name="Zone" numFmtId="0">
      <sharedItems count="1">
        <s v="ALL"/>
      </sharedItems>
    </cacheField>
    <cacheField name="Begin Date" numFmtId="14">
      <sharedItems containsSemiMixedTypes="0" containsNonDate="0" containsDate="1" containsString="0" minDate="2026-08-13T00:00:00" maxDate="2026-08-14T00:00:00"/>
    </cacheField>
    <cacheField name="End Date" numFmtId="14">
      <sharedItems containsSemiMixedTypes="0" containsNonDate="0" containsDate="1" containsString="0" minDate="2029-08-13T00:00:00" maxDate="2029-08-14T00:00:00"/>
    </cacheField>
    <cacheField name="SC Action Code" numFmtId="0">
      <sharedItems/>
    </cacheField>
    <cacheField name="Discount %" numFmtId="0">
      <sharedItems containsSemiMixedTypes="0" containsString="0" containsNumber="1" minValue="0.25" maxValue="0.75029999999999997"/>
    </cacheField>
    <cacheField name="Flat Rate" numFmtId="0">
      <sharedItems containsNonDate="0" containsString="0" containsBlank="1"/>
    </cacheField>
    <cacheField name="0" numFmtId="0">
      <sharedItems containsSemiMixedTypes="0" containsString="0" containsNumber="1" containsInteger="1" minValue="0" maxValue="0"/>
    </cacheField>
    <cacheField name="02"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Kadam" refreshedDate="46267.637009375001" createdVersion="8" refreshedVersion="8" minRefreshableVersion="3" recordCount="747" xr:uid="{06F5CEB3-417E-4E15-A9CC-7C3EC6856492}">
  <cacheSource type="worksheet">
    <worksheetSource ref="B1:Y748" sheet="Surcharge Master Data"/>
  </cacheSource>
  <cacheFields count="24">
    <cacheField name="Pricing Category" numFmtId="0">
      <sharedItems count="3">
        <s v="Category 1"/>
        <s v="Category 2"/>
        <s v="Category 3"/>
      </sharedItems>
    </cacheField>
    <cacheField name="Dom/Intl" numFmtId="0">
      <sharedItems count="2">
        <s v="Domestic"/>
        <s v="International"/>
      </sharedItems>
    </cacheField>
    <cacheField name="OpCo" numFmtId="0">
      <sharedItems count="5">
        <s v="Express"/>
        <s v="Ground"/>
        <s v="Ground Economy"/>
        <s v="Express Freight"/>
        <s v="FDX"/>
      </sharedItems>
    </cacheField>
    <cacheField name="Surcharge Category" numFmtId="0">
      <sharedItems count="45">
        <s v="Additional Handling Surcharges"/>
        <s v="Oversize Surcharges"/>
        <s v="Address Correction"/>
        <s v="Collect On Delivery"/>
        <s v="Dangerous Goods"/>
        <s v="Dry Ice"/>
        <s v="Declared Value"/>
        <s v="Delivery Area Surcharges"/>
        <s v="Delivery Signature Surcharges"/>
        <s v="ExpressTag"/>
        <s v="Fuel Surcharge"/>
        <s v="Missing or Invalid Account Number"/>
        <s v="On Demand Care"/>
        <s v="Payer Rebilling"/>
        <s v="Reroute of Shipment"/>
        <s v="Residential Delivery"/>
        <s v="Return Labels"/>
        <s v="Return Pickup"/>
        <s v="Saturday Delivery"/>
        <s v="Saturday Pickup"/>
        <s v="Alternate Address Pickup Fee"/>
        <s v="Call Tag"/>
        <s v="Convenient Delivery Options"/>
        <s v="Hazardous Material"/>
        <s v="Unauthorized Package"/>
        <s v="Delivery and Returns"/>
        <s v="Non-Machinable"/>
        <s v="Package Relabel"/>
        <s v="Delivery Reattempt"/>
        <s v="Extended Service Area Delivery"/>
        <s v="Extended Service Area Pickup"/>
        <s v="Extra Services"/>
        <s v="Inside Delivery Charge"/>
        <s v="Inside Pickup Charge"/>
        <s v="Metro Service Area Delivery"/>
        <s v="Metro Service Area Pickup"/>
        <s v="Residential Pickup"/>
        <s v="Out-of-Delivery-Area Surcharges"/>
        <s v="Out-of-Pickup-Area Surcharges"/>
        <s v="US Inbound Processing Fee"/>
        <s v="On-Call Pickup"/>
        <s v="Streamlined Pickup Fee"/>
        <s v="Clearance Fee"/>
        <s v="Broker Select Option"/>
        <s v="Electronic Export Information Filing Fee"/>
      </sharedItems>
    </cacheField>
    <cacheField name="Surcharge Subcategory" numFmtId="0">
      <sharedItems count="148">
        <s v="Express AHS - Dimensions"/>
        <s v="Express AHS - Weight"/>
        <s v="Express AHS - Packaging"/>
        <s v="Ground AHS - Dimensions"/>
        <s v="Ground AHS - Weight"/>
        <s v="Ground AHS - Packaging"/>
        <s v="EX Oversize"/>
        <s v="GR Oversize"/>
        <s v="HD Oversize"/>
        <s v="Address Correction"/>
        <s v="Collect On Delivery"/>
        <s v="Accessible Dangerous Goods"/>
        <s v="Inaccessible Dangerous Goods"/>
        <s v="Dry Ice"/>
        <s v="Declared Value"/>
        <s v="DAS - Commercial"/>
        <s v="DAS - Extended Commercial"/>
        <s v="DAS - Remote Commercial"/>
        <s v="DAS - Residential"/>
        <s v="DAS - Extended Residential"/>
        <s v="DAS - Remote Residential"/>
        <s v="DAS - Alaska Commercial"/>
        <s v="DAS - Alaska Residential"/>
        <s v="DAS - Hawaii Commercial"/>
        <s v="DAS - Hawaii Residential"/>
        <s v="Adult Signature"/>
        <s v="Direct Signature"/>
        <s v="Indirect Signature"/>
        <s v="ExpressTag"/>
        <s v="Fuel Surcharge"/>
        <s v="Missing or Invalid Account Number"/>
        <s v="On Demand Care"/>
        <s v="Payer Rebilling"/>
        <s v="Reroute of Shipment"/>
        <s v="Residential Delivery - EX"/>
        <s v="Return Label - Email"/>
        <s v="Return Label - Printed"/>
        <s v="Return Pickup"/>
        <s v="Saturday Delivery"/>
        <s v="Saturday Pickup"/>
        <s v="AHS - Dimensions"/>
        <s v="AHS - Weight"/>
        <s v="AHS - Packaging"/>
        <s v="Alternate Address Pickup Fee"/>
        <s v="Call Tag"/>
        <s v="C.O.D."/>
        <s v="C.O.D. -  Cash"/>
        <s v="C.O.D. - Electronic"/>
        <s v="Weekly Charge - 24 hours"/>
        <s v="Weekly Charge - 48 hours"/>
        <s v="CDO - Date Certain"/>
        <s v="CDO - Evening"/>
        <s v="CDO - Appointment"/>
        <s v="DAS - Intra-Hawaii Commercial"/>
        <s v="DAS - Intra-Hawaii Residential"/>
        <s v="DAS - HD Residential"/>
        <s v="DAS - HD Extended Residential"/>
        <s v="DAS - HD Remote Residential"/>
        <s v="Hazardous Material"/>
        <s v="Oversize"/>
        <s v="Residential Delivery - GR"/>
        <s v="Residential Delivery - HD"/>
        <s v="Unauthorized Package"/>
        <s v="Delivery and Returns"/>
        <s v="DAS - Contiguous"/>
        <s v="DAS - Extended"/>
        <s v="DAS - Alaska"/>
        <s v="DAS - Hawaii"/>
        <s v="Non-Machinable"/>
        <s v="Package Relabel"/>
        <s v="AHS - Freight"/>
        <s v="AHS - Non-Stackable"/>
        <s v="Delivery Reattempt"/>
        <s v="Extended Service Area Delivery"/>
        <s v="Extended Service Area Pickup"/>
        <s v="Extra Services"/>
        <s v="Inside Delivery Charge"/>
        <s v="Inside Pickup Charge"/>
        <s v="Metro Service Area Delivery"/>
        <s v="Metro Service Area Pickup"/>
        <s v="Residential Delivery"/>
        <s v="Residential Pickup"/>
        <s v="DG - Accessible"/>
        <s v="DG - Inaccessible"/>
        <s v="DG - Dry Ice"/>
        <s v="Out-of-Delivery-Area Tier A"/>
        <s v="Out-of-Delivery-Area Tier B"/>
        <s v="Out-of-Delivery-Area Tier C"/>
        <s v="Out-of-Pickup-Area Tier A"/>
        <s v="Out-of-Pickup-Area Tier B"/>
        <s v="Out-of-Pickup-Area Tier C"/>
        <s v="US Inbound Processing Fee"/>
        <s v="On-Call Pickup"/>
        <s v="Automated pickup (Mon - Fri)"/>
        <s v="Fut Day OC Mon-Fri (Online)"/>
        <s v="Fut Day OC Sat (Online)"/>
        <s v="Fut Day OC Sun (Online)"/>
        <s v="Fut Day OC Mon-Fri (CS)"/>
        <s v="Fut Day OC Sat (CS)"/>
        <s v="Fut Day OC Sun (CS)"/>
        <s v="Same Day OC Mon-Fri (Online)"/>
        <s v="Same Day OC Sat (Online)"/>
        <s v="Same Day OC Sun (Online)"/>
        <s v="Same Day OC Mon-Fri (CS)"/>
        <s v="Same Day OC Sat (CS)"/>
        <s v="Same Day OC Sun (CS)"/>
        <s v="Residential Pickup Surcharge"/>
        <s v="Pickup Area Surcharge"/>
        <s v="Extended Area Pickup surcharge"/>
        <s v="Remote Area Surcharge"/>
        <s v="Saturday Regularly scheduled pickup"/>
        <s v="Sunday Regularly scheduled pickup"/>
        <s v="Saturday Automated"/>
        <s v="Sunday Automated"/>
        <s v="FedEx Regularly Scheduled Pickup (Mon - Fri)"/>
        <s v="Express Additional Entry line items"/>
        <s v="Express Disbursement Fee"/>
        <s v="Express Broker Document Transfer"/>
        <s v="Express  Broker In-Bond Transfer"/>
        <s v="Express Duty and Tax Forwarding Fee"/>
        <s v="Express Entry Copy"/>
        <s v="Express Government Entries (DoD)"/>
        <s v="Express Live Entry Processing"/>
        <s v="Express Other Special Brokerage Processing"/>
        <s v="Express Prior Notice for Food and Food Products"/>
        <s v="Express Storage"/>
        <s v="Express Temporary Import Entry"/>
        <s v="Express ATFE Clearance"/>
        <s v="Express FWS Clearance"/>
        <s v="Express U.S. Food and Drug Administration Clearance"/>
        <s v="Broker Select Option"/>
        <s v="EEI Filing Fee"/>
        <s v="Ground (CA to US) Additional Entry line items"/>
        <s v="Ground (CA to US) Disbursement Fee"/>
        <s v="Ground (CA to US) Duty and Tax Forwarding Fee"/>
        <s v="Ground (CA to US) Entry Copy"/>
        <s v="Ground (CA to US) FWS Clearance"/>
        <s v="Ground (CA to US) U.S. Food and Drug Administration Clearance"/>
        <s v="Ground (CA to US) Live Entry Processing"/>
        <s v="Ground (CA to US) Other Government Agency"/>
        <s v="Ground (CA to US) Special Brokerage Processing"/>
        <s v="Ground (CA to US) Clearance entry fee"/>
        <s v="Ground (US to CA) Additional Entry Line Items"/>
        <s v="Ground (US to CA) Disbursement Fee"/>
        <s v="Ground (US to CA) Fax or Call Fee"/>
        <s v="Ground (US to CA) Temporary Import Entry"/>
        <s v="Ground (US to CA) Other Government Agency"/>
        <s v="Ground (US to CA) Clearance entry fee"/>
      </sharedItems>
    </cacheField>
    <cacheField name="Surcharge" numFmtId="0">
      <sharedItems count="249">
        <s v="Express AHS - Dimensions Zone 2"/>
        <s v="Express AHS - Dimensions Zones 3-4"/>
        <s v="Express AHS - Dimensions Zones 5-6"/>
        <s v="Express AHS - Dimensions Zones 7+"/>
        <s v="Express AHS - Weight Zone 2"/>
        <s v="Express AHS - Weight Zones 3-4"/>
        <s v="Express AHS - Weight Zones 5-6"/>
        <s v="Express AHS - Weight Zones 7+"/>
        <s v="Express AHS - Packaging  Zone 2"/>
        <s v="Express AHS - Packaging Zones 3-4"/>
        <s v="Express AHS - Packaging Zones 5-6"/>
        <s v="Express AHS - Packaging Zones 7+"/>
        <s v="Ground AHS - Dimensions Zone 2"/>
        <s v="Ground AHS - Dimensions Zones 3-4"/>
        <s v="Ground AHS - Dimensions Zones 5-6"/>
        <s v="Ground AHS - Dimensions Zones 7+"/>
        <s v="Ground AHS - Weight Zone 2"/>
        <s v="Ground AHS - Weight Zones 3-4"/>
        <s v="Ground AHS - Weight Zones 5-6"/>
        <s v="Ground AHS - Weight Zones 7+"/>
        <s v="Ground AHS - Packaging Zone 2"/>
        <s v="Ground AHS - Packaging Zones 3-4"/>
        <s v="Ground AHS - Packaging Zones 5-6"/>
        <s v="Ground AHS - Packaging Zones 7+"/>
        <s v="Express Oversize - Zone 2"/>
        <s v="Express Oversize - Zones 3-4"/>
        <s v="Express Oversize - Zones 5-6"/>
        <s v="Express Oversize - Zones 7+"/>
        <s v="GR Oversize - Zone 2"/>
        <s v="GR Oversize - Zones 3-4"/>
        <s v="GR Oversize - Zones 5-6"/>
        <s v="GR Oversize - Zones 7+"/>
        <s v="HD Oversize - Zone 2"/>
        <s v="HD Oversize - Zones 3-4"/>
        <s v="HD Oversize - Zones 5-6"/>
        <s v="HD Oversize - Zones 7+"/>
        <s v="Express Address Correction"/>
        <s v="Express Collect On Delivery"/>
        <s v="Express Accessible Dangerous Goods"/>
        <s v="Express Inaccessible Dangerous Goods"/>
        <s v="Express Dry Ice"/>
        <s v="Express Declared Value"/>
        <s v="Express DAS - Commercial"/>
        <s v="Express DAS - Extended Commercial"/>
        <s v="Express DAS - Remote Commercial"/>
        <s v="Express DAS - Residential"/>
        <s v="Express DAS - Extended Residential"/>
        <s v="Express DAS - Remote Residential"/>
        <s v="Express DAS - Alaska Commercial"/>
        <s v="Express DAS - Alaska Residential"/>
        <s v="Express DAS - Hawaii Commercial"/>
        <s v="Express DAS - Hawaii Residential"/>
        <s v="Express Adult Signature"/>
        <s v="Express Direct Signature"/>
        <s v="Express Indirect Signature"/>
        <s v="Express ExpressTag"/>
        <s v="Express Fuel Surcharge"/>
        <s v="Express Missing or Invalid Account Number"/>
        <s v="Express On Demand Care"/>
        <s v="Express Payer Rebilling"/>
        <s v="Express Reroute of Shipment"/>
        <s v="Express Residential Delivery"/>
        <s v="Express Return Label - Email"/>
        <s v="Express Return Label - Printed"/>
        <s v="Express Return Pickup"/>
        <s v="Express Saturday Delivery"/>
        <s v="Express Saturday Pickup"/>
        <s v="IntlGR AHS - Dimensions"/>
        <s v="IntlGR AHS - Weight"/>
        <s v="IntlGR AHS - Packaging"/>
        <s v="Ground Address Correction"/>
        <s v="Ground Alternate Address Pickup Fee"/>
        <s v="Ground Call Tag"/>
        <s v="Ground C.O.D."/>
        <s v="Ground C.O.D. -  Cash"/>
        <s v="Ground C.O.D. - Electronic"/>
        <s v="Ground C.O.D. - Weekly Charge - 24 hours"/>
        <s v="Ground C.O.D. - Weekly Charge - 48 hours"/>
        <s v="Ground CDO - Date Certain"/>
        <s v="Ground CDO - Evening"/>
        <s v="Ground CDO - Appointment"/>
        <s v="Ground Declared Value"/>
        <s v="Ground DAS - Commercial"/>
        <s v="Ground DAS - Extended Commercial"/>
        <s v="Ground DAS - Remote Commercial"/>
        <s v="Ground DAS - Residential"/>
        <s v="Ground DAS - Extended Residential"/>
        <s v="Ground DAS - Remote Residential"/>
        <s v="Ground DAS - Alaska Commercial"/>
        <s v="Ground DAS - Alaska Residential"/>
        <s v="Ground DAS - Hawaii Commercial"/>
        <s v="Ground DAS - Hawaii Residential"/>
        <s v="Ground DAS - Intra-Hawaii Commercial"/>
        <s v="Ground DAS - Intra-Hawaii Residential"/>
        <s v="Ground DAS - HD Residential"/>
        <s v="Ground DAS - HD Extended Residential"/>
        <s v="Ground DAS - HD Remote Residential"/>
        <s v="Ground Adult Signature"/>
        <s v="Ground Direct Signature"/>
        <s v="Ground Indirect Signature"/>
        <s v="Ground Fuel Surcharge"/>
        <s v="Ground Hazardous Material"/>
        <s v="Ground Missing or Invalid Account Number"/>
        <s v="IntlGR Oversize"/>
        <s v="Ground Payer Rebilling"/>
        <s v="Ground Residential Delivery - GR"/>
        <s v="Ground Residential Delivery - HD"/>
        <s v="Ground Return Label - Email"/>
        <s v="Ground Return Label - Printed"/>
        <s v="Ground Unauthorized Package"/>
        <s v="GE Delivery and Returns"/>
        <s v="GE DAS - Contiguous"/>
        <s v="GE DAS - Extended"/>
        <s v="GE DAS - Alaska"/>
        <s v="GE DAS - Hawaii"/>
        <s v="GE Fuel Surcharge"/>
        <s v="GE Non-Machinable"/>
        <s v="GE Package Relabel"/>
        <s v="ExFreight AHS - Freight"/>
        <s v="ExFreight AHS - Non-Stackable"/>
        <s v="ExFreight Address Correction"/>
        <s v="ExFreight Collect On Delivery"/>
        <s v="ExFreight Accessible Dangerous Goods"/>
        <s v="ExFreight Inaccessible Dangerous Goods"/>
        <s v="ExFreight Declared Value"/>
        <s v="ExFreight Delivery Reattempt"/>
        <s v="ExFreight Extended Service Area Delivery"/>
        <s v="ExFreight Extended Service Area Pickup"/>
        <s v="ExFreight Extra Services"/>
        <s v="ExFreight Fuel Surcharge"/>
        <s v="ExFreight Inside Delivery Charge"/>
        <s v="ExFreight Inside Pickup Charge"/>
        <s v="ExFreight Metro Service Area Delivery"/>
        <s v="ExFreight Metro Service Area Pickup"/>
        <s v="ExFreight Missing or Invalid Account Number"/>
        <s v="ExFreight On Demand Care"/>
        <s v="ExFreight Payer Rebilling"/>
        <s v="ExFreight Reroute of Shipment"/>
        <s v="ExFreight Residential Delivery"/>
        <s v="ExFreight Residential Pickup"/>
        <s v="ExFreight Return Label - Email"/>
        <s v="ExFreight Return Label - Printed"/>
        <s v="ExFreight Saturday Delivery"/>
        <s v="ExFreight Saturday Pickup"/>
        <s v="IntlEx AHS - Dimensions"/>
        <s v="IntlEx AHS - Packaging"/>
        <s v="IntlEx AHS - Weight"/>
        <s v="IntlEx Address Correction"/>
        <s v="IntlEx DG - Accessible"/>
        <s v="IntlEx DG - Inaccessible"/>
        <s v="IntlEx DG - Dry Ice"/>
        <s v="IntlEx Declared Value"/>
        <s v="IntlEx Adult Signature"/>
        <s v="IntlEx Direct Signature"/>
        <s v="IntlEx Indirect Signature"/>
        <s v="IntlEx Fuel Surcharge"/>
        <s v="IntlEx Missing or Invalid Account Number"/>
        <s v="IntlEx On Demand Care"/>
        <s v="IntlEx Out-of-Delivery-Area Tier A"/>
        <s v="IntlEx Out-of-Delivery-Area Tier B"/>
        <s v="IntlEx Out-of-Delivery-Area Tier C"/>
        <s v="IntlEx Out-of-Pickup-Area Tier A"/>
        <s v="IntlEx Out-of-Pickup-Area Tier B"/>
        <s v="IntlEx Out-of-Pickup-Area Tier C"/>
        <s v="IntlEx Oversize"/>
        <s v="IntlEx Payer Rebilling"/>
        <s v="IntlEx Residential Delivery"/>
        <s v="IntlEx Return Label - Email"/>
        <s v="IntlEx Return Label - Printed"/>
        <s v="IntlEx Saturday Delivery"/>
        <s v="IntlEx Saturday Pickup"/>
        <s v="IntlExFr AHS - Freight"/>
        <s v="IntlExFr AHS - Non-Stackable"/>
        <s v="IntlExFr Address Correction"/>
        <s v="IntlExFr DG - Accessible"/>
        <s v="IntlExFr DG - Inaccessible"/>
        <s v="IntlExFr Declared Value"/>
        <s v="IntlExFr Fuel Surcharge"/>
        <s v="IntlExFr Out-of-Delivery-Area Tier B"/>
        <s v="IntlExFr Out-of-Delivery-Area Tier C"/>
        <s v="IntlExFr Out-of-Pickup-Area Tier B"/>
        <s v="IntlExFr Out-of-Pickup-Area Tier C"/>
        <s v="IntlExFr Missing or Invalid Account Number"/>
        <s v="IntlExFr On Demand Care"/>
        <s v="IntlExFr Payer Rebilling"/>
        <s v="IntlExFr Residential Delivery"/>
        <s v="IntlExFr Return Label - Email"/>
        <s v="IntlExFr Return Label - Printed"/>
        <s v="IntlExFr Saturday Delivery"/>
        <s v="IntlExFr Saturday Pickup"/>
        <s v="IntlEx US Inbound Processing Fee"/>
        <s v="IntlExFr US Inbound Processing Fee"/>
        <s v="IntlGR US Inbound Processing Fee"/>
        <s v="IntlEx On-Call Pickup"/>
        <s v="Automated pickup (Mon - Fri)"/>
        <s v="Fut Day OC Mon-Fri (Online)"/>
        <s v="Fut Day OC Sat (Online)"/>
        <s v="Fut Day OC Sun (Online)"/>
        <s v="Fut Day OC Mon-Fri (CS)"/>
        <s v="Fut Day OC Sat (CS)"/>
        <s v="Fut Day OC Sun (CS)"/>
        <s v="Same Day OC Mon-Fri (Online)"/>
        <s v="Same Day OC Sat (Online)"/>
        <s v="Same Day OC Sun (Online)"/>
        <s v="Same Day OC Mon-Fri (CS)"/>
        <s v="Same Day OC Sat (CS)"/>
        <s v="Same Day OC Sun (CS)"/>
        <s v="Residential Pickup Surcharge"/>
        <s v="Pickup Area Surcharge"/>
        <s v="Extended Area Pickup surcharge"/>
        <s v="Remote Area Surcharge"/>
        <s v="Saturday Regularly scheduled pickup"/>
        <s v="Sunday Regularly scheduled pickup"/>
        <s v="Saturday Automated"/>
        <s v="Sunday Automated"/>
        <s v="FedEx Regularly Scheduled Pickup (Mon - Fri)"/>
        <s v="Express Additional Entry line items"/>
        <s v="Express Disbursement Fee"/>
        <s v="Express Broker Document Transfer"/>
        <s v="Express  Broker In-Bond Transfer"/>
        <s v="Express Duty and Tax Forwarding Fee"/>
        <s v="Express Entry Copy"/>
        <s v="Express Government Entries (DoD)"/>
        <s v="Express Live Entry Processing"/>
        <s v="Express Other Special Brokerage Processing"/>
        <s v="Express Prior Notice for Food and Food Products"/>
        <s v="Express Storage"/>
        <s v="Express Temporary Import Entry"/>
        <s v="Express ATFE Clearance"/>
        <s v="Express FWS Clearance"/>
        <s v="Express U.S. Food and Drug Administration Clearance"/>
        <s v="Express Broker Select Option"/>
        <s v="EEI Filing Fee"/>
        <s v="Ground (CA to US) Additional Entry line items"/>
        <s v="Ground (CA to US) Disbursement Fee"/>
        <s v="Ground (CA to US) Duty and Tax Forwarding Fee"/>
        <s v="Ground (CA to US) Entry Copy"/>
        <s v="Ground (CA to US) FWS Clearance"/>
        <s v="Ground (CA to US) U.S. Food and Drug Administration Clearance"/>
        <s v="Ground (CA to US) Live Entry Processing"/>
        <s v="Ground (CA to US) Other Government Agency"/>
        <s v="Ground (CA to US) Special Brokerage Processing"/>
        <s v="Ground (CA to US) Clearance entry fee"/>
        <s v="Ground (US to CA) Additional Entry Line Items"/>
        <s v="Ground (US to CA) Disbursement Fee"/>
        <s v="Ground (US to CA) Fax or Call Fee"/>
        <s v="Ground (US to CA) Temporary Import Entry"/>
        <s v="Ground (US to CA) Other Government Agency"/>
        <s v="Ground (US to CA) Clearance entry fee"/>
      </sharedItems>
    </cacheField>
    <cacheField name="2025 List" numFmtId="164">
      <sharedItems containsSemiMixedTypes="0" containsString="0" containsNumber="1" minValue="0" maxValue="1775"/>
    </cacheField>
    <cacheField name="2025 List per Lb" numFmtId="164">
      <sharedItems containsString="0" containsBlank="1" containsNumber="1" minValue="0" maxValue="9.07"/>
    </cacheField>
    <cacheField name="List Change" numFmtId="164">
      <sharedItems containsSemiMixedTypes="0" containsString="0" containsNumber="1" minValue="0" maxValue="25"/>
    </cacheField>
    <cacheField name="List Change per lb" numFmtId="164">
      <sharedItems containsString="0" containsBlank="1" containsNumber="1" minValue="0" maxValue="8.0000000000000071E-2"/>
    </cacheField>
    <cacheField name="2026 List" numFmtId="164">
      <sharedItems containsSemiMixedTypes="0" containsString="0" containsNumber="1" minValue="0" maxValue="1775"/>
    </cacheField>
    <cacheField name="2026 List per lb" numFmtId="164">
      <sharedItems containsString="0" containsBlank="1" containsNumber="1" minValue="0" maxValue="9.07"/>
    </cacheField>
    <cacheField name="Disc 1 Discount" numFmtId="10">
      <sharedItems containsSemiMixedTypes="0" containsString="0" containsNumber="1" containsInteger="1" minValue="0" maxValue="0"/>
    </cacheField>
    <cacheField name="Disc 2 Discount" numFmtId="10">
      <sharedItems containsSemiMixedTypes="0" containsString="0" containsNumber="1" containsInteger="1" minValue="0" maxValue="0"/>
    </cacheField>
    <cacheField name="Disc 1 _x000a_Net Rate" numFmtId="164">
      <sharedItems containsString="0" containsBlank="1" containsNumber="1" minValue="0" maxValue="1875"/>
    </cacheField>
    <cacheField name="Disc 1 net rate per lb" numFmtId="164">
      <sharedItems containsString="0" containsBlank="1" containsNumber="1" minValue="0" maxValue="9.07"/>
    </cacheField>
    <cacheField name="Net Rate Change" numFmtId="164">
      <sharedItems containsString="0" containsBlank="1" containsNumber="1" containsInteger="1" minValue="0" maxValue="0"/>
    </cacheField>
    <cacheField name="Net Rate Change per lb" numFmtId="0">
      <sharedItems containsString="0" containsBlank="1" containsNumber="1" containsInteger="1" minValue="0" maxValue="0"/>
    </cacheField>
    <cacheField name="Disc 2 _x000a_Net Rate" numFmtId="164">
      <sharedItems containsString="0" containsBlank="1" containsNumber="1" minValue="0" maxValue="1875"/>
    </cacheField>
    <cacheField name="Disc 2 Net Rate per Lb" numFmtId="164">
      <sharedItems containsString="0" containsBlank="1" containsNumber="1" minValue="0" maxValue="9.07"/>
    </cacheField>
    <cacheField name="Occurrences" numFmtId="0">
      <sharedItems containsSemiMixedTypes="0" containsString="0" containsNumber="1" containsInteger="1" minValue="0" maxValue="0"/>
    </cacheField>
    <cacheField name="Est Disc 1_x000a_ Net Spend" numFmtId="164">
      <sharedItems containsString="0" containsBlank="1" containsNumber="1" containsInteger="1" minValue="0" maxValue="0"/>
    </cacheField>
    <cacheField name="Net Spend Change" numFmtId="164">
      <sharedItems containsString="0" containsBlank="1" containsNumber="1" containsInteger="1" minValue="0" maxValue="0"/>
    </cacheField>
    <cacheField name="Est Disc 2 _x000a_Net Spend" numFmtId="164">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488185414"/>
    <s v="CTRY"/>
    <x v="0"/>
    <x v="0"/>
    <n v="1032"/>
    <s v="128"/>
    <x v="0"/>
    <s v="STANDARD OVERNIGHT"/>
    <x v="0"/>
    <x v="0"/>
    <d v="2026-08-13T00:00:00"/>
    <d v="2029-08-13T00:00:00"/>
    <s v="D"/>
    <n v="0.5"/>
    <m/>
    <n v="0"/>
    <n v="0"/>
  </r>
  <r>
    <n v="488185414"/>
    <s v="CTRY"/>
    <x v="0"/>
    <x v="0"/>
    <n v="1035"/>
    <s v="029"/>
    <x v="1"/>
    <s v="STANDARD OVERNIGHT"/>
    <x v="0"/>
    <x v="0"/>
    <d v="2026-08-13T00:00:00"/>
    <d v="2029-08-13T00:00:00"/>
    <s v="D"/>
    <n v="0.5"/>
    <m/>
    <n v="0"/>
    <n v="0"/>
  </r>
  <r>
    <n v="488185414"/>
    <s v="CTRY"/>
    <x v="0"/>
    <x v="0"/>
    <n v="1084"/>
    <s v="180"/>
    <x v="2"/>
    <s v="STANDARD OVERNIGHT"/>
    <x v="0"/>
    <x v="0"/>
    <d v="2026-08-13T00:00:00"/>
    <d v="2029-08-13T00:00:00"/>
    <s v="D"/>
    <n v="0.5"/>
    <m/>
    <n v="0"/>
    <n v="0"/>
  </r>
  <r>
    <n v="488185414"/>
    <s v="CTRY"/>
    <x v="0"/>
    <x v="0"/>
    <n v="1086"/>
    <s v="182"/>
    <x v="3"/>
    <s v="STANDARD OVERNIGHT"/>
    <x v="0"/>
    <x v="0"/>
    <d v="2026-08-13T00:00:00"/>
    <d v="2029-08-13T00:00:00"/>
    <s v="D"/>
    <n v="0.5"/>
    <m/>
    <n v="0"/>
    <n v="0"/>
  </r>
  <r>
    <n v="488185414"/>
    <s v="CTRY"/>
    <x v="0"/>
    <x v="0"/>
    <n v="1094"/>
    <s v="190"/>
    <x v="4"/>
    <s v="STANDARD OVERNIGHT"/>
    <x v="0"/>
    <x v="0"/>
    <d v="2026-08-13T00:00:00"/>
    <d v="2029-08-13T00:00:00"/>
    <s v="D"/>
    <n v="0.5"/>
    <m/>
    <n v="0"/>
    <n v="0"/>
  </r>
  <r>
    <n v="488185414"/>
    <s v="CTRY"/>
    <x v="0"/>
    <x v="0"/>
    <n v="1096"/>
    <s v="192"/>
    <x v="5"/>
    <s v="STANDARD OVERNIGHT"/>
    <x v="0"/>
    <x v="0"/>
    <d v="2026-08-13T00:00:00"/>
    <d v="2029-08-13T00:00:00"/>
    <s v="D"/>
    <n v="0.5"/>
    <m/>
    <n v="0"/>
    <n v="0"/>
  </r>
  <r>
    <n v="488185414"/>
    <s v="CTRY"/>
    <x v="0"/>
    <x v="0"/>
    <n v="1104"/>
    <s v="052"/>
    <x v="6"/>
    <s v="STANDARD OVERNIGHT"/>
    <x v="0"/>
    <x v="0"/>
    <d v="2026-08-13T00:00:00"/>
    <d v="2029-08-13T00:00:00"/>
    <s v="D"/>
    <n v="0.5"/>
    <m/>
    <n v="0"/>
    <n v="0"/>
  </r>
  <r>
    <n v="488185414"/>
    <s v="CTRY"/>
    <x v="0"/>
    <x v="0"/>
    <n v="1105"/>
    <s v="163"/>
    <x v="7"/>
    <s v="STANDARD OVERNIGHT"/>
    <x v="0"/>
    <x v="0"/>
    <d v="2026-08-13T00:00:00"/>
    <d v="2029-08-13T00:00:00"/>
    <s v="D"/>
    <n v="0.55000000000000004"/>
    <m/>
    <n v="0"/>
    <n v="0"/>
  </r>
  <r>
    <n v="488185414"/>
    <s v="CTRY"/>
    <x v="0"/>
    <x v="0"/>
    <n v="1106"/>
    <s v="164"/>
    <x v="8"/>
    <s v="STANDARD OVERNIGHT"/>
    <x v="0"/>
    <x v="0"/>
    <d v="2026-08-13T00:00:00"/>
    <d v="2029-08-13T00:00:00"/>
    <s v="D"/>
    <n v="0.5"/>
    <m/>
    <n v="0"/>
    <n v="0"/>
  </r>
  <r>
    <n v="488185414"/>
    <s v="CTRY"/>
    <x v="0"/>
    <x v="0"/>
    <n v="1109"/>
    <s v="217"/>
    <x v="9"/>
    <s v="EXPORT ECONOMY"/>
    <x v="1"/>
    <x v="0"/>
    <d v="2026-08-13T00:00:00"/>
    <d v="2029-08-13T00:00:00"/>
    <s v="D"/>
    <n v="0.35"/>
    <m/>
    <n v="0"/>
    <n v="0"/>
  </r>
  <r>
    <n v="488185414"/>
    <s v="CTRY"/>
    <x v="0"/>
    <x v="0"/>
    <n v="1109"/>
    <s v="217"/>
    <x v="9"/>
    <s v="EXPT PDDF"/>
    <x v="2"/>
    <x v="0"/>
    <d v="2026-08-13T00:00:00"/>
    <d v="2029-08-13T00:00:00"/>
    <s v="D"/>
    <n v="0.35"/>
    <m/>
    <n v="0"/>
    <n v="0"/>
  </r>
  <r>
    <n v="488185414"/>
    <s v="CTRY"/>
    <x v="0"/>
    <x v="0"/>
    <n v="1111"/>
    <s v="220"/>
    <x v="10"/>
    <s v="EXPORT ECONOMY"/>
    <x v="1"/>
    <x v="0"/>
    <d v="2026-08-13T00:00:00"/>
    <d v="2029-08-13T00:00:00"/>
    <s v="D"/>
    <n v="0.25"/>
    <m/>
    <n v="0"/>
    <n v="0"/>
  </r>
  <r>
    <n v="488185414"/>
    <s v="CTRY"/>
    <x v="0"/>
    <x v="0"/>
    <n v="1111"/>
    <s v="220"/>
    <x v="10"/>
    <s v="EXPT PDDF"/>
    <x v="2"/>
    <x v="0"/>
    <d v="2026-08-13T00:00:00"/>
    <d v="2029-08-13T00:00:00"/>
    <s v="D"/>
    <n v="0.25"/>
    <m/>
    <n v="0"/>
    <n v="0"/>
  </r>
  <r>
    <n v="488185414"/>
    <s v="CTRY"/>
    <x v="0"/>
    <x v="0"/>
    <n v="1252"/>
    <s v="259"/>
    <x v="11"/>
    <s v="STANDARD OVERNIGHT"/>
    <x v="0"/>
    <x v="0"/>
    <d v="2026-08-13T00:00:00"/>
    <d v="2029-08-13T00:00:00"/>
    <s v="D"/>
    <n v="0.25"/>
    <m/>
    <n v="0"/>
    <n v="0"/>
  </r>
  <r>
    <n v="488185414"/>
    <s v="CTRY"/>
    <x v="0"/>
    <x v="0"/>
    <n v="1253"/>
    <s v="260"/>
    <x v="12"/>
    <s v="STANDARD OVERNIGHT"/>
    <x v="0"/>
    <x v="0"/>
    <d v="2026-08-13T00:00:00"/>
    <d v="2029-08-13T00:00:00"/>
    <s v="D"/>
    <n v="0.25"/>
    <m/>
    <n v="0"/>
    <n v="0"/>
  </r>
  <r>
    <n v="488185414"/>
    <s v="CTRY"/>
    <x v="0"/>
    <x v="0"/>
    <n v="1259"/>
    <s v="268"/>
    <x v="13"/>
    <s v="EXPORT ECONOMY"/>
    <x v="1"/>
    <x v="0"/>
    <d v="2026-08-13T00:00:00"/>
    <d v="2029-08-13T00:00:00"/>
    <s v="D"/>
    <n v="0.35"/>
    <m/>
    <n v="0"/>
    <n v="0"/>
  </r>
  <r>
    <n v="488185414"/>
    <s v="CTRY"/>
    <x v="0"/>
    <x v="0"/>
    <n v="1259"/>
    <s v="268"/>
    <x v="13"/>
    <s v="EXPT PDDF"/>
    <x v="2"/>
    <x v="0"/>
    <d v="2026-08-13T00:00:00"/>
    <d v="2029-08-13T00:00:00"/>
    <s v="D"/>
    <n v="0.35"/>
    <m/>
    <n v="0"/>
    <n v="0"/>
  </r>
  <r>
    <n v="488185414"/>
    <s v="CTRY"/>
    <x v="0"/>
    <x v="0"/>
    <n v="1273"/>
    <s v="279"/>
    <x v="14"/>
    <s v="IMPORT ECONOMY"/>
    <x v="3"/>
    <x v="0"/>
    <d v="2026-08-13T00:00:00"/>
    <d v="2029-08-13T00:00:00"/>
    <s v="D"/>
    <n v="0.5"/>
    <m/>
    <n v="0"/>
    <n v="0"/>
  </r>
  <r>
    <n v="488185414"/>
    <s v="CTRY"/>
    <x v="0"/>
    <x v="0"/>
    <n v="1273"/>
    <s v="279"/>
    <x v="14"/>
    <s v="STANDARD OVERNIGHT"/>
    <x v="0"/>
    <x v="0"/>
    <d v="2026-08-13T00:00:00"/>
    <d v="2029-08-13T00:00:00"/>
    <s v="D"/>
    <n v="0.5"/>
    <m/>
    <n v="0"/>
    <n v="0"/>
  </r>
  <r>
    <n v="488185414"/>
    <s v="CTRY"/>
    <x v="0"/>
    <x v="0"/>
    <n v="1275"/>
    <s v="281"/>
    <x v="15"/>
    <s v="IMPORT ECONOMY"/>
    <x v="3"/>
    <x v="0"/>
    <d v="2026-08-13T00:00:00"/>
    <d v="2029-08-13T00:00:00"/>
    <s v="D"/>
    <n v="0.5"/>
    <m/>
    <n v="0"/>
    <n v="0"/>
  </r>
  <r>
    <n v="488185414"/>
    <s v="CTRY"/>
    <x v="0"/>
    <x v="0"/>
    <n v="1275"/>
    <s v="281"/>
    <x v="15"/>
    <s v="STANDARD OVERNIGHT"/>
    <x v="0"/>
    <x v="0"/>
    <d v="2026-08-13T00:00:00"/>
    <d v="2029-08-13T00:00:00"/>
    <s v="D"/>
    <n v="0.5"/>
    <m/>
    <n v="0"/>
    <n v="0"/>
  </r>
  <r>
    <n v="488185414"/>
    <s v="CTRY"/>
    <x v="0"/>
    <x v="1"/>
    <n v="2005"/>
    <s v="AHS_DIM"/>
    <x v="16"/>
    <s v="Continental US - Ground"/>
    <x v="4"/>
    <x v="0"/>
    <d v="2026-08-13T00:00:00"/>
    <d v="2029-08-13T00:00:00"/>
    <s v="D"/>
    <n v="0.75"/>
    <m/>
    <n v="0"/>
    <n v="0"/>
  </r>
  <r>
    <n v="488185414"/>
    <s v="CTRY"/>
    <x v="0"/>
    <x v="1"/>
    <n v="2005"/>
    <s v="AHS_DIM"/>
    <x v="16"/>
    <s v="Continental US - Home Delivery"/>
    <x v="5"/>
    <x v="0"/>
    <d v="2026-08-13T00:00:00"/>
    <d v="2029-08-13T00:00:00"/>
    <s v="D"/>
    <n v="0.75"/>
    <m/>
    <n v="0"/>
    <n v="0"/>
  </r>
  <r>
    <n v="488185414"/>
    <s v="CTRY"/>
    <x v="0"/>
    <x v="1"/>
    <n v="2005"/>
    <s v="AHS_DIM"/>
    <x v="16"/>
    <s v="International Service - US to CA"/>
    <x v="6"/>
    <x v="0"/>
    <d v="2026-08-13T00:00:00"/>
    <d v="2029-08-13T00:00:00"/>
    <s v="D"/>
    <n v="0.35"/>
    <m/>
    <n v="0"/>
    <n v="0"/>
  </r>
  <r>
    <n v="488185414"/>
    <s v="CTRY"/>
    <x v="0"/>
    <x v="1"/>
    <n v="2006"/>
    <s v="AHS_WGT"/>
    <x v="17"/>
    <s v="Continental US - Ground"/>
    <x v="4"/>
    <x v="0"/>
    <d v="2026-08-13T00:00:00"/>
    <d v="2029-08-13T00:00:00"/>
    <s v="D"/>
    <n v="0.5"/>
    <m/>
    <n v="0"/>
    <n v="0"/>
  </r>
  <r>
    <n v="488185414"/>
    <s v="CTRY"/>
    <x v="0"/>
    <x v="1"/>
    <n v="2006"/>
    <s v="AHS_WGT"/>
    <x v="17"/>
    <s v="Continental US - Home Delivery"/>
    <x v="5"/>
    <x v="0"/>
    <d v="2026-08-13T00:00:00"/>
    <d v="2029-08-13T00:00:00"/>
    <s v="D"/>
    <n v="0.5"/>
    <m/>
    <n v="0"/>
    <n v="0"/>
  </r>
  <r>
    <n v="488185414"/>
    <s v="CTRY"/>
    <x v="0"/>
    <x v="1"/>
    <n v="2044"/>
    <s v="FHDRES1"/>
    <x v="18"/>
    <s v="Continental US - Home Delivery"/>
    <x v="5"/>
    <x v="0"/>
    <d v="2026-08-13T00:00:00"/>
    <d v="2029-08-13T00:00:00"/>
    <s v="D"/>
    <n v="0.5"/>
    <m/>
    <n v="0"/>
    <n v="0"/>
  </r>
  <r>
    <n v="488185414"/>
    <s v="CTRY"/>
    <x v="0"/>
    <x v="1"/>
    <n v="2046"/>
    <s v="FHDRES2"/>
    <x v="19"/>
    <s v="Continental US - Home Delivery"/>
    <x v="5"/>
    <x v="0"/>
    <d v="2026-08-13T00:00:00"/>
    <d v="2029-08-13T00:00:00"/>
    <s v="D"/>
    <n v="0.5"/>
    <m/>
    <n v="0"/>
    <n v="0"/>
  </r>
  <r>
    <n v="488185414"/>
    <s v="CTRY"/>
    <x v="0"/>
    <x v="1"/>
    <n v="2056"/>
    <s v="GRDCOM1"/>
    <x v="20"/>
    <s v="Continental US - Ground"/>
    <x v="4"/>
    <x v="0"/>
    <d v="2026-08-13T00:00:00"/>
    <d v="2029-08-13T00:00:00"/>
    <s v="D"/>
    <n v="0.5"/>
    <m/>
    <n v="0"/>
    <n v="0"/>
  </r>
  <r>
    <n v="488185414"/>
    <s v="CTRY"/>
    <x v="0"/>
    <x v="1"/>
    <n v="2056"/>
    <s v="GRDCOM1"/>
    <x v="20"/>
    <s v="Continental US - Home Delivery"/>
    <x v="5"/>
    <x v="0"/>
    <d v="2026-08-13T00:00:00"/>
    <d v="2029-08-13T00:00:00"/>
    <s v="D"/>
    <n v="0.5"/>
    <m/>
    <n v="0"/>
    <n v="0"/>
  </r>
  <r>
    <n v="488185414"/>
    <s v="CTRY"/>
    <x v="0"/>
    <x v="1"/>
    <n v="2056"/>
    <s v="GRDCOM1"/>
    <x v="20"/>
    <s v="International Service - US to CA"/>
    <x v="6"/>
    <x v="0"/>
    <d v="2026-08-13T00:00:00"/>
    <d v="2029-08-13T00:00:00"/>
    <s v="D"/>
    <n v="0.5"/>
    <m/>
    <n v="0"/>
    <n v="0"/>
  </r>
  <r>
    <n v="488185414"/>
    <s v="CTRY"/>
    <x v="0"/>
    <x v="1"/>
    <n v="2058"/>
    <s v="GRDCOM2"/>
    <x v="21"/>
    <s v="Continental US - Ground"/>
    <x v="4"/>
    <x v="0"/>
    <d v="2026-08-13T00:00:00"/>
    <d v="2029-08-13T00:00:00"/>
    <s v="D"/>
    <n v="0.5"/>
    <m/>
    <n v="0"/>
    <n v="0"/>
  </r>
  <r>
    <n v="488185414"/>
    <s v="CTRY"/>
    <x v="0"/>
    <x v="1"/>
    <n v="2058"/>
    <s v="GRDCOM2"/>
    <x v="21"/>
    <s v="Continental US - Home Delivery"/>
    <x v="5"/>
    <x v="0"/>
    <d v="2026-08-13T00:00:00"/>
    <d v="2029-08-13T00:00:00"/>
    <s v="D"/>
    <n v="0.5"/>
    <m/>
    <n v="0"/>
    <n v="0"/>
  </r>
  <r>
    <n v="488185414"/>
    <s v="CTRY"/>
    <x v="0"/>
    <x v="1"/>
    <n v="2058"/>
    <s v="GRDCOM2"/>
    <x v="21"/>
    <s v="International Service - US to CA"/>
    <x v="6"/>
    <x v="0"/>
    <d v="2026-08-13T00:00:00"/>
    <d v="2029-08-13T00:00:00"/>
    <s v="D"/>
    <n v="0.5"/>
    <m/>
    <n v="0"/>
    <n v="0"/>
  </r>
  <r>
    <n v="488185414"/>
    <s v="CTRY"/>
    <x v="0"/>
    <x v="1"/>
    <n v="2109"/>
    <s v="OVERSIZED"/>
    <x v="22"/>
    <s v="Continental US - Ground"/>
    <x v="4"/>
    <x v="0"/>
    <d v="2026-08-13T00:00:00"/>
    <d v="2029-08-13T00:00:00"/>
    <s v="D"/>
    <n v="0.75029999999999997"/>
    <m/>
    <n v="0"/>
    <n v="0"/>
  </r>
  <r>
    <n v="488185414"/>
    <s v="CTRY"/>
    <x v="0"/>
    <x v="1"/>
    <n v="2109"/>
    <s v="OVERSIZED"/>
    <x v="22"/>
    <s v="Continental US - Home Delivery"/>
    <x v="5"/>
    <x v="0"/>
    <d v="2026-08-13T00:00:00"/>
    <d v="2029-08-13T00:00:00"/>
    <s v="D"/>
    <n v="0.75029999999999997"/>
    <m/>
    <n v="0"/>
    <n v="0"/>
  </r>
  <r>
    <n v="488185414"/>
    <s v="CTRY"/>
    <x v="0"/>
    <x v="1"/>
    <n v="2109"/>
    <s v="OVERSIZED"/>
    <x v="22"/>
    <s v="International Service - US to CA"/>
    <x v="6"/>
    <x v="0"/>
    <d v="2026-08-13T00:00:00"/>
    <d v="2029-08-13T00:00:00"/>
    <s v="D"/>
    <n v="0.35"/>
    <m/>
    <n v="0"/>
    <n v="0"/>
  </r>
  <r>
    <n v="488185414"/>
    <s v="CTRY"/>
    <x v="0"/>
    <x v="1"/>
    <n v="2115"/>
    <s v="RESIDENT"/>
    <x v="23"/>
    <s v="Continental US - Home Delivery"/>
    <x v="5"/>
    <x v="0"/>
    <d v="2026-08-13T00:00:00"/>
    <d v="2029-08-13T00:00:00"/>
    <s v="D"/>
    <n v="0.5"/>
    <m/>
    <n v="0"/>
    <n v="0"/>
  </r>
  <r>
    <n v="488185414"/>
    <s v="CTRY"/>
    <x v="0"/>
    <x v="1"/>
    <n v="2128"/>
    <s v="SPEC_PKG"/>
    <x v="24"/>
    <s v="Continental US - Ground"/>
    <x v="4"/>
    <x v="0"/>
    <d v="2026-08-13T00:00:00"/>
    <d v="2029-08-13T00:00:00"/>
    <s v="D"/>
    <n v="0.75"/>
    <m/>
    <n v="0"/>
    <n v="0"/>
  </r>
  <r>
    <n v="488185414"/>
    <s v="CTRY"/>
    <x v="0"/>
    <x v="1"/>
    <n v="2128"/>
    <s v="SPEC_PKG"/>
    <x v="24"/>
    <s v="Continental US - Home Delivery"/>
    <x v="5"/>
    <x v="0"/>
    <d v="2026-08-13T00:00:00"/>
    <d v="2029-08-13T00:00:00"/>
    <s v="D"/>
    <n v="0.75"/>
    <m/>
    <n v="0"/>
    <n v="0"/>
  </r>
  <r>
    <n v="488185414"/>
    <s v="CTRY"/>
    <x v="0"/>
    <x v="1"/>
    <n v="2219"/>
    <s v="PEAK"/>
    <x v="25"/>
    <s v="Continental US - Ground"/>
    <x v="4"/>
    <x v="0"/>
    <d v="2026-08-13T00:00:00"/>
    <d v="2029-08-13T00:00:00"/>
    <s v="D"/>
    <n v="0.5"/>
    <m/>
    <n v="0"/>
    <n v="0"/>
  </r>
  <r>
    <n v="488185414"/>
    <s v="CTRY"/>
    <x v="0"/>
    <x v="1"/>
    <n v="2219"/>
    <s v="PEAK"/>
    <x v="25"/>
    <s v="Continental US - Home Delivery"/>
    <x v="5"/>
    <x v="0"/>
    <d v="2026-08-13T00:00:00"/>
    <d v="2029-08-13T00:00:00"/>
    <s v="D"/>
    <n v="0.5"/>
    <m/>
    <n v="0"/>
    <n v="0"/>
  </r>
  <r>
    <n v="488185414"/>
    <s v="CTRY"/>
    <x v="0"/>
    <x v="1"/>
    <n v="2221"/>
    <s v="PEAKAHS"/>
    <x v="11"/>
    <s v="Continental US - Ground"/>
    <x v="4"/>
    <x v="0"/>
    <d v="2026-08-13T00:00:00"/>
    <d v="2029-08-13T00:00:00"/>
    <s v="D"/>
    <n v="0.5"/>
    <m/>
    <n v="0"/>
    <n v="0"/>
  </r>
  <r>
    <n v="488185414"/>
    <s v="CTRY"/>
    <x v="0"/>
    <x v="1"/>
    <n v="2221"/>
    <s v="PEAKAHS"/>
    <x v="11"/>
    <s v="Continental US - Home Delivery"/>
    <x v="5"/>
    <x v="0"/>
    <d v="2026-08-13T00:00:00"/>
    <d v="2029-08-13T00:00:00"/>
    <s v="D"/>
    <n v="0.5"/>
    <m/>
    <n v="0"/>
    <n v="0"/>
  </r>
  <r>
    <n v="488185414"/>
    <s v="CTRY"/>
    <x v="0"/>
    <x v="1"/>
    <n v="2222"/>
    <s v="PEAKOVR"/>
    <x v="12"/>
    <s v="Continental US - Ground"/>
    <x v="4"/>
    <x v="0"/>
    <d v="2026-08-13T00:00:00"/>
    <d v="2029-08-13T00:00:00"/>
    <s v="D"/>
    <n v="0.55000000000000004"/>
    <m/>
    <n v="0"/>
    <n v="0"/>
  </r>
  <r>
    <n v="488185414"/>
    <s v="CTRY"/>
    <x v="0"/>
    <x v="1"/>
    <n v="2222"/>
    <s v="PEAKOVR"/>
    <x v="12"/>
    <s v="Continental US - Home Delivery"/>
    <x v="5"/>
    <x v="0"/>
    <d v="2026-08-13T00:00:00"/>
    <d v="2029-08-13T00:00:00"/>
    <s v="D"/>
    <n v="0.55000000000000004"/>
    <m/>
    <n v="0"/>
    <n v="0"/>
  </r>
  <r>
    <n v="488185414"/>
    <s v="CTRY"/>
    <x v="0"/>
    <x v="1"/>
    <n v="2230"/>
    <s v="GRDCOM6"/>
    <x v="15"/>
    <s v="Continental US - Ground"/>
    <x v="4"/>
    <x v="0"/>
    <d v="2026-08-13T00:00:00"/>
    <d v="2029-08-13T00:00:00"/>
    <s v="D"/>
    <n v="0.5"/>
    <m/>
    <n v="0"/>
    <n v="0"/>
  </r>
  <r>
    <n v="488185414"/>
    <s v="CTRY"/>
    <x v="0"/>
    <x v="1"/>
    <n v="2230"/>
    <s v="GRDCOM6"/>
    <x v="15"/>
    <s v="Continental US - Home Delivery"/>
    <x v="5"/>
    <x v="0"/>
    <d v="2026-08-13T00:00:00"/>
    <d v="2029-08-13T00:00:00"/>
    <s v="D"/>
    <n v="0.5"/>
    <m/>
    <n v="0"/>
    <n v="0"/>
  </r>
  <r>
    <n v="488185414"/>
    <s v="CTRY"/>
    <x v="0"/>
    <x v="1"/>
    <n v="2230"/>
    <s v="GRDCOM6"/>
    <x v="15"/>
    <s v="International Service - US to CA"/>
    <x v="6"/>
    <x v="0"/>
    <d v="2026-08-13T00:00:00"/>
    <d v="2029-08-13T00:00:00"/>
    <s v="D"/>
    <n v="0.5"/>
    <m/>
    <n v="0"/>
    <n v="0"/>
  </r>
  <r>
    <n v="488185414"/>
    <s v="CTRY"/>
    <x v="0"/>
    <x v="1"/>
    <n v="2232"/>
    <s v="FHDRES6"/>
    <x v="26"/>
    <s v="Continental US - Home Delivery"/>
    <x v="5"/>
    <x v="0"/>
    <d v="2026-08-13T00:00:00"/>
    <d v="2029-08-13T00:00:00"/>
    <s v="D"/>
    <n v="0.5"/>
    <m/>
    <n v="0"/>
    <n v="0"/>
  </r>
  <r>
    <n v="488185414"/>
    <s v="CTRY"/>
    <x v="1"/>
    <x v="0"/>
    <n v="1032"/>
    <s v="128"/>
    <x v="0"/>
    <s v="STANDARD OVERNIGHT"/>
    <x v="0"/>
    <x v="0"/>
    <d v="2026-08-13T00:00:00"/>
    <d v="2029-08-13T00:00:00"/>
    <s v="D"/>
    <n v="0.5"/>
    <m/>
    <n v="0"/>
    <n v="0"/>
  </r>
  <r>
    <n v="488185414"/>
    <s v="CTRY"/>
    <x v="1"/>
    <x v="0"/>
    <n v="1035"/>
    <s v="029"/>
    <x v="1"/>
    <s v="STANDARD OVERNIGHT"/>
    <x v="0"/>
    <x v="0"/>
    <d v="2026-08-13T00:00:00"/>
    <d v="2029-08-13T00:00:00"/>
    <s v="D"/>
    <n v="0.5"/>
    <m/>
    <n v="0"/>
    <n v="0"/>
  </r>
  <r>
    <n v="488185414"/>
    <s v="CTRY"/>
    <x v="1"/>
    <x v="0"/>
    <n v="1084"/>
    <s v="180"/>
    <x v="2"/>
    <s v="STANDARD OVERNIGHT"/>
    <x v="0"/>
    <x v="0"/>
    <d v="2026-08-13T00:00:00"/>
    <d v="2029-08-13T00:00:00"/>
    <s v="D"/>
    <n v="0.5"/>
    <m/>
    <n v="0"/>
    <n v="0"/>
  </r>
  <r>
    <n v="488185414"/>
    <s v="CTRY"/>
    <x v="1"/>
    <x v="0"/>
    <n v="1086"/>
    <s v="182"/>
    <x v="3"/>
    <s v="STANDARD OVERNIGHT"/>
    <x v="0"/>
    <x v="0"/>
    <d v="2026-08-13T00:00:00"/>
    <d v="2029-08-13T00:00:00"/>
    <s v="D"/>
    <n v="0.5"/>
    <m/>
    <n v="0"/>
    <n v="0"/>
  </r>
  <r>
    <n v="488185414"/>
    <s v="CTRY"/>
    <x v="1"/>
    <x v="0"/>
    <n v="1094"/>
    <s v="190"/>
    <x v="4"/>
    <s v="STANDARD OVERNIGHT"/>
    <x v="0"/>
    <x v="0"/>
    <d v="2026-08-13T00:00:00"/>
    <d v="2029-08-13T00:00:00"/>
    <s v="D"/>
    <n v="0.5"/>
    <m/>
    <n v="0"/>
    <n v="0"/>
  </r>
  <r>
    <n v="488185414"/>
    <s v="CTRY"/>
    <x v="1"/>
    <x v="0"/>
    <n v="1096"/>
    <s v="192"/>
    <x v="5"/>
    <s v="STANDARD OVERNIGHT"/>
    <x v="0"/>
    <x v="0"/>
    <d v="2026-08-13T00:00:00"/>
    <d v="2029-08-13T00:00:00"/>
    <s v="D"/>
    <n v="0.5"/>
    <m/>
    <n v="0"/>
    <n v="0"/>
  </r>
  <r>
    <n v="488185414"/>
    <s v="CTRY"/>
    <x v="1"/>
    <x v="0"/>
    <n v="1104"/>
    <s v="052"/>
    <x v="6"/>
    <s v="STANDARD OVERNIGHT"/>
    <x v="0"/>
    <x v="0"/>
    <d v="2026-08-13T00:00:00"/>
    <d v="2029-08-13T00:00:00"/>
    <s v="D"/>
    <n v="0.5"/>
    <m/>
    <n v="0"/>
    <n v="0"/>
  </r>
  <r>
    <n v="488185414"/>
    <s v="CTRY"/>
    <x v="1"/>
    <x v="0"/>
    <n v="1105"/>
    <s v="163"/>
    <x v="7"/>
    <s v="STANDARD OVERNIGHT"/>
    <x v="0"/>
    <x v="0"/>
    <d v="2026-08-13T00:00:00"/>
    <d v="2029-08-13T00:00:00"/>
    <s v="D"/>
    <n v="0.55000000000000004"/>
    <m/>
    <n v="0"/>
    <n v="0"/>
  </r>
  <r>
    <n v="488185414"/>
    <s v="CTRY"/>
    <x v="1"/>
    <x v="0"/>
    <n v="1106"/>
    <s v="164"/>
    <x v="8"/>
    <s v="STANDARD OVERNIGHT"/>
    <x v="0"/>
    <x v="0"/>
    <d v="2026-08-13T00:00:00"/>
    <d v="2029-08-13T00:00:00"/>
    <s v="D"/>
    <n v="0.5"/>
    <m/>
    <n v="0"/>
    <n v="0"/>
  </r>
  <r>
    <n v="488185414"/>
    <s v="CTRY"/>
    <x v="1"/>
    <x v="0"/>
    <n v="1109"/>
    <s v="217"/>
    <x v="9"/>
    <s v="EXPORT ECONOMY"/>
    <x v="1"/>
    <x v="0"/>
    <d v="2026-08-13T00:00:00"/>
    <d v="2029-08-13T00:00:00"/>
    <s v="D"/>
    <n v="0.35"/>
    <m/>
    <n v="0"/>
    <n v="0"/>
  </r>
  <r>
    <n v="488185414"/>
    <s v="CTRY"/>
    <x v="1"/>
    <x v="0"/>
    <n v="1109"/>
    <s v="217"/>
    <x v="9"/>
    <s v="EXPT PDDF"/>
    <x v="2"/>
    <x v="0"/>
    <d v="2026-08-13T00:00:00"/>
    <d v="2029-08-13T00:00:00"/>
    <s v="D"/>
    <n v="0.35"/>
    <m/>
    <n v="0"/>
    <n v="0"/>
  </r>
  <r>
    <n v="488185414"/>
    <s v="CTRY"/>
    <x v="1"/>
    <x v="0"/>
    <n v="1111"/>
    <s v="220"/>
    <x v="10"/>
    <s v="EXPORT ECONOMY"/>
    <x v="1"/>
    <x v="0"/>
    <d v="2026-08-13T00:00:00"/>
    <d v="2029-08-13T00:00:00"/>
    <s v="D"/>
    <n v="0.25"/>
    <m/>
    <n v="0"/>
    <n v="0"/>
  </r>
  <r>
    <n v="488185414"/>
    <s v="CTRY"/>
    <x v="1"/>
    <x v="0"/>
    <n v="1111"/>
    <s v="220"/>
    <x v="10"/>
    <s v="EXPT PDDF"/>
    <x v="2"/>
    <x v="0"/>
    <d v="2026-08-13T00:00:00"/>
    <d v="2029-08-13T00:00:00"/>
    <s v="D"/>
    <n v="0.25"/>
    <m/>
    <n v="0"/>
    <n v="0"/>
  </r>
  <r>
    <n v="488185414"/>
    <s v="CTRY"/>
    <x v="1"/>
    <x v="0"/>
    <n v="1252"/>
    <s v="259"/>
    <x v="11"/>
    <s v="STANDARD OVERNIGHT"/>
    <x v="0"/>
    <x v="0"/>
    <d v="2026-08-13T00:00:00"/>
    <d v="2029-08-13T00:00:00"/>
    <s v="D"/>
    <n v="0.25"/>
    <m/>
    <n v="0"/>
    <n v="0"/>
  </r>
  <r>
    <n v="488185414"/>
    <s v="CTRY"/>
    <x v="1"/>
    <x v="0"/>
    <n v="1253"/>
    <s v="260"/>
    <x v="12"/>
    <s v="STANDARD OVERNIGHT"/>
    <x v="0"/>
    <x v="0"/>
    <d v="2026-08-13T00:00:00"/>
    <d v="2029-08-13T00:00:00"/>
    <s v="D"/>
    <n v="0.25"/>
    <m/>
    <n v="0"/>
    <n v="0"/>
  </r>
  <r>
    <n v="488185414"/>
    <s v="CTRY"/>
    <x v="1"/>
    <x v="0"/>
    <n v="1259"/>
    <s v="268"/>
    <x v="13"/>
    <s v="EXPORT ECONOMY"/>
    <x v="1"/>
    <x v="0"/>
    <d v="2026-08-13T00:00:00"/>
    <d v="2029-08-13T00:00:00"/>
    <s v="D"/>
    <n v="0.35"/>
    <m/>
    <n v="0"/>
    <n v="0"/>
  </r>
  <r>
    <n v="488185414"/>
    <s v="CTRY"/>
    <x v="1"/>
    <x v="0"/>
    <n v="1259"/>
    <s v="268"/>
    <x v="13"/>
    <s v="EXPT PDDF"/>
    <x v="2"/>
    <x v="0"/>
    <d v="2026-08-13T00:00:00"/>
    <d v="2029-08-13T00:00:00"/>
    <s v="D"/>
    <n v="0.35"/>
    <m/>
    <n v="0"/>
    <n v="0"/>
  </r>
  <r>
    <n v="488185414"/>
    <s v="CTRY"/>
    <x v="1"/>
    <x v="0"/>
    <n v="1273"/>
    <s v="279"/>
    <x v="14"/>
    <s v="IMPORT ECONOMY"/>
    <x v="3"/>
    <x v="0"/>
    <d v="2026-08-13T00:00:00"/>
    <d v="2029-08-13T00:00:00"/>
    <s v="D"/>
    <n v="0.5"/>
    <m/>
    <n v="0"/>
    <n v="0"/>
  </r>
  <r>
    <n v="488185414"/>
    <s v="CTRY"/>
    <x v="1"/>
    <x v="0"/>
    <n v="1273"/>
    <s v="279"/>
    <x v="14"/>
    <s v="STANDARD OVERNIGHT"/>
    <x v="0"/>
    <x v="0"/>
    <d v="2026-08-13T00:00:00"/>
    <d v="2029-08-13T00:00:00"/>
    <s v="D"/>
    <n v="0.5"/>
    <m/>
    <n v="0"/>
    <n v="0"/>
  </r>
  <r>
    <n v="488185414"/>
    <s v="CTRY"/>
    <x v="1"/>
    <x v="0"/>
    <n v="1275"/>
    <s v="281"/>
    <x v="15"/>
    <s v="IMPORT ECONOMY"/>
    <x v="3"/>
    <x v="0"/>
    <d v="2026-08-13T00:00:00"/>
    <d v="2029-08-13T00:00:00"/>
    <s v="D"/>
    <n v="0.5"/>
    <m/>
    <n v="0"/>
    <n v="0"/>
  </r>
  <r>
    <n v="488185414"/>
    <s v="CTRY"/>
    <x v="1"/>
    <x v="0"/>
    <n v="1275"/>
    <s v="281"/>
    <x v="15"/>
    <s v="STANDARD OVERNIGHT"/>
    <x v="0"/>
    <x v="0"/>
    <d v="2026-08-13T00:00:00"/>
    <d v="2029-08-13T00:00:00"/>
    <s v="D"/>
    <n v="0.5"/>
    <m/>
    <n v="0"/>
    <n v="0"/>
  </r>
  <r>
    <n v="488185414"/>
    <s v="CTRY"/>
    <x v="1"/>
    <x v="1"/>
    <n v="2005"/>
    <s v="AHS_DIM"/>
    <x v="16"/>
    <s v="Continental US - Ground"/>
    <x v="4"/>
    <x v="0"/>
    <d v="2026-08-13T00:00:00"/>
    <d v="2029-08-13T00:00:00"/>
    <s v="D"/>
    <n v="0.75"/>
    <m/>
    <n v="0"/>
    <n v="0"/>
  </r>
  <r>
    <n v="488185414"/>
    <s v="CTRY"/>
    <x v="1"/>
    <x v="1"/>
    <n v="2005"/>
    <s v="AHS_DIM"/>
    <x v="16"/>
    <s v="Continental US - Home Delivery"/>
    <x v="5"/>
    <x v="0"/>
    <d v="2026-08-13T00:00:00"/>
    <d v="2029-08-13T00:00:00"/>
    <s v="D"/>
    <n v="0.75"/>
    <m/>
    <n v="0"/>
    <n v="0"/>
  </r>
  <r>
    <n v="488185414"/>
    <s v="CTRY"/>
    <x v="1"/>
    <x v="1"/>
    <n v="2005"/>
    <s v="AHS_DIM"/>
    <x v="16"/>
    <s v="International Service - US to CA"/>
    <x v="6"/>
    <x v="0"/>
    <d v="2026-08-13T00:00:00"/>
    <d v="2029-08-13T00:00:00"/>
    <s v="D"/>
    <n v="0.35"/>
    <m/>
    <n v="0"/>
    <n v="0"/>
  </r>
  <r>
    <n v="488185414"/>
    <s v="CTRY"/>
    <x v="1"/>
    <x v="1"/>
    <n v="2006"/>
    <s v="AHS_WGT"/>
    <x v="17"/>
    <s v="Continental US - Ground"/>
    <x v="4"/>
    <x v="0"/>
    <d v="2026-08-13T00:00:00"/>
    <d v="2029-08-13T00:00:00"/>
    <s v="D"/>
    <n v="0.5"/>
    <m/>
    <n v="0"/>
    <n v="0"/>
  </r>
  <r>
    <n v="488185414"/>
    <s v="CTRY"/>
    <x v="1"/>
    <x v="1"/>
    <n v="2006"/>
    <s v="AHS_WGT"/>
    <x v="17"/>
    <s v="Continental US - Home Delivery"/>
    <x v="5"/>
    <x v="0"/>
    <d v="2026-08-13T00:00:00"/>
    <d v="2029-08-13T00:00:00"/>
    <s v="D"/>
    <n v="0.5"/>
    <m/>
    <n v="0"/>
    <n v="0"/>
  </r>
  <r>
    <n v="488185414"/>
    <s v="CTRY"/>
    <x v="1"/>
    <x v="1"/>
    <n v="2044"/>
    <s v="FHDRES1"/>
    <x v="18"/>
    <s v="Continental US - Home Delivery"/>
    <x v="5"/>
    <x v="0"/>
    <d v="2026-08-13T00:00:00"/>
    <d v="2029-08-13T00:00:00"/>
    <s v="D"/>
    <n v="0.5"/>
    <m/>
    <n v="0"/>
    <n v="0"/>
  </r>
  <r>
    <n v="488185414"/>
    <s v="CTRY"/>
    <x v="1"/>
    <x v="1"/>
    <n v="2046"/>
    <s v="FHDRES2"/>
    <x v="19"/>
    <s v="Continental US - Home Delivery"/>
    <x v="5"/>
    <x v="0"/>
    <d v="2026-08-13T00:00:00"/>
    <d v="2029-08-13T00:00:00"/>
    <s v="D"/>
    <n v="0.5"/>
    <m/>
    <n v="0"/>
    <n v="0"/>
  </r>
  <r>
    <n v="488185414"/>
    <s v="CTRY"/>
    <x v="1"/>
    <x v="1"/>
    <n v="2056"/>
    <s v="GRDCOM1"/>
    <x v="20"/>
    <s v="Continental US - Ground"/>
    <x v="4"/>
    <x v="0"/>
    <d v="2026-08-13T00:00:00"/>
    <d v="2029-08-13T00:00:00"/>
    <s v="D"/>
    <n v="0.5"/>
    <m/>
    <n v="0"/>
    <n v="0"/>
  </r>
  <r>
    <n v="488185414"/>
    <s v="CTRY"/>
    <x v="1"/>
    <x v="1"/>
    <n v="2056"/>
    <s v="GRDCOM1"/>
    <x v="20"/>
    <s v="Continental US - Home Delivery"/>
    <x v="5"/>
    <x v="0"/>
    <d v="2026-08-13T00:00:00"/>
    <d v="2029-08-13T00:00:00"/>
    <s v="D"/>
    <n v="0.5"/>
    <m/>
    <n v="0"/>
    <n v="0"/>
  </r>
  <r>
    <n v="488185414"/>
    <s v="CTRY"/>
    <x v="1"/>
    <x v="1"/>
    <n v="2056"/>
    <s v="GRDCOM1"/>
    <x v="20"/>
    <s v="International Service - US to CA"/>
    <x v="6"/>
    <x v="0"/>
    <d v="2026-08-13T00:00:00"/>
    <d v="2029-08-13T00:00:00"/>
    <s v="D"/>
    <n v="0.5"/>
    <m/>
    <n v="0"/>
    <n v="0"/>
  </r>
  <r>
    <n v="488185414"/>
    <s v="CTRY"/>
    <x v="1"/>
    <x v="1"/>
    <n v="2058"/>
    <s v="GRDCOM2"/>
    <x v="21"/>
    <s v="Continental US - Ground"/>
    <x v="4"/>
    <x v="0"/>
    <d v="2026-08-13T00:00:00"/>
    <d v="2029-08-13T00:00:00"/>
    <s v="D"/>
    <n v="0.5"/>
    <m/>
    <n v="0"/>
    <n v="0"/>
  </r>
  <r>
    <n v="488185414"/>
    <s v="CTRY"/>
    <x v="1"/>
    <x v="1"/>
    <n v="2058"/>
    <s v="GRDCOM2"/>
    <x v="21"/>
    <s v="Continental US - Home Delivery"/>
    <x v="5"/>
    <x v="0"/>
    <d v="2026-08-13T00:00:00"/>
    <d v="2029-08-13T00:00:00"/>
    <s v="D"/>
    <n v="0.5"/>
    <m/>
    <n v="0"/>
    <n v="0"/>
  </r>
  <r>
    <n v="488185414"/>
    <s v="CTRY"/>
    <x v="1"/>
    <x v="1"/>
    <n v="2058"/>
    <s v="GRDCOM2"/>
    <x v="21"/>
    <s v="International Service - US to CA"/>
    <x v="6"/>
    <x v="0"/>
    <d v="2026-08-13T00:00:00"/>
    <d v="2029-08-13T00:00:00"/>
    <s v="D"/>
    <n v="0.5"/>
    <m/>
    <n v="0"/>
    <n v="0"/>
  </r>
  <r>
    <n v="488185414"/>
    <s v="CTRY"/>
    <x v="1"/>
    <x v="1"/>
    <n v="2109"/>
    <s v="OVERSIZED"/>
    <x v="22"/>
    <s v="Continental US - Ground"/>
    <x v="4"/>
    <x v="0"/>
    <d v="2026-08-13T00:00:00"/>
    <d v="2029-08-13T00:00:00"/>
    <s v="D"/>
    <n v="0.75029999999999997"/>
    <m/>
    <n v="0"/>
    <n v="0"/>
  </r>
  <r>
    <n v="488185414"/>
    <s v="CTRY"/>
    <x v="1"/>
    <x v="1"/>
    <n v="2109"/>
    <s v="OVERSIZED"/>
    <x v="22"/>
    <s v="Continental US - Home Delivery"/>
    <x v="5"/>
    <x v="0"/>
    <d v="2026-08-13T00:00:00"/>
    <d v="2029-08-13T00:00:00"/>
    <s v="D"/>
    <n v="0.75029999999999997"/>
    <m/>
    <n v="0"/>
    <n v="0"/>
  </r>
  <r>
    <n v="488185414"/>
    <s v="CTRY"/>
    <x v="1"/>
    <x v="1"/>
    <n v="2109"/>
    <s v="OVERSIZED"/>
    <x v="22"/>
    <s v="International Service - US to CA"/>
    <x v="6"/>
    <x v="0"/>
    <d v="2026-08-13T00:00:00"/>
    <d v="2029-08-13T00:00:00"/>
    <s v="D"/>
    <n v="0.35"/>
    <m/>
    <n v="0"/>
    <n v="0"/>
  </r>
  <r>
    <n v="488185414"/>
    <s v="CTRY"/>
    <x v="1"/>
    <x v="1"/>
    <n v="2115"/>
    <s v="RESIDENT"/>
    <x v="23"/>
    <s v="Continental US - Home Delivery"/>
    <x v="5"/>
    <x v="0"/>
    <d v="2026-08-13T00:00:00"/>
    <d v="2029-08-13T00:00:00"/>
    <s v="D"/>
    <n v="0.5"/>
    <m/>
    <n v="0"/>
    <n v="0"/>
  </r>
  <r>
    <n v="488185414"/>
    <s v="CTRY"/>
    <x v="1"/>
    <x v="1"/>
    <n v="2128"/>
    <s v="SPEC_PKG"/>
    <x v="24"/>
    <s v="Continental US - Ground"/>
    <x v="4"/>
    <x v="0"/>
    <d v="2026-08-13T00:00:00"/>
    <d v="2029-08-13T00:00:00"/>
    <s v="D"/>
    <n v="0.75"/>
    <m/>
    <n v="0"/>
    <n v="0"/>
  </r>
  <r>
    <n v="488185414"/>
    <s v="CTRY"/>
    <x v="1"/>
    <x v="1"/>
    <n v="2128"/>
    <s v="SPEC_PKG"/>
    <x v="24"/>
    <s v="Continental US - Home Delivery"/>
    <x v="5"/>
    <x v="0"/>
    <d v="2026-08-13T00:00:00"/>
    <d v="2029-08-13T00:00:00"/>
    <s v="D"/>
    <n v="0.75"/>
    <m/>
    <n v="0"/>
    <n v="0"/>
  </r>
  <r>
    <n v="488185414"/>
    <s v="CTRY"/>
    <x v="1"/>
    <x v="1"/>
    <n v="2219"/>
    <s v="PEAK"/>
    <x v="25"/>
    <s v="Continental US - Ground"/>
    <x v="4"/>
    <x v="0"/>
    <d v="2026-08-13T00:00:00"/>
    <d v="2029-08-13T00:00:00"/>
    <s v="D"/>
    <n v="0.5"/>
    <m/>
    <n v="0"/>
    <n v="0"/>
  </r>
  <r>
    <n v="488185414"/>
    <s v="CTRY"/>
    <x v="1"/>
    <x v="1"/>
    <n v="2219"/>
    <s v="PEAK"/>
    <x v="25"/>
    <s v="Continental US - Home Delivery"/>
    <x v="5"/>
    <x v="0"/>
    <d v="2026-08-13T00:00:00"/>
    <d v="2029-08-13T00:00:00"/>
    <s v="D"/>
    <n v="0.5"/>
    <m/>
    <n v="0"/>
    <n v="0"/>
  </r>
  <r>
    <n v="488185414"/>
    <s v="CTRY"/>
    <x v="1"/>
    <x v="1"/>
    <n v="2221"/>
    <s v="PEAKAHS"/>
    <x v="11"/>
    <s v="Continental US - Ground"/>
    <x v="4"/>
    <x v="0"/>
    <d v="2026-08-13T00:00:00"/>
    <d v="2029-08-13T00:00:00"/>
    <s v="D"/>
    <n v="0.5"/>
    <m/>
    <n v="0"/>
    <n v="0"/>
  </r>
  <r>
    <n v="488185414"/>
    <s v="CTRY"/>
    <x v="1"/>
    <x v="1"/>
    <n v="2221"/>
    <s v="PEAKAHS"/>
    <x v="11"/>
    <s v="Continental US - Home Delivery"/>
    <x v="5"/>
    <x v="0"/>
    <d v="2026-08-13T00:00:00"/>
    <d v="2029-08-13T00:00:00"/>
    <s v="D"/>
    <n v="0.5"/>
    <m/>
    <n v="0"/>
    <n v="0"/>
  </r>
  <r>
    <n v="488185414"/>
    <s v="CTRY"/>
    <x v="1"/>
    <x v="1"/>
    <n v="2222"/>
    <s v="PEAKOVR"/>
    <x v="12"/>
    <s v="Continental US - Ground"/>
    <x v="4"/>
    <x v="0"/>
    <d v="2026-08-13T00:00:00"/>
    <d v="2029-08-13T00:00:00"/>
    <s v="D"/>
    <n v="0.55000000000000004"/>
    <m/>
    <n v="0"/>
    <n v="0"/>
  </r>
  <r>
    <n v="488185414"/>
    <s v="CTRY"/>
    <x v="1"/>
    <x v="1"/>
    <n v="2222"/>
    <s v="PEAKOVR"/>
    <x v="12"/>
    <s v="Continental US - Home Delivery"/>
    <x v="5"/>
    <x v="0"/>
    <d v="2026-08-13T00:00:00"/>
    <d v="2029-08-13T00:00:00"/>
    <s v="D"/>
    <n v="0.55000000000000004"/>
    <m/>
    <n v="0"/>
    <n v="0"/>
  </r>
  <r>
    <n v="488185414"/>
    <s v="CTRY"/>
    <x v="1"/>
    <x v="1"/>
    <n v="2230"/>
    <s v="GRDCOM6"/>
    <x v="15"/>
    <s v="Continental US - Ground"/>
    <x v="4"/>
    <x v="0"/>
    <d v="2026-08-13T00:00:00"/>
    <d v="2029-08-13T00:00:00"/>
    <s v="D"/>
    <n v="0.5"/>
    <m/>
    <n v="0"/>
    <n v="0"/>
  </r>
  <r>
    <n v="488185414"/>
    <s v="CTRY"/>
    <x v="1"/>
    <x v="1"/>
    <n v="2230"/>
    <s v="GRDCOM6"/>
    <x v="15"/>
    <s v="Continental US - Home Delivery"/>
    <x v="5"/>
    <x v="0"/>
    <d v="2026-08-13T00:00:00"/>
    <d v="2029-08-13T00:00:00"/>
    <s v="D"/>
    <n v="0.5"/>
    <m/>
    <n v="0"/>
    <n v="0"/>
  </r>
  <r>
    <n v="488185414"/>
    <s v="CTRY"/>
    <x v="1"/>
    <x v="1"/>
    <n v="2230"/>
    <s v="GRDCOM6"/>
    <x v="15"/>
    <s v="International Service - US to CA"/>
    <x v="6"/>
    <x v="0"/>
    <d v="2026-08-13T00:00:00"/>
    <d v="2029-08-13T00:00:00"/>
    <s v="D"/>
    <n v="0.5"/>
    <m/>
    <n v="0"/>
    <n v="0"/>
  </r>
  <r>
    <n v="488185414"/>
    <s v="CTRY"/>
    <x v="1"/>
    <x v="1"/>
    <n v="2232"/>
    <s v="FHDRES6"/>
    <x v="26"/>
    <s v="Continental US - Home Delivery"/>
    <x v="5"/>
    <x v="0"/>
    <d v="2026-08-13T00:00:00"/>
    <d v="2029-08-13T00:00:00"/>
    <s v="D"/>
    <n v="0.5"/>
    <m/>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7">
  <r>
    <x v="0"/>
    <x v="0"/>
    <x v="0"/>
    <x v="0"/>
    <x v="0"/>
    <x v="0"/>
    <n v="28"/>
    <m/>
    <n v="1.5"/>
    <m/>
    <n v="29.5"/>
    <m/>
    <n v="0"/>
    <n v="0"/>
    <n v="29.5"/>
    <m/>
    <n v="0"/>
    <m/>
    <n v="29.5"/>
    <m/>
    <n v="0"/>
    <n v="0"/>
    <n v="0"/>
    <n v="0"/>
  </r>
  <r>
    <x v="0"/>
    <x v="0"/>
    <x v="0"/>
    <x v="0"/>
    <x v="0"/>
    <x v="1"/>
    <n v="31"/>
    <m/>
    <n v="1.75"/>
    <m/>
    <n v="32.75"/>
    <m/>
    <n v="0"/>
    <n v="0"/>
    <n v="32.75"/>
    <m/>
    <n v="0"/>
    <m/>
    <n v="32.75"/>
    <m/>
    <n v="0"/>
    <n v="0"/>
    <n v="0"/>
    <n v="0"/>
  </r>
  <r>
    <x v="0"/>
    <x v="0"/>
    <x v="0"/>
    <x v="0"/>
    <x v="0"/>
    <x v="2"/>
    <n v="36"/>
    <m/>
    <n v="2.5"/>
    <m/>
    <n v="38.5"/>
    <m/>
    <n v="0"/>
    <n v="0"/>
    <n v="38.5"/>
    <m/>
    <n v="0"/>
    <m/>
    <n v="38.5"/>
    <m/>
    <n v="0"/>
    <n v="0"/>
    <n v="0"/>
    <n v="0"/>
  </r>
  <r>
    <x v="0"/>
    <x v="0"/>
    <x v="0"/>
    <x v="0"/>
    <x v="0"/>
    <x v="3"/>
    <n v="38"/>
    <m/>
    <n v="2.75"/>
    <m/>
    <n v="40.75"/>
    <m/>
    <n v="0"/>
    <n v="0"/>
    <n v="40.75"/>
    <m/>
    <n v="0"/>
    <m/>
    <n v="40.75"/>
    <m/>
    <n v="0"/>
    <n v="0"/>
    <n v="0"/>
    <n v="0"/>
  </r>
  <r>
    <x v="0"/>
    <x v="0"/>
    <x v="0"/>
    <x v="0"/>
    <x v="1"/>
    <x v="4"/>
    <n v="43.5"/>
    <m/>
    <n v="2.5"/>
    <m/>
    <n v="46"/>
    <m/>
    <n v="0"/>
    <n v="0"/>
    <n v="46"/>
    <m/>
    <n v="0"/>
    <m/>
    <n v="46"/>
    <m/>
    <n v="0"/>
    <n v="0"/>
    <n v="0"/>
    <n v="0"/>
  </r>
  <r>
    <x v="0"/>
    <x v="0"/>
    <x v="0"/>
    <x v="0"/>
    <x v="1"/>
    <x v="5"/>
    <n v="47.5"/>
    <m/>
    <n v="2.75"/>
    <m/>
    <n v="50.25"/>
    <m/>
    <n v="0"/>
    <n v="0"/>
    <n v="50.25"/>
    <m/>
    <n v="0"/>
    <m/>
    <n v="50.25"/>
    <m/>
    <n v="0"/>
    <n v="0"/>
    <n v="0"/>
    <n v="0"/>
  </r>
  <r>
    <x v="0"/>
    <x v="0"/>
    <x v="0"/>
    <x v="0"/>
    <x v="1"/>
    <x v="6"/>
    <n v="52.75"/>
    <m/>
    <n v="3.5"/>
    <m/>
    <n v="56.25"/>
    <m/>
    <n v="0"/>
    <n v="0"/>
    <n v="56.25"/>
    <m/>
    <n v="0"/>
    <m/>
    <n v="56.25"/>
    <m/>
    <n v="0"/>
    <n v="0"/>
    <n v="0"/>
    <n v="0"/>
  </r>
  <r>
    <x v="0"/>
    <x v="0"/>
    <x v="0"/>
    <x v="0"/>
    <x v="1"/>
    <x v="7"/>
    <n v="55"/>
    <m/>
    <n v="3.75"/>
    <m/>
    <n v="58.75"/>
    <m/>
    <n v="0"/>
    <n v="0"/>
    <n v="58.75"/>
    <m/>
    <n v="0"/>
    <m/>
    <n v="58.75"/>
    <m/>
    <n v="0"/>
    <n v="0"/>
    <n v="0"/>
    <n v="0"/>
  </r>
  <r>
    <x v="0"/>
    <x v="0"/>
    <x v="0"/>
    <x v="0"/>
    <x v="2"/>
    <x v="8"/>
    <n v="25"/>
    <m/>
    <n v="1.5"/>
    <m/>
    <n v="26.5"/>
    <m/>
    <n v="0"/>
    <n v="0"/>
    <n v="26.5"/>
    <m/>
    <n v="0"/>
    <m/>
    <n v="26.5"/>
    <m/>
    <n v="0"/>
    <n v="0"/>
    <n v="0"/>
    <n v="0"/>
  </r>
  <r>
    <x v="0"/>
    <x v="0"/>
    <x v="0"/>
    <x v="0"/>
    <x v="2"/>
    <x v="9"/>
    <n v="29"/>
    <m/>
    <n v="1.75"/>
    <m/>
    <n v="30.75"/>
    <m/>
    <n v="0"/>
    <n v="0"/>
    <n v="30.75"/>
    <m/>
    <n v="0"/>
    <m/>
    <n v="30.75"/>
    <m/>
    <n v="0"/>
    <n v="0"/>
    <n v="0"/>
    <n v="0"/>
  </r>
  <r>
    <x v="0"/>
    <x v="0"/>
    <x v="0"/>
    <x v="0"/>
    <x v="2"/>
    <x v="10"/>
    <n v="31"/>
    <m/>
    <n v="2"/>
    <m/>
    <n v="33"/>
    <m/>
    <n v="0"/>
    <n v="0"/>
    <n v="33"/>
    <m/>
    <n v="0"/>
    <m/>
    <n v="33"/>
    <m/>
    <n v="0"/>
    <n v="0"/>
    <n v="0"/>
    <n v="0"/>
  </r>
  <r>
    <x v="0"/>
    <x v="0"/>
    <x v="0"/>
    <x v="0"/>
    <x v="2"/>
    <x v="11"/>
    <n v="31.5"/>
    <m/>
    <n v="2.25"/>
    <m/>
    <n v="33.75"/>
    <m/>
    <n v="0"/>
    <n v="0"/>
    <n v="33.75"/>
    <m/>
    <n v="0"/>
    <m/>
    <n v="33.75"/>
    <m/>
    <n v="0"/>
    <n v="0"/>
    <n v="0"/>
    <n v="0"/>
  </r>
  <r>
    <x v="0"/>
    <x v="0"/>
    <x v="1"/>
    <x v="0"/>
    <x v="3"/>
    <x v="12"/>
    <n v="28"/>
    <m/>
    <n v="1.5"/>
    <m/>
    <n v="29.5"/>
    <m/>
    <n v="0"/>
    <n v="0"/>
    <n v="29.5"/>
    <m/>
    <n v="0"/>
    <m/>
    <n v="29.5"/>
    <m/>
    <n v="0"/>
    <n v="0"/>
    <n v="0"/>
    <n v="0"/>
  </r>
  <r>
    <x v="0"/>
    <x v="0"/>
    <x v="1"/>
    <x v="0"/>
    <x v="3"/>
    <x v="13"/>
    <n v="31"/>
    <m/>
    <n v="1.75"/>
    <m/>
    <n v="32.75"/>
    <m/>
    <n v="0"/>
    <n v="0"/>
    <n v="32.75"/>
    <m/>
    <n v="0"/>
    <m/>
    <n v="32.75"/>
    <m/>
    <n v="0"/>
    <n v="0"/>
    <n v="0"/>
    <n v="0"/>
  </r>
  <r>
    <x v="0"/>
    <x v="0"/>
    <x v="1"/>
    <x v="0"/>
    <x v="3"/>
    <x v="14"/>
    <n v="36"/>
    <m/>
    <n v="2.5"/>
    <m/>
    <n v="38.5"/>
    <m/>
    <n v="0"/>
    <n v="0"/>
    <n v="38.5"/>
    <m/>
    <n v="0"/>
    <m/>
    <n v="38.5"/>
    <m/>
    <n v="0"/>
    <n v="0"/>
    <n v="0"/>
    <n v="0"/>
  </r>
  <r>
    <x v="0"/>
    <x v="0"/>
    <x v="1"/>
    <x v="0"/>
    <x v="3"/>
    <x v="15"/>
    <n v="38"/>
    <m/>
    <n v="2.75"/>
    <m/>
    <n v="40.75"/>
    <m/>
    <n v="0"/>
    <n v="0"/>
    <n v="40.75"/>
    <m/>
    <n v="0"/>
    <m/>
    <n v="40.75"/>
    <m/>
    <n v="0"/>
    <n v="0"/>
    <n v="0"/>
    <n v="0"/>
  </r>
  <r>
    <x v="0"/>
    <x v="0"/>
    <x v="1"/>
    <x v="0"/>
    <x v="4"/>
    <x v="16"/>
    <n v="43.5"/>
    <m/>
    <n v="2.5"/>
    <m/>
    <n v="46"/>
    <m/>
    <n v="0"/>
    <n v="0"/>
    <n v="46"/>
    <m/>
    <n v="0"/>
    <m/>
    <n v="46"/>
    <m/>
    <n v="0"/>
    <n v="0"/>
    <n v="0"/>
    <n v="0"/>
  </r>
  <r>
    <x v="0"/>
    <x v="0"/>
    <x v="1"/>
    <x v="0"/>
    <x v="4"/>
    <x v="17"/>
    <n v="47.5"/>
    <m/>
    <n v="2.75"/>
    <m/>
    <n v="50.25"/>
    <m/>
    <n v="0"/>
    <n v="0"/>
    <n v="50.25"/>
    <m/>
    <n v="0"/>
    <m/>
    <n v="50.25"/>
    <m/>
    <n v="0"/>
    <n v="0"/>
    <n v="0"/>
    <n v="0"/>
  </r>
  <r>
    <x v="0"/>
    <x v="0"/>
    <x v="1"/>
    <x v="0"/>
    <x v="4"/>
    <x v="18"/>
    <n v="52.75"/>
    <m/>
    <n v="3.5"/>
    <m/>
    <n v="56.25"/>
    <m/>
    <n v="0"/>
    <n v="0"/>
    <n v="56.25"/>
    <m/>
    <n v="0"/>
    <m/>
    <n v="56.25"/>
    <m/>
    <n v="0"/>
    <n v="0"/>
    <n v="0"/>
    <n v="0"/>
  </r>
  <r>
    <x v="0"/>
    <x v="0"/>
    <x v="1"/>
    <x v="0"/>
    <x v="4"/>
    <x v="19"/>
    <n v="55"/>
    <m/>
    <n v="3.75"/>
    <m/>
    <n v="58.75"/>
    <m/>
    <n v="0"/>
    <n v="0"/>
    <n v="58.75"/>
    <m/>
    <n v="0"/>
    <m/>
    <n v="58.75"/>
    <m/>
    <n v="0"/>
    <n v="0"/>
    <n v="0"/>
    <n v="0"/>
  </r>
  <r>
    <x v="0"/>
    <x v="0"/>
    <x v="1"/>
    <x v="0"/>
    <x v="5"/>
    <x v="20"/>
    <n v="25"/>
    <m/>
    <n v="1.5"/>
    <m/>
    <n v="26.5"/>
    <m/>
    <n v="0"/>
    <n v="0"/>
    <n v="26.5"/>
    <m/>
    <n v="0"/>
    <m/>
    <n v="26.5"/>
    <m/>
    <n v="0"/>
    <n v="0"/>
    <n v="0"/>
    <n v="0"/>
  </r>
  <r>
    <x v="0"/>
    <x v="0"/>
    <x v="1"/>
    <x v="0"/>
    <x v="5"/>
    <x v="21"/>
    <n v="29"/>
    <m/>
    <n v="1.75"/>
    <m/>
    <n v="30.75"/>
    <m/>
    <n v="0"/>
    <n v="0"/>
    <n v="30.75"/>
    <m/>
    <n v="0"/>
    <m/>
    <n v="30.75"/>
    <m/>
    <n v="0"/>
    <n v="0"/>
    <n v="0"/>
    <n v="0"/>
  </r>
  <r>
    <x v="0"/>
    <x v="0"/>
    <x v="1"/>
    <x v="0"/>
    <x v="5"/>
    <x v="22"/>
    <n v="31"/>
    <m/>
    <n v="2"/>
    <m/>
    <n v="33"/>
    <m/>
    <n v="0"/>
    <n v="0"/>
    <n v="33"/>
    <m/>
    <n v="0"/>
    <m/>
    <n v="33"/>
    <m/>
    <n v="0"/>
    <n v="0"/>
    <n v="0"/>
    <n v="0"/>
  </r>
  <r>
    <x v="0"/>
    <x v="0"/>
    <x v="1"/>
    <x v="0"/>
    <x v="5"/>
    <x v="23"/>
    <n v="31.5"/>
    <m/>
    <n v="2.25"/>
    <m/>
    <n v="33.75"/>
    <m/>
    <n v="0"/>
    <n v="0"/>
    <n v="33.75"/>
    <m/>
    <n v="0"/>
    <m/>
    <n v="33.75"/>
    <m/>
    <n v="0"/>
    <n v="0"/>
    <n v="0"/>
    <n v="0"/>
  </r>
  <r>
    <x v="0"/>
    <x v="0"/>
    <x v="0"/>
    <x v="1"/>
    <x v="6"/>
    <x v="24"/>
    <n v="240"/>
    <m/>
    <n v="15"/>
    <m/>
    <n v="255"/>
    <m/>
    <n v="0"/>
    <n v="0"/>
    <n v="255"/>
    <m/>
    <n v="0"/>
    <m/>
    <n v="255"/>
    <m/>
    <n v="0"/>
    <n v="0"/>
    <n v="0"/>
    <n v="0"/>
  </r>
  <r>
    <x v="0"/>
    <x v="0"/>
    <x v="0"/>
    <x v="1"/>
    <x v="6"/>
    <x v="25"/>
    <n v="260"/>
    <m/>
    <n v="15"/>
    <m/>
    <n v="275"/>
    <m/>
    <n v="0"/>
    <n v="0"/>
    <n v="275"/>
    <m/>
    <n v="0"/>
    <m/>
    <n v="275"/>
    <m/>
    <n v="0"/>
    <n v="0"/>
    <n v="0"/>
    <n v="0"/>
  </r>
  <r>
    <x v="0"/>
    <x v="0"/>
    <x v="0"/>
    <x v="1"/>
    <x v="6"/>
    <x v="26"/>
    <n v="297.5"/>
    <m/>
    <n v="22.5"/>
    <m/>
    <n v="320"/>
    <m/>
    <n v="0"/>
    <n v="0"/>
    <n v="320"/>
    <m/>
    <n v="0"/>
    <m/>
    <n v="320"/>
    <m/>
    <n v="0"/>
    <n v="0"/>
    <n v="0"/>
    <n v="0"/>
  </r>
  <r>
    <x v="0"/>
    <x v="0"/>
    <x v="0"/>
    <x v="1"/>
    <x v="6"/>
    <x v="27"/>
    <n v="305"/>
    <m/>
    <n v="25"/>
    <m/>
    <n v="330"/>
    <m/>
    <n v="0"/>
    <n v="0"/>
    <n v="330"/>
    <m/>
    <n v="0"/>
    <m/>
    <n v="330"/>
    <m/>
    <n v="0"/>
    <n v="0"/>
    <n v="0"/>
    <n v="0"/>
  </r>
  <r>
    <x v="0"/>
    <x v="0"/>
    <x v="1"/>
    <x v="1"/>
    <x v="7"/>
    <x v="28"/>
    <n v="240"/>
    <m/>
    <n v="15"/>
    <m/>
    <n v="255"/>
    <m/>
    <n v="0"/>
    <n v="0"/>
    <n v="255"/>
    <m/>
    <n v="0"/>
    <m/>
    <n v="255"/>
    <m/>
    <n v="0"/>
    <n v="0"/>
    <n v="0"/>
    <n v="0"/>
  </r>
  <r>
    <x v="0"/>
    <x v="0"/>
    <x v="1"/>
    <x v="1"/>
    <x v="7"/>
    <x v="29"/>
    <n v="260"/>
    <m/>
    <n v="15"/>
    <m/>
    <n v="275"/>
    <m/>
    <n v="0"/>
    <n v="0"/>
    <n v="275"/>
    <m/>
    <n v="0"/>
    <m/>
    <n v="275"/>
    <m/>
    <n v="0"/>
    <n v="0"/>
    <n v="0"/>
    <n v="0"/>
  </r>
  <r>
    <x v="0"/>
    <x v="0"/>
    <x v="1"/>
    <x v="1"/>
    <x v="7"/>
    <x v="30"/>
    <n v="297.5"/>
    <m/>
    <n v="22.5"/>
    <m/>
    <n v="320"/>
    <m/>
    <n v="0"/>
    <n v="0"/>
    <n v="320"/>
    <m/>
    <n v="0"/>
    <m/>
    <n v="320"/>
    <m/>
    <n v="0"/>
    <n v="0"/>
    <n v="0"/>
    <n v="0"/>
  </r>
  <r>
    <x v="0"/>
    <x v="0"/>
    <x v="1"/>
    <x v="1"/>
    <x v="7"/>
    <x v="31"/>
    <n v="305"/>
    <m/>
    <n v="25"/>
    <m/>
    <n v="330"/>
    <m/>
    <n v="0"/>
    <n v="0"/>
    <n v="330"/>
    <m/>
    <n v="0"/>
    <m/>
    <n v="330"/>
    <m/>
    <n v="0"/>
    <n v="0"/>
    <n v="0"/>
    <n v="0"/>
  </r>
  <r>
    <x v="0"/>
    <x v="0"/>
    <x v="1"/>
    <x v="1"/>
    <x v="8"/>
    <x v="32"/>
    <n v="240"/>
    <m/>
    <n v="15"/>
    <m/>
    <n v="255"/>
    <m/>
    <n v="0"/>
    <n v="0"/>
    <n v="255"/>
    <m/>
    <n v="0"/>
    <m/>
    <n v="255"/>
    <m/>
    <n v="0"/>
    <n v="0"/>
    <n v="0"/>
    <n v="0"/>
  </r>
  <r>
    <x v="0"/>
    <x v="0"/>
    <x v="1"/>
    <x v="1"/>
    <x v="8"/>
    <x v="33"/>
    <n v="260"/>
    <m/>
    <n v="15"/>
    <m/>
    <n v="275"/>
    <m/>
    <n v="0"/>
    <n v="0"/>
    <n v="275"/>
    <m/>
    <n v="0"/>
    <m/>
    <n v="275"/>
    <m/>
    <n v="0"/>
    <n v="0"/>
    <n v="0"/>
    <n v="0"/>
  </r>
  <r>
    <x v="0"/>
    <x v="0"/>
    <x v="1"/>
    <x v="1"/>
    <x v="8"/>
    <x v="34"/>
    <n v="297.5"/>
    <m/>
    <n v="22.5"/>
    <m/>
    <n v="320"/>
    <m/>
    <n v="0"/>
    <n v="0"/>
    <n v="320"/>
    <m/>
    <n v="0"/>
    <m/>
    <n v="320"/>
    <m/>
    <n v="0"/>
    <n v="0"/>
    <n v="0"/>
    <n v="0"/>
  </r>
  <r>
    <x v="0"/>
    <x v="0"/>
    <x v="1"/>
    <x v="1"/>
    <x v="8"/>
    <x v="35"/>
    <n v="305"/>
    <m/>
    <n v="25"/>
    <m/>
    <n v="330"/>
    <m/>
    <n v="0"/>
    <n v="0"/>
    <n v="330"/>
    <m/>
    <n v="0"/>
    <m/>
    <n v="330"/>
    <m/>
    <n v="0"/>
    <n v="0"/>
    <n v="0"/>
    <n v="0"/>
  </r>
  <r>
    <x v="1"/>
    <x v="0"/>
    <x v="0"/>
    <x v="0"/>
    <x v="0"/>
    <x v="0"/>
    <n v="28"/>
    <m/>
    <n v="1.5"/>
    <m/>
    <n v="29.5"/>
    <m/>
    <n v="0"/>
    <n v="0"/>
    <n v="29.5"/>
    <m/>
    <n v="0"/>
    <m/>
    <n v="29.5"/>
    <m/>
    <n v="0"/>
    <n v="0"/>
    <n v="0"/>
    <n v="0"/>
  </r>
  <r>
    <x v="1"/>
    <x v="0"/>
    <x v="0"/>
    <x v="0"/>
    <x v="0"/>
    <x v="1"/>
    <n v="31"/>
    <m/>
    <n v="1.75"/>
    <m/>
    <n v="32.75"/>
    <m/>
    <n v="0"/>
    <n v="0"/>
    <n v="32.75"/>
    <m/>
    <n v="0"/>
    <m/>
    <n v="32.75"/>
    <m/>
    <n v="0"/>
    <n v="0"/>
    <n v="0"/>
    <n v="0"/>
  </r>
  <r>
    <x v="1"/>
    <x v="0"/>
    <x v="0"/>
    <x v="0"/>
    <x v="0"/>
    <x v="2"/>
    <n v="36"/>
    <m/>
    <n v="2.5"/>
    <m/>
    <n v="38.5"/>
    <m/>
    <n v="0"/>
    <n v="0"/>
    <n v="38.5"/>
    <m/>
    <n v="0"/>
    <m/>
    <n v="38.5"/>
    <m/>
    <n v="0"/>
    <n v="0"/>
    <n v="0"/>
    <n v="0"/>
  </r>
  <r>
    <x v="1"/>
    <x v="0"/>
    <x v="0"/>
    <x v="0"/>
    <x v="0"/>
    <x v="3"/>
    <n v="38"/>
    <m/>
    <n v="2.75"/>
    <m/>
    <n v="40.75"/>
    <m/>
    <n v="0"/>
    <n v="0"/>
    <n v="40.75"/>
    <m/>
    <n v="0"/>
    <m/>
    <n v="40.75"/>
    <m/>
    <n v="0"/>
    <n v="0"/>
    <n v="0"/>
    <n v="0"/>
  </r>
  <r>
    <x v="1"/>
    <x v="0"/>
    <x v="0"/>
    <x v="0"/>
    <x v="1"/>
    <x v="4"/>
    <n v="43.5"/>
    <m/>
    <n v="2.5"/>
    <m/>
    <n v="46"/>
    <m/>
    <n v="0"/>
    <n v="0"/>
    <n v="46"/>
    <m/>
    <n v="0"/>
    <m/>
    <n v="46"/>
    <m/>
    <n v="0"/>
    <n v="0"/>
    <n v="0"/>
    <n v="0"/>
  </r>
  <r>
    <x v="1"/>
    <x v="0"/>
    <x v="0"/>
    <x v="0"/>
    <x v="1"/>
    <x v="5"/>
    <n v="47.5"/>
    <m/>
    <n v="2.75"/>
    <m/>
    <n v="50.25"/>
    <m/>
    <n v="0"/>
    <n v="0"/>
    <n v="50.25"/>
    <m/>
    <n v="0"/>
    <m/>
    <n v="50.25"/>
    <m/>
    <n v="0"/>
    <n v="0"/>
    <n v="0"/>
    <n v="0"/>
  </r>
  <r>
    <x v="1"/>
    <x v="0"/>
    <x v="0"/>
    <x v="0"/>
    <x v="1"/>
    <x v="6"/>
    <n v="52.75"/>
    <m/>
    <n v="3.5"/>
    <m/>
    <n v="56.25"/>
    <m/>
    <n v="0"/>
    <n v="0"/>
    <n v="56.25"/>
    <m/>
    <n v="0"/>
    <m/>
    <n v="56.25"/>
    <m/>
    <n v="0"/>
    <n v="0"/>
    <n v="0"/>
    <n v="0"/>
  </r>
  <r>
    <x v="1"/>
    <x v="0"/>
    <x v="0"/>
    <x v="0"/>
    <x v="1"/>
    <x v="7"/>
    <n v="55"/>
    <m/>
    <n v="3.75"/>
    <m/>
    <n v="58.75"/>
    <m/>
    <n v="0"/>
    <n v="0"/>
    <n v="58.75"/>
    <m/>
    <n v="0"/>
    <m/>
    <n v="58.75"/>
    <m/>
    <n v="0"/>
    <n v="0"/>
    <n v="0"/>
    <n v="0"/>
  </r>
  <r>
    <x v="1"/>
    <x v="0"/>
    <x v="0"/>
    <x v="0"/>
    <x v="2"/>
    <x v="8"/>
    <n v="25"/>
    <m/>
    <n v="1.5"/>
    <m/>
    <n v="26.5"/>
    <m/>
    <n v="0"/>
    <n v="0"/>
    <n v="26.5"/>
    <m/>
    <n v="0"/>
    <m/>
    <n v="26.5"/>
    <m/>
    <n v="0"/>
    <n v="0"/>
    <n v="0"/>
    <n v="0"/>
  </r>
  <r>
    <x v="1"/>
    <x v="0"/>
    <x v="0"/>
    <x v="0"/>
    <x v="2"/>
    <x v="9"/>
    <n v="29"/>
    <m/>
    <n v="1.75"/>
    <m/>
    <n v="30.75"/>
    <m/>
    <n v="0"/>
    <n v="0"/>
    <n v="30.75"/>
    <m/>
    <n v="0"/>
    <m/>
    <n v="30.75"/>
    <m/>
    <n v="0"/>
    <n v="0"/>
    <n v="0"/>
    <n v="0"/>
  </r>
  <r>
    <x v="1"/>
    <x v="0"/>
    <x v="0"/>
    <x v="0"/>
    <x v="2"/>
    <x v="10"/>
    <n v="31"/>
    <m/>
    <n v="2"/>
    <m/>
    <n v="33"/>
    <m/>
    <n v="0"/>
    <n v="0"/>
    <n v="33"/>
    <m/>
    <n v="0"/>
    <m/>
    <n v="33"/>
    <m/>
    <n v="0"/>
    <n v="0"/>
    <n v="0"/>
    <n v="0"/>
  </r>
  <r>
    <x v="1"/>
    <x v="0"/>
    <x v="0"/>
    <x v="0"/>
    <x v="2"/>
    <x v="11"/>
    <n v="31.5"/>
    <m/>
    <n v="2.25"/>
    <m/>
    <n v="33.75"/>
    <m/>
    <n v="0"/>
    <n v="0"/>
    <n v="33.75"/>
    <m/>
    <n v="0"/>
    <m/>
    <n v="33.75"/>
    <m/>
    <n v="0"/>
    <n v="0"/>
    <n v="0"/>
    <n v="0"/>
  </r>
  <r>
    <x v="1"/>
    <x v="0"/>
    <x v="1"/>
    <x v="0"/>
    <x v="3"/>
    <x v="12"/>
    <n v="28"/>
    <m/>
    <n v="1.5"/>
    <m/>
    <n v="29.5"/>
    <m/>
    <n v="0"/>
    <n v="0"/>
    <n v="29.5"/>
    <m/>
    <n v="0"/>
    <m/>
    <n v="29.5"/>
    <m/>
    <n v="0"/>
    <n v="0"/>
    <n v="0"/>
    <n v="0"/>
  </r>
  <r>
    <x v="1"/>
    <x v="0"/>
    <x v="1"/>
    <x v="0"/>
    <x v="3"/>
    <x v="13"/>
    <n v="31"/>
    <m/>
    <n v="1.75"/>
    <m/>
    <n v="32.75"/>
    <m/>
    <n v="0"/>
    <n v="0"/>
    <n v="32.75"/>
    <m/>
    <n v="0"/>
    <m/>
    <n v="32.75"/>
    <m/>
    <n v="0"/>
    <n v="0"/>
    <n v="0"/>
    <n v="0"/>
  </r>
  <r>
    <x v="1"/>
    <x v="0"/>
    <x v="1"/>
    <x v="0"/>
    <x v="3"/>
    <x v="14"/>
    <n v="36"/>
    <m/>
    <n v="2.5"/>
    <m/>
    <n v="38.5"/>
    <m/>
    <n v="0"/>
    <n v="0"/>
    <n v="38.5"/>
    <m/>
    <n v="0"/>
    <m/>
    <n v="38.5"/>
    <m/>
    <n v="0"/>
    <n v="0"/>
    <n v="0"/>
    <n v="0"/>
  </r>
  <r>
    <x v="1"/>
    <x v="0"/>
    <x v="1"/>
    <x v="0"/>
    <x v="3"/>
    <x v="15"/>
    <n v="38"/>
    <m/>
    <n v="2.75"/>
    <m/>
    <n v="40.75"/>
    <m/>
    <n v="0"/>
    <n v="0"/>
    <n v="40.75"/>
    <m/>
    <n v="0"/>
    <m/>
    <n v="40.75"/>
    <m/>
    <n v="0"/>
    <n v="0"/>
    <n v="0"/>
    <n v="0"/>
  </r>
  <r>
    <x v="1"/>
    <x v="0"/>
    <x v="1"/>
    <x v="0"/>
    <x v="4"/>
    <x v="16"/>
    <n v="43.5"/>
    <m/>
    <n v="2.5"/>
    <m/>
    <n v="46"/>
    <m/>
    <n v="0"/>
    <n v="0"/>
    <n v="46"/>
    <m/>
    <n v="0"/>
    <m/>
    <n v="46"/>
    <m/>
    <n v="0"/>
    <n v="0"/>
    <n v="0"/>
    <n v="0"/>
  </r>
  <r>
    <x v="1"/>
    <x v="0"/>
    <x v="1"/>
    <x v="0"/>
    <x v="4"/>
    <x v="17"/>
    <n v="47.5"/>
    <m/>
    <n v="2.75"/>
    <m/>
    <n v="50.25"/>
    <m/>
    <n v="0"/>
    <n v="0"/>
    <n v="50.25"/>
    <m/>
    <n v="0"/>
    <m/>
    <n v="50.25"/>
    <m/>
    <n v="0"/>
    <n v="0"/>
    <n v="0"/>
    <n v="0"/>
  </r>
  <r>
    <x v="1"/>
    <x v="0"/>
    <x v="1"/>
    <x v="0"/>
    <x v="4"/>
    <x v="18"/>
    <n v="52.75"/>
    <m/>
    <n v="3.5"/>
    <m/>
    <n v="56.25"/>
    <m/>
    <n v="0"/>
    <n v="0"/>
    <n v="56.25"/>
    <m/>
    <n v="0"/>
    <m/>
    <n v="56.25"/>
    <m/>
    <n v="0"/>
    <n v="0"/>
    <n v="0"/>
    <n v="0"/>
  </r>
  <r>
    <x v="1"/>
    <x v="0"/>
    <x v="1"/>
    <x v="0"/>
    <x v="4"/>
    <x v="19"/>
    <n v="55"/>
    <m/>
    <n v="3.75"/>
    <m/>
    <n v="58.75"/>
    <m/>
    <n v="0"/>
    <n v="0"/>
    <n v="58.75"/>
    <m/>
    <n v="0"/>
    <m/>
    <n v="58.75"/>
    <m/>
    <n v="0"/>
    <n v="0"/>
    <n v="0"/>
    <n v="0"/>
  </r>
  <r>
    <x v="1"/>
    <x v="0"/>
    <x v="1"/>
    <x v="0"/>
    <x v="5"/>
    <x v="20"/>
    <n v="25"/>
    <m/>
    <n v="1.5"/>
    <m/>
    <n v="26.5"/>
    <m/>
    <n v="0"/>
    <n v="0"/>
    <n v="26.5"/>
    <m/>
    <n v="0"/>
    <m/>
    <n v="26.5"/>
    <m/>
    <n v="0"/>
    <n v="0"/>
    <n v="0"/>
    <n v="0"/>
  </r>
  <r>
    <x v="1"/>
    <x v="0"/>
    <x v="1"/>
    <x v="0"/>
    <x v="5"/>
    <x v="21"/>
    <n v="29"/>
    <m/>
    <n v="1.75"/>
    <m/>
    <n v="30.75"/>
    <m/>
    <n v="0"/>
    <n v="0"/>
    <n v="30.75"/>
    <m/>
    <n v="0"/>
    <m/>
    <n v="30.75"/>
    <m/>
    <n v="0"/>
    <n v="0"/>
    <n v="0"/>
    <n v="0"/>
  </r>
  <r>
    <x v="1"/>
    <x v="0"/>
    <x v="1"/>
    <x v="0"/>
    <x v="5"/>
    <x v="22"/>
    <n v="31"/>
    <m/>
    <n v="2"/>
    <m/>
    <n v="33"/>
    <m/>
    <n v="0"/>
    <n v="0"/>
    <n v="33"/>
    <m/>
    <n v="0"/>
    <m/>
    <n v="33"/>
    <m/>
    <n v="0"/>
    <n v="0"/>
    <n v="0"/>
    <n v="0"/>
  </r>
  <r>
    <x v="1"/>
    <x v="0"/>
    <x v="1"/>
    <x v="0"/>
    <x v="5"/>
    <x v="23"/>
    <n v="31.5"/>
    <m/>
    <n v="2.25"/>
    <m/>
    <n v="33.75"/>
    <m/>
    <n v="0"/>
    <n v="0"/>
    <n v="33.75"/>
    <m/>
    <n v="0"/>
    <m/>
    <n v="33.75"/>
    <m/>
    <n v="0"/>
    <n v="0"/>
    <n v="0"/>
    <n v="0"/>
  </r>
  <r>
    <x v="1"/>
    <x v="0"/>
    <x v="0"/>
    <x v="1"/>
    <x v="6"/>
    <x v="24"/>
    <n v="240"/>
    <m/>
    <n v="15"/>
    <m/>
    <n v="255"/>
    <m/>
    <n v="0"/>
    <n v="0"/>
    <n v="255"/>
    <m/>
    <n v="0"/>
    <m/>
    <n v="255"/>
    <m/>
    <n v="0"/>
    <n v="0"/>
    <n v="0"/>
    <n v="0"/>
  </r>
  <r>
    <x v="1"/>
    <x v="0"/>
    <x v="0"/>
    <x v="1"/>
    <x v="6"/>
    <x v="25"/>
    <n v="260"/>
    <m/>
    <n v="15"/>
    <m/>
    <n v="275"/>
    <m/>
    <n v="0"/>
    <n v="0"/>
    <n v="275"/>
    <m/>
    <n v="0"/>
    <m/>
    <n v="275"/>
    <m/>
    <n v="0"/>
    <n v="0"/>
    <n v="0"/>
    <n v="0"/>
  </r>
  <r>
    <x v="1"/>
    <x v="0"/>
    <x v="0"/>
    <x v="1"/>
    <x v="6"/>
    <x v="26"/>
    <n v="297.5"/>
    <m/>
    <n v="22.5"/>
    <m/>
    <n v="320"/>
    <m/>
    <n v="0"/>
    <n v="0"/>
    <n v="320"/>
    <m/>
    <n v="0"/>
    <m/>
    <n v="320"/>
    <m/>
    <n v="0"/>
    <n v="0"/>
    <n v="0"/>
    <n v="0"/>
  </r>
  <r>
    <x v="1"/>
    <x v="0"/>
    <x v="0"/>
    <x v="1"/>
    <x v="6"/>
    <x v="27"/>
    <n v="305"/>
    <m/>
    <n v="25"/>
    <m/>
    <n v="330"/>
    <m/>
    <n v="0"/>
    <n v="0"/>
    <n v="330"/>
    <m/>
    <n v="0"/>
    <m/>
    <n v="330"/>
    <m/>
    <n v="0"/>
    <n v="0"/>
    <n v="0"/>
    <n v="0"/>
  </r>
  <r>
    <x v="1"/>
    <x v="0"/>
    <x v="1"/>
    <x v="1"/>
    <x v="7"/>
    <x v="28"/>
    <n v="240"/>
    <m/>
    <n v="15"/>
    <m/>
    <n v="255"/>
    <m/>
    <n v="0"/>
    <n v="0"/>
    <n v="255"/>
    <m/>
    <n v="0"/>
    <m/>
    <n v="255"/>
    <m/>
    <n v="0"/>
    <n v="0"/>
    <n v="0"/>
    <n v="0"/>
  </r>
  <r>
    <x v="1"/>
    <x v="0"/>
    <x v="1"/>
    <x v="1"/>
    <x v="7"/>
    <x v="29"/>
    <n v="260"/>
    <m/>
    <n v="15"/>
    <m/>
    <n v="275"/>
    <m/>
    <n v="0"/>
    <n v="0"/>
    <n v="275"/>
    <m/>
    <n v="0"/>
    <m/>
    <n v="275"/>
    <m/>
    <n v="0"/>
    <n v="0"/>
    <n v="0"/>
    <n v="0"/>
  </r>
  <r>
    <x v="1"/>
    <x v="0"/>
    <x v="1"/>
    <x v="1"/>
    <x v="7"/>
    <x v="30"/>
    <n v="297.5"/>
    <m/>
    <n v="22.5"/>
    <m/>
    <n v="320"/>
    <m/>
    <n v="0"/>
    <n v="0"/>
    <n v="320"/>
    <m/>
    <n v="0"/>
    <m/>
    <n v="320"/>
    <m/>
    <n v="0"/>
    <n v="0"/>
    <n v="0"/>
    <n v="0"/>
  </r>
  <r>
    <x v="1"/>
    <x v="0"/>
    <x v="1"/>
    <x v="1"/>
    <x v="7"/>
    <x v="31"/>
    <n v="305"/>
    <m/>
    <n v="25"/>
    <m/>
    <n v="330"/>
    <m/>
    <n v="0"/>
    <n v="0"/>
    <n v="330"/>
    <m/>
    <n v="0"/>
    <m/>
    <n v="330"/>
    <m/>
    <n v="0"/>
    <n v="0"/>
    <n v="0"/>
    <n v="0"/>
  </r>
  <r>
    <x v="1"/>
    <x v="0"/>
    <x v="1"/>
    <x v="1"/>
    <x v="8"/>
    <x v="32"/>
    <n v="240"/>
    <m/>
    <n v="15"/>
    <m/>
    <n v="255"/>
    <m/>
    <n v="0"/>
    <n v="0"/>
    <n v="255"/>
    <m/>
    <n v="0"/>
    <m/>
    <n v="255"/>
    <m/>
    <n v="0"/>
    <n v="0"/>
    <n v="0"/>
    <n v="0"/>
  </r>
  <r>
    <x v="1"/>
    <x v="0"/>
    <x v="1"/>
    <x v="1"/>
    <x v="8"/>
    <x v="33"/>
    <n v="260"/>
    <m/>
    <n v="15"/>
    <m/>
    <n v="275"/>
    <m/>
    <n v="0"/>
    <n v="0"/>
    <n v="275"/>
    <m/>
    <n v="0"/>
    <m/>
    <n v="275"/>
    <m/>
    <n v="0"/>
    <n v="0"/>
    <n v="0"/>
    <n v="0"/>
  </r>
  <r>
    <x v="1"/>
    <x v="0"/>
    <x v="1"/>
    <x v="1"/>
    <x v="8"/>
    <x v="34"/>
    <n v="297.5"/>
    <m/>
    <n v="22.5"/>
    <m/>
    <n v="320"/>
    <m/>
    <n v="0"/>
    <n v="0"/>
    <n v="320"/>
    <m/>
    <n v="0"/>
    <m/>
    <n v="320"/>
    <m/>
    <n v="0"/>
    <n v="0"/>
    <n v="0"/>
    <n v="0"/>
  </r>
  <r>
    <x v="1"/>
    <x v="0"/>
    <x v="1"/>
    <x v="1"/>
    <x v="8"/>
    <x v="35"/>
    <n v="305"/>
    <m/>
    <n v="25"/>
    <m/>
    <n v="330"/>
    <m/>
    <n v="0"/>
    <n v="0"/>
    <n v="330"/>
    <m/>
    <n v="0"/>
    <m/>
    <n v="330"/>
    <m/>
    <n v="0"/>
    <n v="0"/>
    <n v="0"/>
    <n v="0"/>
  </r>
  <r>
    <x v="2"/>
    <x v="0"/>
    <x v="0"/>
    <x v="0"/>
    <x v="0"/>
    <x v="0"/>
    <n v="28"/>
    <m/>
    <n v="1.5"/>
    <m/>
    <n v="29.5"/>
    <m/>
    <n v="0"/>
    <n v="0"/>
    <n v="29.5"/>
    <m/>
    <n v="0"/>
    <m/>
    <n v="29.5"/>
    <m/>
    <n v="0"/>
    <n v="0"/>
    <n v="0"/>
    <n v="0"/>
  </r>
  <r>
    <x v="2"/>
    <x v="0"/>
    <x v="0"/>
    <x v="0"/>
    <x v="0"/>
    <x v="1"/>
    <n v="31"/>
    <m/>
    <n v="1.75"/>
    <m/>
    <n v="32.75"/>
    <m/>
    <n v="0"/>
    <n v="0"/>
    <n v="32.75"/>
    <m/>
    <n v="0"/>
    <m/>
    <n v="32.75"/>
    <m/>
    <n v="0"/>
    <n v="0"/>
    <n v="0"/>
    <n v="0"/>
  </r>
  <r>
    <x v="2"/>
    <x v="0"/>
    <x v="0"/>
    <x v="0"/>
    <x v="0"/>
    <x v="2"/>
    <n v="36"/>
    <m/>
    <n v="2.5"/>
    <m/>
    <n v="38.5"/>
    <m/>
    <n v="0"/>
    <n v="0"/>
    <n v="38.5"/>
    <m/>
    <n v="0"/>
    <m/>
    <n v="38.5"/>
    <m/>
    <n v="0"/>
    <n v="0"/>
    <n v="0"/>
    <n v="0"/>
  </r>
  <r>
    <x v="2"/>
    <x v="0"/>
    <x v="0"/>
    <x v="0"/>
    <x v="0"/>
    <x v="3"/>
    <n v="38"/>
    <m/>
    <n v="2.75"/>
    <m/>
    <n v="40.75"/>
    <m/>
    <n v="0"/>
    <n v="0"/>
    <n v="40.75"/>
    <m/>
    <n v="0"/>
    <m/>
    <n v="40.75"/>
    <m/>
    <n v="0"/>
    <n v="0"/>
    <n v="0"/>
    <n v="0"/>
  </r>
  <r>
    <x v="2"/>
    <x v="0"/>
    <x v="0"/>
    <x v="0"/>
    <x v="1"/>
    <x v="4"/>
    <n v="43.5"/>
    <m/>
    <n v="2.5"/>
    <m/>
    <n v="46"/>
    <m/>
    <n v="0"/>
    <n v="0"/>
    <n v="46"/>
    <m/>
    <n v="0"/>
    <m/>
    <n v="46"/>
    <m/>
    <n v="0"/>
    <n v="0"/>
    <n v="0"/>
    <n v="0"/>
  </r>
  <r>
    <x v="2"/>
    <x v="0"/>
    <x v="0"/>
    <x v="0"/>
    <x v="1"/>
    <x v="5"/>
    <n v="47.5"/>
    <m/>
    <n v="2.75"/>
    <m/>
    <n v="50.25"/>
    <m/>
    <n v="0"/>
    <n v="0"/>
    <n v="50.25"/>
    <m/>
    <n v="0"/>
    <m/>
    <n v="50.25"/>
    <m/>
    <n v="0"/>
    <n v="0"/>
    <n v="0"/>
    <n v="0"/>
  </r>
  <r>
    <x v="2"/>
    <x v="0"/>
    <x v="0"/>
    <x v="0"/>
    <x v="1"/>
    <x v="6"/>
    <n v="52.75"/>
    <m/>
    <n v="3.5"/>
    <m/>
    <n v="56.25"/>
    <m/>
    <n v="0"/>
    <n v="0"/>
    <n v="56.25"/>
    <m/>
    <n v="0"/>
    <m/>
    <n v="56.25"/>
    <m/>
    <n v="0"/>
    <n v="0"/>
    <n v="0"/>
    <n v="0"/>
  </r>
  <r>
    <x v="2"/>
    <x v="0"/>
    <x v="0"/>
    <x v="0"/>
    <x v="1"/>
    <x v="7"/>
    <n v="55"/>
    <m/>
    <n v="3.75"/>
    <m/>
    <n v="58.75"/>
    <m/>
    <n v="0"/>
    <n v="0"/>
    <n v="58.75"/>
    <m/>
    <n v="0"/>
    <m/>
    <n v="58.75"/>
    <m/>
    <n v="0"/>
    <n v="0"/>
    <n v="0"/>
    <n v="0"/>
  </r>
  <r>
    <x v="2"/>
    <x v="0"/>
    <x v="0"/>
    <x v="0"/>
    <x v="2"/>
    <x v="8"/>
    <n v="25"/>
    <m/>
    <n v="1.5"/>
    <m/>
    <n v="26.5"/>
    <m/>
    <n v="0"/>
    <n v="0"/>
    <n v="26.5"/>
    <m/>
    <n v="0"/>
    <m/>
    <n v="26.5"/>
    <m/>
    <n v="0"/>
    <n v="0"/>
    <n v="0"/>
    <n v="0"/>
  </r>
  <r>
    <x v="2"/>
    <x v="0"/>
    <x v="0"/>
    <x v="0"/>
    <x v="2"/>
    <x v="9"/>
    <n v="29"/>
    <m/>
    <n v="1.75"/>
    <m/>
    <n v="30.75"/>
    <m/>
    <n v="0"/>
    <n v="0"/>
    <n v="30.75"/>
    <m/>
    <n v="0"/>
    <m/>
    <n v="30.75"/>
    <m/>
    <n v="0"/>
    <n v="0"/>
    <n v="0"/>
    <n v="0"/>
  </r>
  <r>
    <x v="2"/>
    <x v="0"/>
    <x v="0"/>
    <x v="0"/>
    <x v="2"/>
    <x v="10"/>
    <n v="31"/>
    <m/>
    <n v="2"/>
    <m/>
    <n v="33"/>
    <m/>
    <n v="0"/>
    <n v="0"/>
    <n v="33"/>
    <m/>
    <n v="0"/>
    <m/>
    <n v="33"/>
    <m/>
    <n v="0"/>
    <n v="0"/>
    <n v="0"/>
    <n v="0"/>
  </r>
  <r>
    <x v="2"/>
    <x v="0"/>
    <x v="0"/>
    <x v="0"/>
    <x v="2"/>
    <x v="11"/>
    <n v="31.5"/>
    <m/>
    <n v="2.25"/>
    <m/>
    <n v="33.75"/>
    <m/>
    <n v="0"/>
    <n v="0"/>
    <n v="33.75"/>
    <m/>
    <n v="0"/>
    <m/>
    <n v="33.75"/>
    <m/>
    <n v="0"/>
    <n v="0"/>
    <n v="0"/>
    <n v="0"/>
  </r>
  <r>
    <x v="2"/>
    <x v="0"/>
    <x v="1"/>
    <x v="0"/>
    <x v="3"/>
    <x v="12"/>
    <n v="28"/>
    <m/>
    <n v="1.5"/>
    <m/>
    <n v="29.5"/>
    <m/>
    <n v="0"/>
    <n v="0"/>
    <n v="29.5"/>
    <m/>
    <n v="0"/>
    <m/>
    <n v="29.5"/>
    <m/>
    <n v="0"/>
    <n v="0"/>
    <n v="0"/>
    <n v="0"/>
  </r>
  <r>
    <x v="2"/>
    <x v="0"/>
    <x v="1"/>
    <x v="0"/>
    <x v="3"/>
    <x v="13"/>
    <n v="31"/>
    <m/>
    <n v="1.75"/>
    <m/>
    <n v="32.75"/>
    <m/>
    <n v="0"/>
    <n v="0"/>
    <n v="32.75"/>
    <m/>
    <n v="0"/>
    <m/>
    <n v="32.75"/>
    <m/>
    <n v="0"/>
    <n v="0"/>
    <n v="0"/>
    <n v="0"/>
  </r>
  <r>
    <x v="2"/>
    <x v="0"/>
    <x v="1"/>
    <x v="0"/>
    <x v="3"/>
    <x v="14"/>
    <n v="36"/>
    <m/>
    <n v="2.5"/>
    <m/>
    <n v="38.5"/>
    <m/>
    <n v="0"/>
    <n v="0"/>
    <n v="38.5"/>
    <m/>
    <n v="0"/>
    <m/>
    <n v="38.5"/>
    <m/>
    <n v="0"/>
    <n v="0"/>
    <n v="0"/>
    <n v="0"/>
  </r>
  <r>
    <x v="2"/>
    <x v="0"/>
    <x v="1"/>
    <x v="0"/>
    <x v="3"/>
    <x v="15"/>
    <n v="38"/>
    <m/>
    <n v="2.75"/>
    <m/>
    <n v="40.75"/>
    <m/>
    <n v="0"/>
    <n v="0"/>
    <n v="40.75"/>
    <m/>
    <n v="0"/>
    <m/>
    <n v="40.75"/>
    <m/>
    <n v="0"/>
    <n v="0"/>
    <n v="0"/>
    <n v="0"/>
  </r>
  <r>
    <x v="2"/>
    <x v="0"/>
    <x v="1"/>
    <x v="0"/>
    <x v="4"/>
    <x v="16"/>
    <n v="43.5"/>
    <m/>
    <n v="2.5"/>
    <m/>
    <n v="46"/>
    <m/>
    <n v="0"/>
    <n v="0"/>
    <n v="46"/>
    <m/>
    <n v="0"/>
    <m/>
    <n v="46"/>
    <m/>
    <n v="0"/>
    <n v="0"/>
    <n v="0"/>
    <n v="0"/>
  </r>
  <r>
    <x v="2"/>
    <x v="0"/>
    <x v="1"/>
    <x v="0"/>
    <x v="4"/>
    <x v="17"/>
    <n v="47.5"/>
    <m/>
    <n v="2.75"/>
    <m/>
    <n v="50.25"/>
    <m/>
    <n v="0"/>
    <n v="0"/>
    <n v="50.25"/>
    <m/>
    <n v="0"/>
    <m/>
    <n v="50.25"/>
    <m/>
    <n v="0"/>
    <n v="0"/>
    <n v="0"/>
    <n v="0"/>
  </r>
  <r>
    <x v="2"/>
    <x v="0"/>
    <x v="1"/>
    <x v="0"/>
    <x v="4"/>
    <x v="18"/>
    <n v="52.75"/>
    <m/>
    <n v="3.5"/>
    <m/>
    <n v="56.25"/>
    <m/>
    <n v="0"/>
    <n v="0"/>
    <n v="56.25"/>
    <m/>
    <n v="0"/>
    <m/>
    <n v="56.25"/>
    <m/>
    <n v="0"/>
    <n v="0"/>
    <n v="0"/>
    <n v="0"/>
  </r>
  <r>
    <x v="2"/>
    <x v="0"/>
    <x v="1"/>
    <x v="0"/>
    <x v="4"/>
    <x v="19"/>
    <n v="55"/>
    <m/>
    <n v="3.75"/>
    <m/>
    <n v="58.75"/>
    <m/>
    <n v="0"/>
    <n v="0"/>
    <n v="58.75"/>
    <m/>
    <n v="0"/>
    <m/>
    <n v="58.75"/>
    <m/>
    <n v="0"/>
    <n v="0"/>
    <n v="0"/>
    <n v="0"/>
  </r>
  <r>
    <x v="2"/>
    <x v="0"/>
    <x v="1"/>
    <x v="0"/>
    <x v="5"/>
    <x v="20"/>
    <n v="25"/>
    <m/>
    <n v="1.5"/>
    <m/>
    <n v="26.5"/>
    <m/>
    <n v="0"/>
    <n v="0"/>
    <n v="26.5"/>
    <m/>
    <n v="0"/>
    <m/>
    <n v="26.5"/>
    <m/>
    <n v="0"/>
    <n v="0"/>
    <n v="0"/>
    <n v="0"/>
  </r>
  <r>
    <x v="2"/>
    <x v="0"/>
    <x v="1"/>
    <x v="0"/>
    <x v="5"/>
    <x v="21"/>
    <n v="29"/>
    <m/>
    <n v="1.75"/>
    <m/>
    <n v="30.75"/>
    <m/>
    <n v="0"/>
    <n v="0"/>
    <n v="30.75"/>
    <m/>
    <n v="0"/>
    <m/>
    <n v="30.75"/>
    <m/>
    <n v="0"/>
    <n v="0"/>
    <n v="0"/>
    <n v="0"/>
  </r>
  <r>
    <x v="2"/>
    <x v="0"/>
    <x v="1"/>
    <x v="0"/>
    <x v="5"/>
    <x v="22"/>
    <n v="31"/>
    <m/>
    <n v="2"/>
    <m/>
    <n v="33"/>
    <m/>
    <n v="0"/>
    <n v="0"/>
    <n v="33"/>
    <m/>
    <n v="0"/>
    <m/>
    <n v="33"/>
    <m/>
    <n v="0"/>
    <n v="0"/>
    <n v="0"/>
    <n v="0"/>
  </r>
  <r>
    <x v="2"/>
    <x v="0"/>
    <x v="1"/>
    <x v="0"/>
    <x v="5"/>
    <x v="23"/>
    <n v="31.5"/>
    <m/>
    <n v="2.25"/>
    <m/>
    <n v="33.75"/>
    <m/>
    <n v="0"/>
    <n v="0"/>
    <n v="33.75"/>
    <m/>
    <n v="0"/>
    <m/>
    <n v="33.75"/>
    <m/>
    <n v="0"/>
    <n v="0"/>
    <n v="0"/>
    <n v="0"/>
  </r>
  <r>
    <x v="2"/>
    <x v="0"/>
    <x v="0"/>
    <x v="1"/>
    <x v="6"/>
    <x v="24"/>
    <n v="240"/>
    <m/>
    <n v="15"/>
    <m/>
    <n v="255"/>
    <m/>
    <n v="0"/>
    <n v="0"/>
    <n v="255"/>
    <m/>
    <n v="0"/>
    <m/>
    <n v="255"/>
    <m/>
    <n v="0"/>
    <n v="0"/>
    <n v="0"/>
    <n v="0"/>
  </r>
  <r>
    <x v="2"/>
    <x v="0"/>
    <x v="0"/>
    <x v="1"/>
    <x v="6"/>
    <x v="25"/>
    <n v="260"/>
    <m/>
    <n v="15"/>
    <m/>
    <n v="275"/>
    <m/>
    <n v="0"/>
    <n v="0"/>
    <n v="275"/>
    <m/>
    <n v="0"/>
    <m/>
    <n v="275"/>
    <m/>
    <n v="0"/>
    <n v="0"/>
    <n v="0"/>
    <n v="0"/>
  </r>
  <r>
    <x v="2"/>
    <x v="0"/>
    <x v="0"/>
    <x v="1"/>
    <x v="6"/>
    <x v="26"/>
    <n v="297.5"/>
    <m/>
    <n v="22.5"/>
    <m/>
    <n v="320"/>
    <m/>
    <n v="0"/>
    <n v="0"/>
    <n v="320"/>
    <m/>
    <n v="0"/>
    <m/>
    <n v="320"/>
    <m/>
    <n v="0"/>
    <n v="0"/>
    <n v="0"/>
    <n v="0"/>
  </r>
  <r>
    <x v="2"/>
    <x v="0"/>
    <x v="0"/>
    <x v="1"/>
    <x v="6"/>
    <x v="27"/>
    <n v="305"/>
    <m/>
    <n v="25"/>
    <m/>
    <n v="330"/>
    <m/>
    <n v="0"/>
    <n v="0"/>
    <n v="330"/>
    <m/>
    <n v="0"/>
    <m/>
    <n v="330"/>
    <m/>
    <n v="0"/>
    <n v="0"/>
    <n v="0"/>
    <n v="0"/>
  </r>
  <r>
    <x v="2"/>
    <x v="0"/>
    <x v="1"/>
    <x v="1"/>
    <x v="7"/>
    <x v="28"/>
    <n v="240"/>
    <m/>
    <n v="15"/>
    <m/>
    <n v="255"/>
    <m/>
    <n v="0"/>
    <n v="0"/>
    <n v="255"/>
    <m/>
    <n v="0"/>
    <m/>
    <n v="255"/>
    <m/>
    <n v="0"/>
    <n v="0"/>
    <n v="0"/>
    <n v="0"/>
  </r>
  <r>
    <x v="2"/>
    <x v="0"/>
    <x v="1"/>
    <x v="1"/>
    <x v="7"/>
    <x v="29"/>
    <n v="260"/>
    <m/>
    <n v="15"/>
    <m/>
    <n v="275"/>
    <m/>
    <n v="0"/>
    <n v="0"/>
    <n v="275"/>
    <m/>
    <n v="0"/>
    <m/>
    <n v="275"/>
    <m/>
    <n v="0"/>
    <n v="0"/>
    <n v="0"/>
    <n v="0"/>
  </r>
  <r>
    <x v="2"/>
    <x v="0"/>
    <x v="1"/>
    <x v="1"/>
    <x v="7"/>
    <x v="30"/>
    <n v="297.5"/>
    <m/>
    <n v="22.5"/>
    <m/>
    <n v="320"/>
    <m/>
    <n v="0"/>
    <n v="0"/>
    <n v="320"/>
    <m/>
    <n v="0"/>
    <m/>
    <n v="320"/>
    <m/>
    <n v="0"/>
    <n v="0"/>
    <n v="0"/>
    <n v="0"/>
  </r>
  <r>
    <x v="2"/>
    <x v="0"/>
    <x v="1"/>
    <x v="1"/>
    <x v="7"/>
    <x v="31"/>
    <n v="305"/>
    <m/>
    <n v="25"/>
    <m/>
    <n v="330"/>
    <m/>
    <n v="0"/>
    <n v="0"/>
    <n v="330"/>
    <m/>
    <n v="0"/>
    <m/>
    <n v="330"/>
    <m/>
    <n v="0"/>
    <n v="0"/>
    <n v="0"/>
    <n v="0"/>
  </r>
  <r>
    <x v="2"/>
    <x v="0"/>
    <x v="1"/>
    <x v="1"/>
    <x v="8"/>
    <x v="32"/>
    <n v="240"/>
    <m/>
    <n v="15"/>
    <m/>
    <n v="255"/>
    <m/>
    <n v="0"/>
    <n v="0"/>
    <n v="255"/>
    <m/>
    <n v="0"/>
    <m/>
    <n v="255"/>
    <m/>
    <n v="0"/>
    <n v="0"/>
    <n v="0"/>
    <n v="0"/>
  </r>
  <r>
    <x v="2"/>
    <x v="0"/>
    <x v="1"/>
    <x v="1"/>
    <x v="8"/>
    <x v="33"/>
    <n v="260"/>
    <m/>
    <n v="15"/>
    <m/>
    <n v="275"/>
    <m/>
    <n v="0"/>
    <n v="0"/>
    <n v="275"/>
    <m/>
    <n v="0"/>
    <m/>
    <n v="275"/>
    <m/>
    <n v="0"/>
    <n v="0"/>
    <n v="0"/>
    <n v="0"/>
  </r>
  <r>
    <x v="2"/>
    <x v="0"/>
    <x v="1"/>
    <x v="1"/>
    <x v="8"/>
    <x v="34"/>
    <n v="297.5"/>
    <m/>
    <n v="22.5"/>
    <m/>
    <n v="320"/>
    <m/>
    <n v="0"/>
    <n v="0"/>
    <n v="320"/>
    <m/>
    <n v="0"/>
    <m/>
    <n v="320"/>
    <m/>
    <n v="0"/>
    <n v="0"/>
    <n v="0"/>
    <n v="0"/>
  </r>
  <r>
    <x v="2"/>
    <x v="0"/>
    <x v="1"/>
    <x v="1"/>
    <x v="8"/>
    <x v="35"/>
    <n v="305"/>
    <m/>
    <n v="25"/>
    <m/>
    <n v="330"/>
    <m/>
    <n v="0"/>
    <n v="0"/>
    <n v="330"/>
    <m/>
    <n v="0"/>
    <m/>
    <n v="330"/>
    <m/>
    <n v="0"/>
    <n v="0"/>
    <n v="0"/>
    <n v="0"/>
  </r>
  <r>
    <x v="0"/>
    <x v="0"/>
    <x v="0"/>
    <x v="2"/>
    <x v="9"/>
    <x v="36"/>
    <n v="24"/>
    <m/>
    <n v="1.5"/>
    <m/>
    <n v="25.5"/>
    <m/>
    <n v="0"/>
    <n v="0"/>
    <n v="25.5"/>
    <m/>
    <n v="0"/>
    <m/>
    <n v="25.5"/>
    <m/>
    <n v="0"/>
    <n v="0"/>
    <n v="0"/>
    <n v="0"/>
  </r>
  <r>
    <x v="0"/>
    <x v="0"/>
    <x v="0"/>
    <x v="3"/>
    <x v="10"/>
    <x v="37"/>
    <n v="19"/>
    <m/>
    <n v="0"/>
    <m/>
    <n v="19"/>
    <m/>
    <n v="0"/>
    <n v="0"/>
    <n v="19"/>
    <m/>
    <n v="0"/>
    <m/>
    <n v="19"/>
    <m/>
    <n v="0"/>
    <n v="0"/>
    <n v="0"/>
    <n v="0"/>
  </r>
  <r>
    <x v="0"/>
    <x v="0"/>
    <x v="0"/>
    <x v="4"/>
    <x v="11"/>
    <x v="38"/>
    <n v="175"/>
    <m/>
    <n v="10"/>
    <m/>
    <n v="185"/>
    <m/>
    <n v="0"/>
    <n v="0"/>
    <n v="185"/>
    <m/>
    <n v="0"/>
    <m/>
    <n v="185"/>
    <m/>
    <n v="0"/>
    <n v="0"/>
    <n v="0"/>
    <n v="0"/>
  </r>
  <r>
    <x v="0"/>
    <x v="0"/>
    <x v="0"/>
    <x v="4"/>
    <x v="12"/>
    <x v="39"/>
    <n v="80"/>
    <m/>
    <n v="5"/>
    <m/>
    <n v="85"/>
    <m/>
    <n v="0"/>
    <n v="0"/>
    <n v="85"/>
    <m/>
    <n v="0"/>
    <m/>
    <n v="85"/>
    <m/>
    <n v="0"/>
    <n v="0"/>
    <n v="0"/>
    <n v="0"/>
  </r>
  <r>
    <x v="0"/>
    <x v="0"/>
    <x v="0"/>
    <x v="5"/>
    <x v="13"/>
    <x v="40"/>
    <n v="8"/>
    <m/>
    <n v="0.5"/>
    <m/>
    <n v="8.5"/>
    <m/>
    <n v="0"/>
    <n v="0"/>
    <n v="8.5"/>
    <m/>
    <n v="0"/>
    <m/>
    <n v="8.5"/>
    <m/>
    <n v="0"/>
    <n v="0"/>
    <n v="0"/>
    <n v="0"/>
  </r>
  <r>
    <x v="0"/>
    <x v="0"/>
    <x v="0"/>
    <x v="6"/>
    <x v="14"/>
    <x v="41"/>
    <n v="1.5"/>
    <m/>
    <n v="0.14999999999999991"/>
    <m/>
    <n v="1.65"/>
    <m/>
    <n v="0"/>
    <n v="0"/>
    <n v="1.65"/>
    <m/>
    <n v="0"/>
    <m/>
    <n v="1.65"/>
    <m/>
    <n v="0"/>
    <m/>
    <m/>
    <m/>
  </r>
  <r>
    <x v="0"/>
    <x v="0"/>
    <x v="0"/>
    <x v="7"/>
    <x v="15"/>
    <x v="42"/>
    <n v="4.2"/>
    <m/>
    <n v="0.25"/>
    <m/>
    <n v="4.45"/>
    <m/>
    <n v="0"/>
    <n v="0"/>
    <n v="4.45"/>
    <m/>
    <n v="0"/>
    <m/>
    <n v="4.45"/>
    <m/>
    <n v="0"/>
    <n v="0"/>
    <n v="0"/>
    <n v="0"/>
  </r>
  <r>
    <x v="0"/>
    <x v="0"/>
    <x v="0"/>
    <x v="7"/>
    <x v="16"/>
    <x v="43"/>
    <n v="5.25"/>
    <m/>
    <n v="0.29999999999999982"/>
    <m/>
    <n v="5.55"/>
    <m/>
    <n v="0"/>
    <n v="0"/>
    <n v="5.55"/>
    <m/>
    <n v="0"/>
    <m/>
    <n v="5.55"/>
    <m/>
    <n v="0"/>
    <n v="0"/>
    <n v="0"/>
    <n v="0"/>
  </r>
  <r>
    <x v="0"/>
    <x v="0"/>
    <x v="0"/>
    <x v="7"/>
    <x v="17"/>
    <x v="44"/>
    <n v="15.5"/>
    <m/>
    <n v="1.25"/>
    <m/>
    <n v="16.75"/>
    <m/>
    <n v="0"/>
    <n v="0"/>
    <n v="16.75"/>
    <m/>
    <n v="0"/>
    <m/>
    <n v="16.75"/>
    <m/>
    <n v="0"/>
    <n v="0"/>
    <n v="0"/>
    <n v="0"/>
  </r>
  <r>
    <x v="0"/>
    <x v="0"/>
    <x v="0"/>
    <x v="7"/>
    <x v="18"/>
    <x v="45"/>
    <n v="6.2"/>
    <m/>
    <n v="0.39999999999999947"/>
    <m/>
    <n v="6.6"/>
    <m/>
    <n v="0"/>
    <n v="0"/>
    <n v="6.6"/>
    <m/>
    <n v="0"/>
    <m/>
    <n v="6.6"/>
    <m/>
    <n v="0"/>
    <n v="0"/>
    <n v="0"/>
    <n v="0"/>
  </r>
  <r>
    <x v="0"/>
    <x v="0"/>
    <x v="0"/>
    <x v="7"/>
    <x v="19"/>
    <x v="46"/>
    <n v="8.3000000000000007"/>
    <m/>
    <n v="0.5"/>
    <m/>
    <n v="8.8000000000000007"/>
    <m/>
    <n v="0"/>
    <n v="0"/>
    <n v="8.8000000000000007"/>
    <m/>
    <n v="0"/>
    <m/>
    <n v="8.8000000000000007"/>
    <m/>
    <n v="0"/>
    <n v="0"/>
    <n v="0"/>
    <n v="0"/>
  </r>
  <r>
    <x v="0"/>
    <x v="0"/>
    <x v="0"/>
    <x v="7"/>
    <x v="20"/>
    <x v="47"/>
    <n v="15.5"/>
    <m/>
    <n v="1.25"/>
    <m/>
    <n v="16.75"/>
    <m/>
    <n v="0"/>
    <n v="0"/>
    <n v="16.75"/>
    <m/>
    <n v="0"/>
    <m/>
    <n v="16.75"/>
    <m/>
    <n v="0"/>
    <n v="0"/>
    <n v="0"/>
    <n v="0"/>
  </r>
  <r>
    <x v="0"/>
    <x v="0"/>
    <x v="0"/>
    <x v="7"/>
    <x v="21"/>
    <x v="48"/>
    <n v="43"/>
    <m/>
    <n v="3"/>
    <m/>
    <n v="46"/>
    <m/>
    <n v="0"/>
    <n v="0"/>
    <n v="46"/>
    <m/>
    <n v="0"/>
    <m/>
    <n v="46"/>
    <m/>
    <n v="0"/>
    <n v="0"/>
    <n v="0"/>
    <n v="0"/>
  </r>
  <r>
    <x v="0"/>
    <x v="0"/>
    <x v="0"/>
    <x v="7"/>
    <x v="22"/>
    <x v="49"/>
    <n v="43"/>
    <m/>
    <n v="3"/>
    <m/>
    <n v="46"/>
    <m/>
    <n v="0"/>
    <n v="0"/>
    <n v="46"/>
    <m/>
    <n v="0"/>
    <m/>
    <n v="46"/>
    <m/>
    <n v="0"/>
    <n v="0"/>
    <n v="0"/>
    <n v="0"/>
  </r>
  <r>
    <x v="0"/>
    <x v="0"/>
    <x v="0"/>
    <x v="7"/>
    <x v="23"/>
    <x v="50"/>
    <n v="14.5"/>
    <m/>
    <n v="1.75"/>
    <m/>
    <n v="16.25"/>
    <m/>
    <n v="0"/>
    <n v="0"/>
    <n v="16.25"/>
    <m/>
    <n v="0"/>
    <m/>
    <n v="16.25"/>
    <m/>
    <n v="0"/>
    <n v="0"/>
    <n v="0"/>
    <n v="0"/>
  </r>
  <r>
    <x v="0"/>
    <x v="0"/>
    <x v="0"/>
    <x v="7"/>
    <x v="24"/>
    <x v="51"/>
    <n v="14.5"/>
    <m/>
    <n v="1.75"/>
    <m/>
    <n v="16.25"/>
    <m/>
    <n v="0"/>
    <n v="0"/>
    <n v="16.25"/>
    <m/>
    <n v="0"/>
    <m/>
    <n v="16.25"/>
    <m/>
    <n v="0"/>
    <n v="0"/>
    <n v="0"/>
    <n v="0"/>
  </r>
  <r>
    <x v="0"/>
    <x v="0"/>
    <x v="0"/>
    <x v="8"/>
    <x v="25"/>
    <x v="52"/>
    <n v="8.65"/>
    <m/>
    <n v="1.3499999999999996"/>
    <m/>
    <n v="10"/>
    <m/>
    <n v="0"/>
    <n v="0"/>
    <n v="10"/>
    <m/>
    <n v="0"/>
    <m/>
    <n v="10"/>
    <m/>
    <n v="0"/>
    <n v="0"/>
    <n v="0"/>
    <n v="0"/>
  </r>
  <r>
    <x v="0"/>
    <x v="0"/>
    <x v="0"/>
    <x v="8"/>
    <x v="26"/>
    <x v="53"/>
    <n v="7.15"/>
    <m/>
    <n v="0.44999999999999929"/>
    <m/>
    <n v="7.6"/>
    <m/>
    <n v="0"/>
    <n v="0"/>
    <n v="7.6"/>
    <m/>
    <n v="0"/>
    <m/>
    <n v="7.6"/>
    <m/>
    <n v="0"/>
    <n v="0"/>
    <n v="0"/>
    <n v="0"/>
  </r>
  <r>
    <x v="0"/>
    <x v="0"/>
    <x v="0"/>
    <x v="8"/>
    <x v="27"/>
    <x v="54"/>
    <n v="7.15"/>
    <m/>
    <n v="0.44999999999999929"/>
    <m/>
    <n v="7.6"/>
    <m/>
    <n v="0"/>
    <n v="0"/>
    <n v="7.6"/>
    <m/>
    <n v="0"/>
    <m/>
    <n v="7.6"/>
    <m/>
    <n v="0"/>
    <n v="0"/>
    <n v="0"/>
    <n v="0"/>
  </r>
  <r>
    <x v="0"/>
    <x v="0"/>
    <x v="0"/>
    <x v="9"/>
    <x v="28"/>
    <x v="55"/>
    <n v="8.3000000000000007"/>
    <m/>
    <n v="0.5"/>
    <m/>
    <n v="8.8000000000000007"/>
    <m/>
    <n v="0"/>
    <n v="0"/>
    <n v="8.8000000000000007"/>
    <m/>
    <n v="0"/>
    <m/>
    <n v="8.8000000000000007"/>
    <m/>
    <n v="0"/>
    <n v="0"/>
    <n v="0"/>
    <n v="0"/>
  </r>
  <r>
    <x v="0"/>
    <x v="0"/>
    <x v="0"/>
    <x v="10"/>
    <x v="29"/>
    <x v="56"/>
    <n v="0"/>
    <m/>
    <n v="0"/>
    <m/>
    <n v="0"/>
    <m/>
    <n v="0"/>
    <n v="0"/>
    <m/>
    <m/>
    <m/>
    <m/>
    <m/>
    <m/>
    <n v="0"/>
    <m/>
    <m/>
    <m/>
  </r>
  <r>
    <x v="0"/>
    <x v="0"/>
    <x v="0"/>
    <x v="11"/>
    <x v="30"/>
    <x v="57"/>
    <n v="24"/>
    <m/>
    <n v="1.5"/>
    <m/>
    <n v="25.5"/>
    <m/>
    <n v="0"/>
    <n v="0"/>
    <n v="25.5"/>
    <m/>
    <n v="0"/>
    <m/>
    <n v="25.5"/>
    <m/>
    <n v="0"/>
    <n v="0"/>
    <n v="0"/>
    <n v="0"/>
  </r>
  <r>
    <x v="0"/>
    <x v="0"/>
    <x v="0"/>
    <x v="12"/>
    <x v="31"/>
    <x v="58"/>
    <n v="100"/>
    <m/>
    <n v="0"/>
    <m/>
    <n v="100"/>
    <m/>
    <n v="0"/>
    <n v="0"/>
    <n v="100"/>
    <m/>
    <n v="0"/>
    <m/>
    <n v="100"/>
    <m/>
    <n v="0"/>
    <n v="0"/>
    <n v="0"/>
    <n v="0"/>
  </r>
  <r>
    <x v="0"/>
    <x v="0"/>
    <x v="0"/>
    <x v="13"/>
    <x v="32"/>
    <x v="59"/>
    <n v="24"/>
    <m/>
    <n v="1.5"/>
    <m/>
    <n v="25.5"/>
    <m/>
    <n v="0"/>
    <n v="0"/>
    <n v="25.5"/>
    <m/>
    <n v="0"/>
    <m/>
    <n v="25.5"/>
    <m/>
    <n v="0"/>
    <n v="0"/>
    <n v="0"/>
    <n v="0"/>
  </r>
  <r>
    <x v="0"/>
    <x v="0"/>
    <x v="0"/>
    <x v="14"/>
    <x v="33"/>
    <x v="60"/>
    <n v="24"/>
    <m/>
    <n v="1.5"/>
    <m/>
    <n v="25.5"/>
    <m/>
    <n v="0"/>
    <n v="0"/>
    <n v="25.5"/>
    <m/>
    <n v="0"/>
    <m/>
    <n v="25.5"/>
    <m/>
    <n v="0"/>
    <n v="0"/>
    <n v="0"/>
    <n v="0"/>
  </r>
  <r>
    <x v="0"/>
    <x v="0"/>
    <x v="0"/>
    <x v="15"/>
    <x v="34"/>
    <x v="61"/>
    <n v="6.55"/>
    <m/>
    <n v="0.40000000000000036"/>
    <m/>
    <n v="6.95"/>
    <m/>
    <n v="0"/>
    <n v="0"/>
    <n v="6.95"/>
    <m/>
    <n v="0"/>
    <m/>
    <n v="6.95"/>
    <m/>
    <n v="0"/>
    <n v="0"/>
    <n v="0"/>
    <n v="0"/>
  </r>
  <r>
    <x v="0"/>
    <x v="0"/>
    <x v="0"/>
    <x v="16"/>
    <x v="35"/>
    <x v="62"/>
    <n v="1.05"/>
    <m/>
    <n v="0"/>
    <m/>
    <n v="1.05"/>
    <m/>
    <n v="0"/>
    <n v="0"/>
    <n v="1.05"/>
    <m/>
    <n v="0"/>
    <m/>
    <n v="1.05"/>
    <m/>
    <n v="0"/>
    <n v="0"/>
    <n v="0"/>
    <n v="0"/>
  </r>
  <r>
    <x v="0"/>
    <x v="0"/>
    <x v="0"/>
    <x v="16"/>
    <x v="36"/>
    <x v="63"/>
    <n v="1.05"/>
    <m/>
    <n v="0"/>
    <m/>
    <n v="1.05"/>
    <m/>
    <n v="0"/>
    <n v="0"/>
    <n v="1.05"/>
    <m/>
    <n v="0"/>
    <m/>
    <n v="1.05"/>
    <m/>
    <n v="0"/>
    <n v="0"/>
    <n v="0"/>
    <n v="0"/>
  </r>
  <r>
    <x v="0"/>
    <x v="0"/>
    <x v="0"/>
    <x v="17"/>
    <x v="37"/>
    <x v="64"/>
    <n v="4"/>
    <m/>
    <n v="0.25"/>
    <m/>
    <n v="4.25"/>
    <m/>
    <n v="0"/>
    <n v="0"/>
    <n v="4.25"/>
    <m/>
    <n v="0"/>
    <m/>
    <n v="4.25"/>
    <m/>
    <n v="0"/>
    <n v="0"/>
    <n v="0"/>
    <n v="0"/>
  </r>
  <r>
    <x v="0"/>
    <x v="0"/>
    <x v="0"/>
    <x v="18"/>
    <x v="38"/>
    <x v="65"/>
    <n v="16"/>
    <m/>
    <n v="0"/>
    <m/>
    <n v="16"/>
    <m/>
    <n v="0"/>
    <n v="0"/>
    <n v="16"/>
    <m/>
    <n v="0"/>
    <m/>
    <n v="16"/>
    <m/>
    <n v="0"/>
    <n v="0"/>
    <n v="0"/>
    <n v="0"/>
  </r>
  <r>
    <x v="0"/>
    <x v="0"/>
    <x v="0"/>
    <x v="19"/>
    <x v="39"/>
    <x v="66"/>
    <n v="16"/>
    <m/>
    <n v="0"/>
    <m/>
    <n v="16"/>
    <m/>
    <n v="0"/>
    <n v="0"/>
    <n v="16"/>
    <m/>
    <n v="0"/>
    <m/>
    <n v="16"/>
    <m/>
    <n v="0"/>
    <n v="0"/>
    <n v="0"/>
    <n v="0"/>
  </r>
  <r>
    <x v="1"/>
    <x v="0"/>
    <x v="0"/>
    <x v="2"/>
    <x v="9"/>
    <x v="36"/>
    <n v="24"/>
    <m/>
    <n v="1.5"/>
    <m/>
    <n v="25.5"/>
    <m/>
    <n v="0"/>
    <n v="0"/>
    <n v="25.5"/>
    <m/>
    <n v="0"/>
    <m/>
    <n v="25.5"/>
    <m/>
    <n v="0"/>
    <n v="0"/>
    <n v="0"/>
    <n v="0"/>
  </r>
  <r>
    <x v="1"/>
    <x v="0"/>
    <x v="0"/>
    <x v="3"/>
    <x v="10"/>
    <x v="37"/>
    <n v="19"/>
    <m/>
    <n v="0"/>
    <m/>
    <n v="19"/>
    <m/>
    <n v="0"/>
    <n v="0"/>
    <n v="19"/>
    <m/>
    <n v="0"/>
    <m/>
    <n v="19"/>
    <m/>
    <n v="0"/>
    <n v="0"/>
    <n v="0"/>
    <n v="0"/>
  </r>
  <r>
    <x v="1"/>
    <x v="0"/>
    <x v="0"/>
    <x v="4"/>
    <x v="11"/>
    <x v="38"/>
    <n v="175"/>
    <m/>
    <n v="10"/>
    <m/>
    <n v="185"/>
    <m/>
    <n v="0"/>
    <n v="0"/>
    <n v="185"/>
    <m/>
    <n v="0"/>
    <m/>
    <n v="185"/>
    <m/>
    <n v="0"/>
    <n v="0"/>
    <n v="0"/>
    <n v="0"/>
  </r>
  <r>
    <x v="1"/>
    <x v="0"/>
    <x v="0"/>
    <x v="4"/>
    <x v="12"/>
    <x v="39"/>
    <n v="80"/>
    <m/>
    <n v="5"/>
    <m/>
    <n v="85"/>
    <m/>
    <n v="0"/>
    <n v="0"/>
    <n v="85"/>
    <m/>
    <n v="0"/>
    <m/>
    <n v="85"/>
    <m/>
    <n v="0"/>
    <n v="0"/>
    <n v="0"/>
    <n v="0"/>
  </r>
  <r>
    <x v="1"/>
    <x v="0"/>
    <x v="0"/>
    <x v="5"/>
    <x v="13"/>
    <x v="40"/>
    <n v="8"/>
    <m/>
    <n v="0.5"/>
    <m/>
    <n v="8.5"/>
    <m/>
    <n v="0"/>
    <n v="0"/>
    <n v="8.5"/>
    <m/>
    <n v="0"/>
    <m/>
    <n v="8.5"/>
    <m/>
    <n v="0"/>
    <n v="0"/>
    <n v="0"/>
    <n v="0"/>
  </r>
  <r>
    <x v="1"/>
    <x v="0"/>
    <x v="0"/>
    <x v="6"/>
    <x v="14"/>
    <x v="41"/>
    <n v="1.5"/>
    <m/>
    <n v="0.14999999999999991"/>
    <m/>
    <n v="1.65"/>
    <m/>
    <n v="0"/>
    <n v="0"/>
    <n v="1.65"/>
    <m/>
    <n v="0"/>
    <m/>
    <n v="1.65"/>
    <m/>
    <n v="0"/>
    <m/>
    <m/>
    <m/>
  </r>
  <r>
    <x v="1"/>
    <x v="0"/>
    <x v="0"/>
    <x v="7"/>
    <x v="15"/>
    <x v="42"/>
    <n v="4.2"/>
    <m/>
    <n v="0.25"/>
    <m/>
    <n v="4.45"/>
    <m/>
    <n v="0"/>
    <n v="0"/>
    <n v="4.45"/>
    <m/>
    <n v="0"/>
    <m/>
    <n v="4.45"/>
    <m/>
    <n v="0"/>
    <n v="0"/>
    <n v="0"/>
    <n v="0"/>
  </r>
  <r>
    <x v="1"/>
    <x v="0"/>
    <x v="0"/>
    <x v="7"/>
    <x v="16"/>
    <x v="43"/>
    <n v="5.25"/>
    <m/>
    <n v="0.29999999999999982"/>
    <m/>
    <n v="5.55"/>
    <m/>
    <n v="0"/>
    <n v="0"/>
    <n v="5.55"/>
    <m/>
    <n v="0"/>
    <m/>
    <n v="5.55"/>
    <m/>
    <n v="0"/>
    <n v="0"/>
    <n v="0"/>
    <n v="0"/>
  </r>
  <r>
    <x v="1"/>
    <x v="0"/>
    <x v="0"/>
    <x v="7"/>
    <x v="17"/>
    <x v="44"/>
    <n v="15.5"/>
    <m/>
    <n v="1.25"/>
    <m/>
    <n v="16.75"/>
    <m/>
    <n v="0"/>
    <n v="0"/>
    <n v="16.75"/>
    <m/>
    <n v="0"/>
    <m/>
    <n v="16.75"/>
    <m/>
    <n v="0"/>
    <n v="0"/>
    <n v="0"/>
    <n v="0"/>
  </r>
  <r>
    <x v="1"/>
    <x v="0"/>
    <x v="0"/>
    <x v="7"/>
    <x v="18"/>
    <x v="45"/>
    <n v="6.2"/>
    <m/>
    <n v="0.39999999999999947"/>
    <m/>
    <n v="6.6"/>
    <m/>
    <n v="0"/>
    <n v="0"/>
    <n v="6.6"/>
    <m/>
    <n v="0"/>
    <m/>
    <n v="6.6"/>
    <m/>
    <n v="0"/>
    <n v="0"/>
    <n v="0"/>
    <n v="0"/>
  </r>
  <r>
    <x v="1"/>
    <x v="0"/>
    <x v="0"/>
    <x v="7"/>
    <x v="19"/>
    <x v="46"/>
    <n v="8.3000000000000007"/>
    <m/>
    <n v="0.5"/>
    <m/>
    <n v="8.8000000000000007"/>
    <m/>
    <n v="0"/>
    <n v="0"/>
    <n v="8.8000000000000007"/>
    <m/>
    <n v="0"/>
    <m/>
    <n v="8.8000000000000007"/>
    <m/>
    <n v="0"/>
    <n v="0"/>
    <n v="0"/>
    <n v="0"/>
  </r>
  <r>
    <x v="1"/>
    <x v="0"/>
    <x v="0"/>
    <x v="7"/>
    <x v="20"/>
    <x v="47"/>
    <n v="15.5"/>
    <m/>
    <n v="1.25"/>
    <m/>
    <n v="16.75"/>
    <m/>
    <n v="0"/>
    <n v="0"/>
    <n v="16.75"/>
    <m/>
    <n v="0"/>
    <m/>
    <n v="16.75"/>
    <m/>
    <n v="0"/>
    <n v="0"/>
    <n v="0"/>
    <n v="0"/>
  </r>
  <r>
    <x v="1"/>
    <x v="0"/>
    <x v="0"/>
    <x v="7"/>
    <x v="21"/>
    <x v="48"/>
    <n v="43"/>
    <m/>
    <n v="3"/>
    <m/>
    <n v="46"/>
    <m/>
    <n v="0"/>
    <n v="0"/>
    <n v="46"/>
    <m/>
    <n v="0"/>
    <m/>
    <n v="46"/>
    <m/>
    <n v="0"/>
    <n v="0"/>
    <n v="0"/>
    <n v="0"/>
  </r>
  <r>
    <x v="1"/>
    <x v="0"/>
    <x v="0"/>
    <x v="7"/>
    <x v="22"/>
    <x v="49"/>
    <n v="43"/>
    <m/>
    <n v="3"/>
    <m/>
    <n v="46"/>
    <m/>
    <n v="0"/>
    <n v="0"/>
    <n v="46"/>
    <m/>
    <n v="0"/>
    <m/>
    <n v="46"/>
    <m/>
    <n v="0"/>
    <n v="0"/>
    <n v="0"/>
    <n v="0"/>
  </r>
  <r>
    <x v="1"/>
    <x v="0"/>
    <x v="0"/>
    <x v="7"/>
    <x v="23"/>
    <x v="50"/>
    <n v="14.5"/>
    <m/>
    <n v="1.75"/>
    <m/>
    <n v="16.25"/>
    <m/>
    <n v="0"/>
    <n v="0"/>
    <n v="16.25"/>
    <m/>
    <n v="0"/>
    <m/>
    <n v="16.25"/>
    <m/>
    <n v="0"/>
    <n v="0"/>
    <n v="0"/>
    <n v="0"/>
  </r>
  <r>
    <x v="1"/>
    <x v="0"/>
    <x v="0"/>
    <x v="7"/>
    <x v="24"/>
    <x v="51"/>
    <n v="14.5"/>
    <m/>
    <n v="1.75"/>
    <m/>
    <n v="16.25"/>
    <m/>
    <n v="0"/>
    <n v="0"/>
    <n v="16.25"/>
    <m/>
    <n v="0"/>
    <m/>
    <n v="16.25"/>
    <m/>
    <n v="0"/>
    <n v="0"/>
    <n v="0"/>
    <n v="0"/>
  </r>
  <r>
    <x v="1"/>
    <x v="0"/>
    <x v="0"/>
    <x v="8"/>
    <x v="25"/>
    <x v="52"/>
    <n v="8.65"/>
    <m/>
    <n v="1.3499999999999996"/>
    <m/>
    <n v="10"/>
    <m/>
    <n v="0"/>
    <n v="0"/>
    <n v="10"/>
    <m/>
    <n v="0"/>
    <m/>
    <n v="10"/>
    <m/>
    <n v="0"/>
    <n v="0"/>
    <n v="0"/>
    <n v="0"/>
  </r>
  <r>
    <x v="1"/>
    <x v="0"/>
    <x v="0"/>
    <x v="8"/>
    <x v="26"/>
    <x v="53"/>
    <n v="7.15"/>
    <m/>
    <n v="0.44999999999999929"/>
    <m/>
    <n v="7.6"/>
    <m/>
    <n v="0"/>
    <n v="0"/>
    <n v="7.6"/>
    <m/>
    <n v="0"/>
    <m/>
    <n v="7.6"/>
    <m/>
    <n v="0"/>
    <n v="0"/>
    <n v="0"/>
    <n v="0"/>
  </r>
  <r>
    <x v="1"/>
    <x v="0"/>
    <x v="0"/>
    <x v="8"/>
    <x v="27"/>
    <x v="54"/>
    <n v="7.15"/>
    <m/>
    <n v="0.44999999999999929"/>
    <m/>
    <n v="7.6"/>
    <m/>
    <n v="0"/>
    <n v="0"/>
    <n v="7.6"/>
    <m/>
    <n v="0"/>
    <m/>
    <n v="7.6"/>
    <m/>
    <n v="0"/>
    <n v="0"/>
    <n v="0"/>
    <n v="0"/>
  </r>
  <r>
    <x v="1"/>
    <x v="0"/>
    <x v="0"/>
    <x v="9"/>
    <x v="28"/>
    <x v="55"/>
    <n v="8.3000000000000007"/>
    <m/>
    <n v="0.5"/>
    <m/>
    <n v="8.8000000000000007"/>
    <m/>
    <n v="0"/>
    <n v="0"/>
    <n v="8.8000000000000007"/>
    <m/>
    <n v="0"/>
    <m/>
    <n v="8.8000000000000007"/>
    <m/>
    <n v="0"/>
    <n v="0"/>
    <n v="0"/>
    <n v="0"/>
  </r>
  <r>
    <x v="1"/>
    <x v="0"/>
    <x v="0"/>
    <x v="10"/>
    <x v="29"/>
    <x v="56"/>
    <n v="0"/>
    <m/>
    <n v="0"/>
    <m/>
    <n v="0"/>
    <m/>
    <n v="0"/>
    <n v="0"/>
    <m/>
    <m/>
    <m/>
    <m/>
    <m/>
    <m/>
    <n v="0"/>
    <m/>
    <m/>
    <m/>
  </r>
  <r>
    <x v="1"/>
    <x v="0"/>
    <x v="0"/>
    <x v="11"/>
    <x v="30"/>
    <x v="57"/>
    <n v="24"/>
    <m/>
    <n v="1.5"/>
    <m/>
    <n v="25.5"/>
    <m/>
    <n v="0"/>
    <n v="0"/>
    <n v="25.5"/>
    <m/>
    <n v="0"/>
    <m/>
    <n v="25.5"/>
    <m/>
    <n v="0"/>
    <n v="0"/>
    <n v="0"/>
    <n v="0"/>
  </r>
  <r>
    <x v="1"/>
    <x v="0"/>
    <x v="0"/>
    <x v="12"/>
    <x v="31"/>
    <x v="58"/>
    <n v="100"/>
    <m/>
    <n v="0"/>
    <m/>
    <n v="100"/>
    <m/>
    <n v="0"/>
    <n v="0"/>
    <n v="100"/>
    <m/>
    <n v="0"/>
    <m/>
    <n v="100"/>
    <m/>
    <n v="0"/>
    <n v="0"/>
    <n v="0"/>
    <n v="0"/>
  </r>
  <r>
    <x v="1"/>
    <x v="0"/>
    <x v="0"/>
    <x v="13"/>
    <x v="32"/>
    <x v="59"/>
    <n v="24"/>
    <m/>
    <n v="1.5"/>
    <m/>
    <n v="25.5"/>
    <m/>
    <n v="0"/>
    <n v="0"/>
    <n v="25.5"/>
    <m/>
    <n v="0"/>
    <m/>
    <n v="25.5"/>
    <m/>
    <n v="0"/>
    <n v="0"/>
    <n v="0"/>
    <n v="0"/>
  </r>
  <r>
    <x v="1"/>
    <x v="0"/>
    <x v="0"/>
    <x v="14"/>
    <x v="33"/>
    <x v="60"/>
    <n v="24"/>
    <m/>
    <n v="1.5"/>
    <m/>
    <n v="25.5"/>
    <m/>
    <n v="0"/>
    <n v="0"/>
    <n v="25.5"/>
    <m/>
    <n v="0"/>
    <m/>
    <n v="25.5"/>
    <m/>
    <n v="0"/>
    <n v="0"/>
    <n v="0"/>
    <n v="0"/>
  </r>
  <r>
    <x v="1"/>
    <x v="0"/>
    <x v="0"/>
    <x v="15"/>
    <x v="34"/>
    <x v="61"/>
    <n v="6.55"/>
    <m/>
    <n v="0.40000000000000036"/>
    <m/>
    <n v="6.95"/>
    <m/>
    <n v="0"/>
    <n v="0"/>
    <n v="6.95"/>
    <m/>
    <n v="0"/>
    <m/>
    <n v="6.95"/>
    <m/>
    <n v="0"/>
    <n v="0"/>
    <n v="0"/>
    <n v="0"/>
  </r>
  <r>
    <x v="1"/>
    <x v="0"/>
    <x v="0"/>
    <x v="16"/>
    <x v="35"/>
    <x v="62"/>
    <n v="1.05"/>
    <m/>
    <n v="0"/>
    <m/>
    <n v="1.05"/>
    <m/>
    <n v="0"/>
    <n v="0"/>
    <n v="1.05"/>
    <m/>
    <n v="0"/>
    <m/>
    <n v="1.05"/>
    <m/>
    <n v="0"/>
    <n v="0"/>
    <n v="0"/>
    <n v="0"/>
  </r>
  <r>
    <x v="1"/>
    <x v="0"/>
    <x v="0"/>
    <x v="16"/>
    <x v="36"/>
    <x v="63"/>
    <n v="1.05"/>
    <m/>
    <n v="0"/>
    <m/>
    <n v="1.05"/>
    <m/>
    <n v="0"/>
    <n v="0"/>
    <n v="1.05"/>
    <m/>
    <n v="0"/>
    <m/>
    <n v="1.05"/>
    <m/>
    <n v="0"/>
    <n v="0"/>
    <n v="0"/>
    <n v="0"/>
  </r>
  <r>
    <x v="1"/>
    <x v="0"/>
    <x v="0"/>
    <x v="17"/>
    <x v="37"/>
    <x v="64"/>
    <n v="4"/>
    <m/>
    <n v="0.25"/>
    <m/>
    <n v="4.25"/>
    <m/>
    <n v="0"/>
    <n v="0"/>
    <n v="4.25"/>
    <m/>
    <n v="0"/>
    <m/>
    <n v="4.25"/>
    <m/>
    <n v="0"/>
    <n v="0"/>
    <n v="0"/>
    <n v="0"/>
  </r>
  <r>
    <x v="1"/>
    <x v="0"/>
    <x v="0"/>
    <x v="18"/>
    <x v="38"/>
    <x v="65"/>
    <n v="16"/>
    <m/>
    <n v="0"/>
    <m/>
    <n v="16"/>
    <m/>
    <n v="0"/>
    <n v="0"/>
    <n v="16"/>
    <m/>
    <n v="0"/>
    <m/>
    <n v="16"/>
    <m/>
    <n v="0"/>
    <n v="0"/>
    <n v="0"/>
    <n v="0"/>
  </r>
  <r>
    <x v="1"/>
    <x v="0"/>
    <x v="0"/>
    <x v="19"/>
    <x v="39"/>
    <x v="66"/>
    <n v="16"/>
    <m/>
    <n v="0"/>
    <m/>
    <n v="16"/>
    <m/>
    <n v="0"/>
    <n v="0"/>
    <n v="16"/>
    <m/>
    <n v="0"/>
    <m/>
    <n v="16"/>
    <m/>
    <n v="0"/>
    <n v="0"/>
    <n v="0"/>
    <n v="0"/>
  </r>
  <r>
    <x v="2"/>
    <x v="0"/>
    <x v="0"/>
    <x v="2"/>
    <x v="9"/>
    <x v="36"/>
    <n v="24"/>
    <m/>
    <n v="1.5"/>
    <m/>
    <n v="25.5"/>
    <m/>
    <n v="0"/>
    <n v="0"/>
    <n v="25.5"/>
    <m/>
    <n v="0"/>
    <m/>
    <n v="25.5"/>
    <m/>
    <n v="0"/>
    <n v="0"/>
    <n v="0"/>
    <n v="0"/>
  </r>
  <r>
    <x v="2"/>
    <x v="0"/>
    <x v="0"/>
    <x v="3"/>
    <x v="10"/>
    <x v="37"/>
    <n v="19"/>
    <m/>
    <n v="0"/>
    <m/>
    <n v="19"/>
    <m/>
    <n v="0"/>
    <n v="0"/>
    <n v="19"/>
    <m/>
    <n v="0"/>
    <m/>
    <n v="19"/>
    <m/>
    <n v="0"/>
    <n v="0"/>
    <n v="0"/>
    <n v="0"/>
  </r>
  <r>
    <x v="2"/>
    <x v="0"/>
    <x v="0"/>
    <x v="4"/>
    <x v="11"/>
    <x v="38"/>
    <n v="175"/>
    <m/>
    <n v="10"/>
    <m/>
    <n v="185"/>
    <m/>
    <n v="0"/>
    <n v="0"/>
    <n v="185"/>
    <m/>
    <n v="0"/>
    <m/>
    <n v="185"/>
    <m/>
    <n v="0"/>
    <n v="0"/>
    <n v="0"/>
    <n v="0"/>
  </r>
  <r>
    <x v="2"/>
    <x v="0"/>
    <x v="0"/>
    <x v="4"/>
    <x v="12"/>
    <x v="39"/>
    <n v="80"/>
    <m/>
    <n v="5"/>
    <m/>
    <n v="85"/>
    <m/>
    <n v="0"/>
    <n v="0"/>
    <n v="85"/>
    <m/>
    <n v="0"/>
    <m/>
    <n v="85"/>
    <m/>
    <n v="0"/>
    <n v="0"/>
    <n v="0"/>
    <n v="0"/>
  </r>
  <r>
    <x v="2"/>
    <x v="0"/>
    <x v="0"/>
    <x v="5"/>
    <x v="13"/>
    <x v="40"/>
    <n v="8"/>
    <m/>
    <n v="0.5"/>
    <m/>
    <n v="8.5"/>
    <m/>
    <n v="0"/>
    <n v="0"/>
    <n v="8.5"/>
    <m/>
    <n v="0"/>
    <m/>
    <n v="8.5"/>
    <m/>
    <n v="0"/>
    <n v="0"/>
    <n v="0"/>
    <n v="0"/>
  </r>
  <r>
    <x v="2"/>
    <x v="0"/>
    <x v="0"/>
    <x v="6"/>
    <x v="14"/>
    <x v="41"/>
    <n v="1.5"/>
    <m/>
    <n v="0.14999999999999991"/>
    <m/>
    <n v="1.65"/>
    <m/>
    <n v="0"/>
    <n v="0"/>
    <n v="1.65"/>
    <m/>
    <n v="0"/>
    <m/>
    <n v="1.65"/>
    <m/>
    <n v="0"/>
    <m/>
    <m/>
    <m/>
  </r>
  <r>
    <x v="2"/>
    <x v="0"/>
    <x v="0"/>
    <x v="7"/>
    <x v="15"/>
    <x v="42"/>
    <n v="4.2"/>
    <m/>
    <n v="0.25"/>
    <m/>
    <n v="4.45"/>
    <m/>
    <n v="0"/>
    <n v="0"/>
    <n v="4.45"/>
    <m/>
    <n v="0"/>
    <m/>
    <n v="4.45"/>
    <m/>
    <n v="0"/>
    <n v="0"/>
    <n v="0"/>
    <n v="0"/>
  </r>
  <r>
    <x v="2"/>
    <x v="0"/>
    <x v="0"/>
    <x v="7"/>
    <x v="16"/>
    <x v="43"/>
    <n v="5.25"/>
    <m/>
    <n v="0.29999999999999982"/>
    <m/>
    <n v="5.55"/>
    <m/>
    <n v="0"/>
    <n v="0"/>
    <n v="5.55"/>
    <m/>
    <n v="0"/>
    <m/>
    <n v="5.55"/>
    <m/>
    <n v="0"/>
    <n v="0"/>
    <n v="0"/>
    <n v="0"/>
  </r>
  <r>
    <x v="2"/>
    <x v="0"/>
    <x v="0"/>
    <x v="7"/>
    <x v="17"/>
    <x v="44"/>
    <n v="15.5"/>
    <m/>
    <n v="1.25"/>
    <m/>
    <n v="16.75"/>
    <m/>
    <n v="0"/>
    <n v="0"/>
    <n v="16.75"/>
    <m/>
    <n v="0"/>
    <m/>
    <n v="16.75"/>
    <m/>
    <n v="0"/>
    <n v="0"/>
    <n v="0"/>
    <n v="0"/>
  </r>
  <r>
    <x v="2"/>
    <x v="0"/>
    <x v="0"/>
    <x v="7"/>
    <x v="18"/>
    <x v="45"/>
    <n v="6.2"/>
    <m/>
    <n v="0.39999999999999947"/>
    <m/>
    <n v="6.6"/>
    <m/>
    <n v="0"/>
    <n v="0"/>
    <n v="6.6"/>
    <m/>
    <n v="0"/>
    <m/>
    <n v="6.6"/>
    <m/>
    <n v="0"/>
    <n v="0"/>
    <n v="0"/>
    <n v="0"/>
  </r>
  <r>
    <x v="2"/>
    <x v="0"/>
    <x v="0"/>
    <x v="7"/>
    <x v="19"/>
    <x v="46"/>
    <n v="8.3000000000000007"/>
    <m/>
    <n v="0.5"/>
    <m/>
    <n v="8.8000000000000007"/>
    <m/>
    <n v="0"/>
    <n v="0"/>
    <n v="8.8000000000000007"/>
    <m/>
    <n v="0"/>
    <m/>
    <n v="8.8000000000000007"/>
    <m/>
    <n v="0"/>
    <n v="0"/>
    <n v="0"/>
    <n v="0"/>
  </r>
  <r>
    <x v="2"/>
    <x v="0"/>
    <x v="0"/>
    <x v="7"/>
    <x v="20"/>
    <x v="47"/>
    <n v="15.5"/>
    <m/>
    <n v="1.25"/>
    <m/>
    <n v="16.75"/>
    <m/>
    <n v="0"/>
    <n v="0"/>
    <n v="16.75"/>
    <m/>
    <n v="0"/>
    <m/>
    <n v="16.75"/>
    <m/>
    <n v="0"/>
    <n v="0"/>
    <n v="0"/>
    <n v="0"/>
  </r>
  <r>
    <x v="2"/>
    <x v="0"/>
    <x v="0"/>
    <x v="7"/>
    <x v="21"/>
    <x v="48"/>
    <n v="43"/>
    <m/>
    <n v="3"/>
    <m/>
    <n v="46"/>
    <m/>
    <n v="0"/>
    <n v="0"/>
    <n v="46"/>
    <m/>
    <n v="0"/>
    <m/>
    <n v="46"/>
    <m/>
    <n v="0"/>
    <n v="0"/>
    <n v="0"/>
    <n v="0"/>
  </r>
  <r>
    <x v="2"/>
    <x v="0"/>
    <x v="0"/>
    <x v="7"/>
    <x v="22"/>
    <x v="49"/>
    <n v="43"/>
    <m/>
    <n v="3"/>
    <m/>
    <n v="46"/>
    <m/>
    <n v="0"/>
    <n v="0"/>
    <n v="46"/>
    <m/>
    <n v="0"/>
    <m/>
    <n v="46"/>
    <m/>
    <n v="0"/>
    <n v="0"/>
    <n v="0"/>
    <n v="0"/>
  </r>
  <r>
    <x v="2"/>
    <x v="0"/>
    <x v="0"/>
    <x v="7"/>
    <x v="23"/>
    <x v="50"/>
    <n v="14.5"/>
    <m/>
    <n v="1.75"/>
    <m/>
    <n v="16.25"/>
    <m/>
    <n v="0"/>
    <n v="0"/>
    <n v="16.25"/>
    <m/>
    <n v="0"/>
    <m/>
    <n v="16.25"/>
    <m/>
    <n v="0"/>
    <n v="0"/>
    <n v="0"/>
    <n v="0"/>
  </r>
  <r>
    <x v="2"/>
    <x v="0"/>
    <x v="0"/>
    <x v="7"/>
    <x v="24"/>
    <x v="51"/>
    <n v="14.5"/>
    <m/>
    <n v="1.75"/>
    <m/>
    <n v="16.25"/>
    <m/>
    <n v="0"/>
    <n v="0"/>
    <n v="16.25"/>
    <m/>
    <n v="0"/>
    <m/>
    <n v="16.25"/>
    <m/>
    <n v="0"/>
    <n v="0"/>
    <n v="0"/>
    <n v="0"/>
  </r>
  <r>
    <x v="2"/>
    <x v="0"/>
    <x v="0"/>
    <x v="8"/>
    <x v="25"/>
    <x v="52"/>
    <n v="8.65"/>
    <m/>
    <n v="1.3499999999999996"/>
    <m/>
    <n v="10"/>
    <m/>
    <n v="0"/>
    <n v="0"/>
    <n v="10"/>
    <m/>
    <n v="0"/>
    <m/>
    <n v="10"/>
    <m/>
    <n v="0"/>
    <n v="0"/>
    <n v="0"/>
    <n v="0"/>
  </r>
  <r>
    <x v="2"/>
    <x v="0"/>
    <x v="0"/>
    <x v="8"/>
    <x v="26"/>
    <x v="53"/>
    <n v="7.15"/>
    <m/>
    <n v="0.44999999999999929"/>
    <m/>
    <n v="7.6"/>
    <m/>
    <n v="0"/>
    <n v="0"/>
    <n v="7.6"/>
    <m/>
    <n v="0"/>
    <m/>
    <n v="7.6"/>
    <m/>
    <n v="0"/>
    <n v="0"/>
    <n v="0"/>
    <n v="0"/>
  </r>
  <r>
    <x v="2"/>
    <x v="0"/>
    <x v="0"/>
    <x v="8"/>
    <x v="27"/>
    <x v="54"/>
    <n v="7.15"/>
    <m/>
    <n v="0.44999999999999929"/>
    <m/>
    <n v="7.6"/>
    <m/>
    <n v="0"/>
    <n v="0"/>
    <n v="7.6"/>
    <m/>
    <n v="0"/>
    <m/>
    <n v="7.6"/>
    <m/>
    <n v="0"/>
    <n v="0"/>
    <n v="0"/>
    <n v="0"/>
  </r>
  <r>
    <x v="2"/>
    <x v="0"/>
    <x v="0"/>
    <x v="9"/>
    <x v="28"/>
    <x v="55"/>
    <n v="8.3000000000000007"/>
    <m/>
    <n v="0.5"/>
    <m/>
    <n v="8.8000000000000007"/>
    <m/>
    <n v="0"/>
    <n v="0"/>
    <n v="8.8000000000000007"/>
    <m/>
    <n v="0"/>
    <m/>
    <n v="8.8000000000000007"/>
    <m/>
    <n v="0"/>
    <n v="0"/>
    <n v="0"/>
    <n v="0"/>
  </r>
  <r>
    <x v="2"/>
    <x v="0"/>
    <x v="0"/>
    <x v="10"/>
    <x v="29"/>
    <x v="56"/>
    <n v="0"/>
    <m/>
    <n v="0"/>
    <m/>
    <n v="0"/>
    <m/>
    <n v="0"/>
    <n v="0"/>
    <m/>
    <m/>
    <m/>
    <m/>
    <m/>
    <m/>
    <n v="0"/>
    <m/>
    <m/>
    <m/>
  </r>
  <r>
    <x v="2"/>
    <x v="0"/>
    <x v="0"/>
    <x v="11"/>
    <x v="30"/>
    <x v="57"/>
    <n v="24"/>
    <m/>
    <n v="1.5"/>
    <m/>
    <n v="25.5"/>
    <m/>
    <n v="0"/>
    <n v="0"/>
    <n v="25.5"/>
    <m/>
    <n v="0"/>
    <m/>
    <n v="25.5"/>
    <m/>
    <n v="0"/>
    <n v="0"/>
    <n v="0"/>
    <n v="0"/>
  </r>
  <r>
    <x v="2"/>
    <x v="0"/>
    <x v="0"/>
    <x v="12"/>
    <x v="31"/>
    <x v="58"/>
    <n v="100"/>
    <m/>
    <n v="0"/>
    <m/>
    <n v="100"/>
    <m/>
    <n v="0"/>
    <n v="0"/>
    <n v="100"/>
    <m/>
    <n v="0"/>
    <m/>
    <n v="100"/>
    <m/>
    <n v="0"/>
    <n v="0"/>
    <n v="0"/>
    <n v="0"/>
  </r>
  <r>
    <x v="2"/>
    <x v="0"/>
    <x v="0"/>
    <x v="13"/>
    <x v="32"/>
    <x v="59"/>
    <n v="24"/>
    <m/>
    <n v="1.5"/>
    <m/>
    <n v="25.5"/>
    <m/>
    <n v="0"/>
    <n v="0"/>
    <n v="25.5"/>
    <m/>
    <n v="0"/>
    <m/>
    <n v="25.5"/>
    <m/>
    <n v="0"/>
    <n v="0"/>
    <n v="0"/>
    <n v="0"/>
  </r>
  <r>
    <x v="2"/>
    <x v="0"/>
    <x v="0"/>
    <x v="14"/>
    <x v="33"/>
    <x v="60"/>
    <n v="24"/>
    <m/>
    <n v="1.5"/>
    <m/>
    <n v="25.5"/>
    <m/>
    <n v="0"/>
    <n v="0"/>
    <n v="25.5"/>
    <m/>
    <n v="0"/>
    <m/>
    <n v="25.5"/>
    <m/>
    <n v="0"/>
    <n v="0"/>
    <n v="0"/>
    <n v="0"/>
  </r>
  <r>
    <x v="2"/>
    <x v="0"/>
    <x v="0"/>
    <x v="15"/>
    <x v="34"/>
    <x v="61"/>
    <n v="6.55"/>
    <m/>
    <n v="0.40000000000000036"/>
    <m/>
    <n v="6.95"/>
    <m/>
    <n v="0"/>
    <n v="0"/>
    <n v="6.95"/>
    <m/>
    <n v="0"/>
    <m/>
    <n v="6.95"/>
    <m/>
    <n v="0"/>
    <n v="0"/>
    <n v="0"/>
    <n v="0"/>
  </r>
  <r>
    <x v="2"/>
    <x v="0"/>
    <x v="0"/>
    <x v="16"/>
    <x v="35"/>
    <x v="62"/>
    <n v="1.05"/>
    <m/>
    <n v="0"/>
    <m/>
    <n v="1.05"/>
    <m/>
    <n v="0"/>
    <n v="0"/>
    <n v="1.05"/>
    <m/>
    <n v="0"/>
    <m/>
    <n v="1.05"/>
    <m/>
    <n v="0"/>
    <n v="0"/>
    <n v="0"/>
    <n v="0"/>
  </r>
  <r>
    <x v="2"/>
    <x v="0"/>
    <x v="0"/>
    <x v="16"/>
    <x v="36"/>
    <x v="63"/>
    <n v="1.05"/>
    <m/>
    <n v="0"/>
    <m/>
    <n v="1.05"/>
    <m/>
    <n v="0"/>
    <n v="0"/>
    <n v="1.05"/>
    <m/>
    <n v="0"/>
    <m/>
    <n v="1.05"/>
    <m/>
    <n v="0"/>
    <n v="0"/>
    <n v="0"/>
    <n v="0"/>
  </r>
  <r>
    <x v="2"/>
    <x v="0"/>
    <x v="0"/>
    <x v="17"/>
    <x v="37"/>
    <x v="64"/>
    <n v="4"/>
    <m/>
    <n v="0.25"/>
    <m/>
    <n v="4.25"/>
    <m/>
    <n v="0"/>
    <n v="0"/>
    <n v="4.25"/>
    <m/>
    <n v="0"/>
    <m/>
    <n v="4.25"/>
    <m/>
    <n v="0"/>
    <n v="0"/>
    <n v="0"/>
    <n v="0"/>
  </r>
  <r>
    <x v="2"/>
    <x v="0"/>
    <x v="0"/>
    <x v="18"/>
    <x v="38"/>
    <x v="65"/>
    <n v="16"/>
    <m/>
    <n v="0"/>
    <m/>
    <n v="16"/>
    <m/>
    <n v="0"/>
    <n v="0"/>
    <n v="16"/>
    <m/>
    <n v="0"/>
    <m/>
    <n v="16"/>
    <m/>
    <n v="0"/>
    <n v="0"/>
    <n v="0"/>
    <n v="0"/>
  </r>
  <r>
    <x v="2"/>
    <x v="0"/>
    <x v="0"/>
    <x v="19"/>
    <x v="39"/>
    <x v="66"/>
    <n v="16"/>
    <m/>
    <n v="0"/>
    <m/>
    <n v="16"/>
    <m/>
    <n v="0"/>
    <n v="0"/>
    <n v="16"/>
    <m/>
    <n v="0"/>
    <m/>
    <n v="16"/>
    <m/>
    <n v="0"/>
    <n v="0"/>
    <n v="0"/>
    <n v="0"/>
  </r>
  <r>
    <x v="0"/>
    <x v="1"/>
    <x v="1"/>
    <x v="0"/>
    <x v="40"/>
    <x v="67"/>
    <n v="27"/>
    <m/>
    <n v="2.5"/>
    <m/>
    <n v="29.5"/>
    <m/>
    <n v="0"/>
    <n v="0"/>
    <n v="29.5"/>
    <m/>
    <n v="0"/>
    <m/>
    <n v="29.5"/>
    <m/>
    <n v="0"/>
    <n v="0"/>
    <n v="0"/>
    <n v="0"/>
  </r>
  <r>
    <x v="0"/>
    <x v="1"/>
    <x v="1"/>
    <x v="0"/>
    <x v="41"/>
    <x v="68"/>
    <n v="38"/>
    <m/>
    <n v="2"/>
    <m/>
    <n v="40"/>
    <m/>
    <n v="0"/>
    <n v="0"/>
    <n v="40"/>
    <m/>
    <n v="0"/>
    <m/>
    <n v="40"/>
    <m/>
    <n v="0"/>
    <n v="0"/>
    <n v="0"/>
    <n v="0"/>
  </r>
  <r>
    <x v="0"/>
    <x v="1"/>
    <x v="1"/>
    <x v="0"/>
    <x v="42"/>
    <x v="69"/>
    <n v="27"/>
    <m/>
    <n v="2.5"/>
    <m/>
    <n v="29.5"/>
    <m/>
    <n v="0"/>
    <n v="0"/>
    <n v="29.5"/>
    <m/>
    <n v="0"/>
    <m/>
    <n v="29.5"/>
    <m/>
    <n v="0"/>
    <n v="0"/>
    <n v="0"/>
    <n v="0"/>
  </r>
  <r>
    <x v="0"/>
    <x v="0"/>
    <x v="1"/>
    <x v="2"/>
    <x v="9"/>
    <x v="70"/>
    <n v="24"/>
    <m/>
    <n v="1.5"/>
    <m/>
    <n v="25.5"/>
    <m/>
    <n v="0"/>
    <n v="0"/>
    <n v="25.5"/>
    <m/>
    <n v="0"/>
    <m/>
    <n v="25.5"/>
    <m/>
    <n v="0"/>
    <n v="0"/>
    <n v="0"/>
    <n v="0"/>
  </r>
  <r>
    <x v="0"/>
    <x v="0"/>
    <x v="1"/>
    <x v="20"/>
    <x v="43"/>
    <x v="71"/>
    <n v="16.5"/>
    <m/>
    <n v="0"/>
    <m/>
    <n v="16.5"/>
    <m/>
    <n v="0"/>
    <n v="0"/>
    <n v="16.5"/>
    <m/>
    <n v="0"/>
    <m/>
    <n v="16.5"/>
    <m/>
    <n v="0"/>
    <n v="0"/>
    <n v="0"/>
    <n v="0"/>
  </r>
  <r>
    <x v="0"/>
    <x v="0"/>
    <x v="1"/>
    <x v="21"/>
    <x v="44"/>
    <x v="72"/>
    <n v="8.3000000000000007"/>
    <m/>
    <n v="0.5"/>
    <m/>
    <n v="8.8000000000000007"/>
    <m/>
    <n v="0"/>
    <n v="0"/>
    <n v="8.8000000000000007"/>
    <m/>
    <n v="0"/>
    <m/>
    <n v="8.8000000000000007"/>
    <m/>
    <n v="0"/>
    <n v="0"/>
    <n v="0"/>
    <n v="0"/>
  </r>
  <r>
    <x v="0"/>
    <x v="0"/>
    <x v="1"/>
    <x v="3"/>
    <x v="45"/>
    <x v="73"/>
    <n v="20"/>
    <m/>
    <n v="0"/>
    <m/>
    <n v="20"/>
    <m/>
    <n v="0"/>
    <n v="0"/>
    <n v="20"/>
    <m/>
    <n v="0"/>
    <m/>
    <n v="20"/>
    <m/>
    <n v="0"/>
    <n v="0"/>
    <n v="0"/>
    <n v="0"/>
  </r>
  <r>
    <x v="0"/>
    <x v="0"/>
    <x v="1"/>
    <x v="3"/>
    <x v="46"/>
    <x v="74"/>
    <n v="60"/>
    <m/>
    <n v="0"/>
    <m/>
    <n v="60"/>
    <m/>
    <n v="0"/>
    <n v="0"/>
    <n v="60"/>
    <m/>
    <n v="0"/>
    <m/>
    <n v="60"/>
    <m/>
    <n v="0"/>
    <n v="0"/>
    <n v="0"/>
    <n v="0"/>
  </r>
  <r>
    <x v="0"/>
    <x v="0"/>
    <x v="1"/>
    <x v="3"/>
    <x v="47"/>
    <x v="75"/>
    <n v="20"/>
    <m/>
    <n v="0"/>
    <m/>
    <n v="20"/>
    <m/>
    <n v="0"/>
    <n v="0"/>
    <n v="20"/>
    <m/>
    <n v="0"/>
    <m/>
    <n v="20"/>
    <m/>
    <n v="0"/>
    <n v="0"/>
    <n v="0"/>
    <n v="0"/>
  </r>
  <r>
    <x v="0"/>
    <x v="0"/>
    <x v="1"/>
    <x v="3"/>
    <x v="48"/>
    <x v="76"/>
    <n v="47"/>
    <m/>
    <n v="0"/>
    <m/>
    <n v="47"/>
    <m/>
    <n v="0"/>
    <n v="0"/>
    <n v="47"/>
    <m/>
    <n v="0"/>
    <m/>
    <n v="47"/>
    <m/>
    <n v="0"/>
    <n v="0"/>
    <n v="0"/>
    <n v="0"/>
  </r>
  <r>
    <x v="0"/>
    <x v="0"/>
    <x v="1"/>
    <x v="3"/>
    <x v="49"/>
    <x v="77"/>
    <n v="14.5"/>
    <m/>
    <n v="0"/>
    <m/>
    <n v="14.5"/>
    <m/>
    <n v="0"/>
    <n v="0"/>
    <n v="14.5"/>
    <m/>
    <n v="0"/>
    <m/>
    <n v="14.5"/>
    <m/>
    <n v="0"/>
    <n v="0"/>
    <n v="0"/>
    <n v="0"/>
  </r>
  <r>
    <x v="0"/>
    <x v="0"/>
    <x v="1"/>
    <x v="22"/>
    <x v="50"/>
    <x v="78"/>
    <n v="4.6500000000000004"/>
    <m/>
    <n v="0.29999999999999982"/>
    <m/>
    <n v="4.95"/>
    <m/>
    <n v="0"/>
    <n v="0"/>
    <n v="4.95"/>
    <m/>
    <n v="0"/>
    <m/>
    <n v="4.95"/>
    <m/>
    <n v="0"/>
    <n v="0"/>
    <n v="0"/>
    <n v="0"/>
  </r>
  <r>
    <x v="0"/>
    <x v="0"/>
    <x v="1"/>
    <x v="22"/>
    <x v="51"/>
    <x v="79"/>
    <n v="10.5"/>
    <m/>
    <n v="0.75"/>
    <m/>
    <n v="11.25"/>
    <m/>
    <n v="0"/>
    <n v="0"/>
    <n v="11.25"/>
    <m/>
    <n v="0"/>
    <m/>
    <n v="11.25"/>
    <m/>
    <n v="0"/>
    <n v="0"/>
    <n v="0"/>
    <n v="0"/>
  </r>
  <r>
    <x v="0"/>
    <x v="0"/>
    <x v="1"/>
    <x v="22"/>
    <x v="52"/>
    <x v="80"/>
    <n v="24"/>
    <m/>
    <n v="1.5"/>
    <m/>
    <n v="25.5"/>
    <m/>
    <n v="0"/>
    <n v="0"/>
    <n v="25.5"/>
    <m/>
    <n v="0"/>
    <m/>
    <n v="25.5"/>
    <m/>
    <n v="0"/>
    <n v="0"/>
    <n v="0"/>
    <n v="0"/>
  </r>
  <r>
    <x v="0"/>
    <x v="0"/>
    <x v="1"/>
    <x v="6"/>
    <x v="14"/>
    <x v="81"/>
    <n v="1.5"/>
    <m/>
    <n v="0.14999999999999991"/>
    <m/>
    <n v="1.65"/>
    <m/>
    <n v="0"/>
    <n v="0"/>
    <n v="1.65"/>
    <m/>
    <n v="0"/>
    <m/>
    <n v="1.65"/>
    <m/>
    <n v="0"/>
    <m/>
    <m/>
    <m/>
  </r>
  <r>
    <x v="0"/>
    <x v="0"/>
    <x v="1"/>
    <x v="7"/>
    <x v="15"/>
    <x v="82"/>
    <n v="4.2"/>
    <m/>
    <n v="0.25"/>
    <m/>
    <n v="4.45"/>
    <m/>
    <n v="0"/>
    <n v="0"/>
    <n v="4.45"/>
    <m/>
    <n v="0"/>
    <m/>
    <n v="4.45"/>
    <m/>
    <n v="0"/>
    <n v="0"/>
    <n v="0"/>
    <n v="0"/>
  </r>
  <r>
    <x v="0"/>
    <x v="0"/>
    <x v="1"/>
    <x v="7"/>
    <x v="16"/>
    <x v="83"/>
    <n v="5.25"/>
    <m/>
    <n v="0.29999999999999982"/>
    <m/>
    <n v="5.55"/>
    <m/>
    <n v="0"/>
    <n v="0"/>
    <n v="5.55"/>
    <m/>
    <n v="0"/>
    <m/>
    <n v="5.55"/>
    <m/>
    <n v="0"/>
    <n v="0"/>
    <n v="0"/>
    <n v="0"/>
  </r>
  <r>
    <x v="0"/>
    <x v="0"/>
    <x v="1"/>
    <x v="7"/>
    <x v="17"/>
    <x v="84"/>
    <n v="15.5"/>
    <m/>
    <n v="1.25"/>
    <m/>
    <n v="16.75"/>
    <m/>
    <n v="0"/>
    <n v="0"/>
    <n v="16.75"/>
    <m/>
    <n v="0"/>
    <m/>
    <n v="16.75"/>
    <m/>
    <n v="0"/>
    <n v="0"/>
    <n v="0"/>
    <n v="0"/>
  </r>
  <r>
    <x v="0"/>
    <x v="0"/>
    <x v="1"/>
    <x v="7"/>
    <x v="18"/>
    <x v="85"/>
    <n v="6.2"/>
    <m/>
    <n v="0.39999999999999947"/>
    <m/>
    <n v="6.6"/>
    <m/>
    <n v="0"/>
    <n v="0"/>
    <n v="6.6"/>
    <m/>
    <n v="0"/>
    <m/>
    <n v="6.6"/>
    <m/>
    <n v="0"/>
    <n v="0"/>
    <n v="0"/>
    <n v="0"/>
  </r>
  <r>
    <x v="0"/>
    <x v="0"/>
    <x v="1"/>
    <x v="7"/>
    <x v="19"/>
    <x v="86"/>
    <n v="8.3000000000000007"/>
    <m/>
    <n v="0.5"/>
    <m/>
    <n v="8.8000000000000007"/>
    <m/>
    <n v="0"/>
    <n v="0"/>
    <n v="8.8000000000000007"/>
    <m/>
    <n v="0"/>
    <m/>
    <n v="8.8000000000000007"/>
    <m/>
    <n v="0"/>
    <n v="0"/>
    <n v="0"/>
    <n v="0"/>
  </r>
  <r>
    <x v="0"/>
    <x v="0"/>
    <x v="1"/>
    <x v="7"/>
    <x v="20"/>
    <x v="87"/>
    <n v="15.5"/>
    <m/>
    <n v="1.25"/>
    <m/>
    <n v="16.75"/>
    <m/>
    <n v="0"/>
    <n v="0"/>
    <n v="16.75"/>
    <m/>
    <n v="0"/>
    <m/>
    <n v="16.75"/>
    <m/>
    <n v="0"/>
    <n v="0"/>
    <n v="0"/>
    <n v="0"/>
  </r>
  <r>
    <x v="0"/>
    <x v="0"/>
    <x v="1"/>
    <x v="7"/>
    <x v="21"/>
    <x v="88"/>
    <n v="43"/>
    <m/>
    <n v="3"/>
    <m/>
    <n v="46"/>
    <m/>
    <n v="0"/>
    <n v="0"/>
    <n v="46"/>
    <m/>
    <n v="0"/>
    <m/>
    <n v="46"/>
    <m/>
    <n v="0"/>
    <n v="0"/>
    <n v="0"/>
    <n v="0"/>
  </r>
  <r>
    <x v="0"/>
    <x v="0"/>
    <x v="1"/>
    <x v="7"/>
    <x v="22"/>
    <x v="89"/>
    <n v="43"/>
    <m/>
    <n v="3"/>
    <m/>
    <n v="46"/>
    <m/>
    <n v="0"/>
    <n v="0"/>
    <n v="46"/>
    <m/>
    <n v="0"/>
    <m/>
    <n v="46"/>
    <m/>
    <n v="0"/>
    <n v="0"/>
    <n v="0"/>
    <n v="0"/>
  </r>
  <r>
    <x v="0"/>
    <x v="0"/>
    <x v="1"/>
    <x v="7"/>
    <x v="23"/>
    <x v="90"/>
    <n v="14.5"/>
    <m/>
    <n v="1.75"/>
    <m/>
    <n v="16.25"/>
    <m/>
    <n v="0"/>
    <n v="0"/>
    <n v="16.25"/>
    <m/>
    <n v="0"/>
    <m/>
    <n v="16.25"/>
    <m/>
    <n v="0"/>
    <n v="0"/>
    <n v="0"/>
    <n v="0"/>
  </r>
  <r>
    <x v="0"/>
    <x v="0"/>
    <x v="1"/>
    <x v="7"/>
    <x v="24"/>
    <x v="91"/>
    <n v="14.5"/>
    <m/>
    <n v="1.75"/>
    <m/>
    <n v="16.25"/>
    <m/>
    <n v="0"/>
    <n v="0"/>
    <n v="16.25"/>
    <m/>
    <n v="0"/>
    <m/>
    <n v="16.25"/>
    <m/>
    <n v="0"/>
    <n v="0"/>
    <n v="0"/>
    <n v="0"/>
  </r>
  <r>
    <x v="0"/>
    <x v="0"/>
    <x v="1"/>
    <x v="7"/>
    <x v="53"/>
    <x v="92"/>
    <n v="1.1000000000000001"/>
    <m/>
    <n v="0"/>
    <m/>
    <n v="1.1000000000000001"/>
    <m/>
    <n v="0"/>
    <n v="0"/>
    <n v="1.1000000000000001"/>
    <m/>
    <n v="0"/>
    <m/>
    <n v="1.1000000000000001"/>
    <m/>
    <n v="0"/>
    <n v="0"/>
    <n v="0"/>
    <n v="0"/>
  </r>
  <r>
    <x v="0"/>
    <x v="0"/>
    <x v="1"/>
    <x v="7"/>
    <x v="54"/>
    <x v="93"/>
    <n v="1.1000000000000001"/>
    <m/>
    <n v="0"/>
    <m/>
    <n v="1.1000000000000001"/>
    <m/>
    <n v="0"/>
    <n v="0"/>
    <n v="1.1000000000000001"/>
    <m/>
    <n v="0"/>
    <m/>
    <n v="1.1000000000000001"/>
    <m/>
    <n v="0"/>
    <n v="0"/>
    <n v="0"/>
    <n v="0"/>
  </r>
  <r>
    <x v="0"/>
    <x v="0"/>
    <x v="1"/>
    <x v="7"/>
    <x v="55"/>
    <x v="94"/>
    <n v="6.2"/>
    <m/>
    <n v="0.39999999999999947"/>
    <m/>
    <n v="6.6"/>
    <m/>
    <n v="0"/>
    <n v="0"/>
    <n v="6.6"/>
    <m/>
    <n v="0"/>
    <m/>
    <n v="6.6"/>
    <m/>
    <n v="0"/>
    <n v="0"/>
    <n v="0"/>
    <n v="0"/>
  </r>
  <r>
    <x v="0"/>
    <x v="0"/>
    <x v="1"/>
    <x v="7"/>
    <x v="56"/>
    <x v="95"/>
    <n v="8.3000000000000007"/>
    <m/>
    <n v="0.5"/>
    <m/>
    <n v="8.8000000000000007"/>
    <m/>
    <n v="0"/>
    <n v="0"/>
    <n v="8.8000000000000007"/>
    <m/>
    <n v="0"/>
    <m/>
    <n v="8.8000000000000007"/>
    <m/>
    <n v="0"/>
    <n v="0"/>
    <n v="0"/>
    <n v="0"/>
  </r>
  <r>
    <x v="0"/>
    <x v="0"/>
    <x v="1"/>
    <x v="7"/>
    <x v="57"/>
    <x v="96"/>
    <n v="15.5"/>
    <m/>
    <n v="1.25"/>
    <m/>
    <n v="16.75"/>
    <m/>
    <n v="0"/>
    <n v="0"/>
    <n v="16.75"/>
    <m/>
    <n v="0"/>
    <m/>
    <n v="16.75"/>
    <m/>
    <n v="0"/>
    <n v="0"/>
    <n v="0"/>
    <n v="0"/>
  </r>
  <r>
    <x v="0"/>
    <x v="0"/>
    <x v="1"/>
    <x v="8"/>
    <x v="25"/>
    <x v="97"/>
    <n v="8.65"/>
    <m/>
    <n v="1.3499999999999996"/>
    <m/>
    <n v="10"/>
    <m/>
    <n v="0"/>
    <n v="0"/>
    <n v="10"/>
    <m/>
    <n v="0"/>
    <m/>
    <n v="10"/>
    <m/>
    <n v="0"/>
    <n v="0"/>
    <n v="0"/>
    <n v="0"/>
  </r>
  <r>
    <x v="0"/>
    <x v="0"/>
    <x v="1"/>
    <x v="8"/>
    <x v="26"/>
    <x v="98"/>
    <n v="7.15"/>
    <m/>
    <n v="0.44999999999999929"/>
    <m/>
    <n v="7.6"/>
    <m/>
    <n v="0"/>
    <n v="0"/>
    <n v="7.6"/>
    <m/>
    <n v="0"/>
    <m/>
    <n v="7.6"/>
    <m/>
    <n v="0"/>
    <n v="0"/>
    <n v="0"/>
    <n v="0"/>
  </r>
  <r>
    <x v="0"/>
    <x v="0"/>
    <x v="1"/>
    <x v="8"/>
    <x v="27"/>
    <x v="99"/>
    <n v="7.15"/>
    <m/>
    <n v="0.44999999999999929"/>
    <m/>
    <n v="7.6"/>
    <m/>
    <n v="0"/>
    <n v="0"/>
    <n v="7.6"/>
    <m/>
    <n v="0"/>
    <m/>
    <n v="7.6"/>
    <m/>
    <n v="0"/>
    <n v="0"/>
    <n v="0"/>
    <n v="0"/>
  </r>
  <r>
    <x v="0"/>
    <x v="0"/>
    <x v="1"/>
    <x v="10"/>
    <x v="29"/>
    <x v="100"/>
    <n v="0"/>
    <m/>
    <n v="0"/>
    <m/>
    <n v="0"/>
    <m/>
    <n v="0"/>
    <n v="0"/>
    <m/>
    <m/>
    <m/>
    <m/>
    <m/>
    <m/>
    <n v="0"/>
    <m/>
    <m/>
    <m/>
  </r>
  <r>
    <x v="0"/>
    <x v="0"/>
    <x v="1"/>
    <x v="23"/>
    <x v="58"/>
    <x v="101"/>
    <n v="54"/>
    <m/>
    <n v="3.25"/>
    <m/>
    <n v="57.25"/>
    <m/>
    <n v="0"/>
    <n v="0"/>
    <n v="57.25"/>
    <m/>
    <n v="0"/>
    <m/>
    <n v="57.25"/>
    <m/>
    <n v="0"/>
    <n v="0"/>
    <n v="0"/>
    <n v="0"/>
  </r>
  <r>
    <x v="0"/>
    <x v="0"/>
    <x v="1"/>
    <x v="11"/>
    <x v="30"/>
    <x v="102"/>
    <n v="24"/>
    <m/>
    <n v="1.5"/>
    <m/>
    <n v="25.5"/>
    <m/>
    <n v="0"/>
    <n v="0"/>
    <n v="25.5"/>
    <m/>
    <n v="0"/>
    <m/>
    <n v="25.5"/>
    <m/>
    <n v="0"/>
    <n v="0"/>
    <n v="0"/>
    <n v="0"/>
  </r>
  <r>
    <x v="0"/>
    <x v="1"/>
    <x v="1"/>
    <x v="1"/>
    <x v="59"/>
    <x v="103"/>
    <n v="190"/>
    <m/>
    <n v="18"/>
    <m/>
    <n v="208"/>
    <m/>
    <n v="0"/>
    <n v="0"/>
    <n v="208"/>
    <m/>
    <n v="0"/>
    <m/>
    <n v="208"/>
    <m/>
    <n v="0"/>
    <n v="0"/>
    <n v="0"/>
    <n v="0"/>
  </r>
  <r>
    <x v="0"/>
    <x v="0"/>
    <x v="1"/>
    <x v="13"/>
    <x v="32"/>
    <x v="104"/>
    <n v="24"/>
    <m/>
    <n v="1.5"/>
    <m/>
    <n v="25.5"/>
    <m/>
    <n v="0"/>
    <n v="0"/>
    <n v="25.5"/>
    <m/>
    <n v="0"/>
    <m/>
    <n v="25.5"/>
    <m/>
    <n v="0"/>
    <n v="0"/>
    <n v="0"/>
    <n v="0"/>
  </r>
  <r>
    <x v="0"/>
    <x v="0"/>
    <x v="1"/>
    <x v="15"/>
    <x v="60"/>
    <x v="105"/>
    <n v="5.95"/>
    <m/>
    <n v="0.5"/>
    <m/>
    <n v="6.45"/>
    <m/>
    <n v="0"/>
    <n v="0"/>
    <n v="6.45"/>
    <m/>
    <n v="0"/>
    <m/>
    <n v="6.45"/>
    <m/>
    <n v="0"/>
    <n v="0"/>
    <n v="0"/>
    <n v="0"/>
  </r>
  <r>
    <x v="0"/>
    <x v="0"/>
    <x v="1"/>
    <x v="15"/>
    <x v="61"/>
    <x v="106"/>
    <n v="5.95"/>
    <m/>
    <n v="0.5"/>
    <m/>
    <n v="6.45"/>
    <m/>
    <n v="0"/>
    <n v="0"/>
    <n v="6.45"/>
    <m/>
    <n v="0"/>
    <m/>
    <n v="6.45"/>
    <m/>
    <n v="0"/>
    <n v="0"/>
    <n v="0"/>
    <n v="0"/>
  </r>
  <r>
    <x v="0"/>
    <x v="0"/>
    <x v="1"/>
    <x v="16"/>
    <x v="35"/>
    <x v="107"/>
    <n v="1.05"/>
    <m/>
    <n v="0"/>
    <m/>
    <n v="1.05"/>
    <m/>
    <n v="0"/>
    <n v="0"/>
    <n v="1.05"/>
    <m/>
    <n v="0"/>
    <m/>
    <n v="1.05"/>
    <m/>
    <n v="0"/>
    <n v="0"/>
    <n v="0"/>
    <n v="0"/>
  </r>
  <r>
    <x v="0"/>
    <x v="0"/>
    <x v="1"/>
    <x v="16"/>
    <x v="36"/>
    <x v="108"/>
    <n v="1.05"/>
    <m/>
    <n v="0"/>
    <m/>
    <n v="1.05"/>
    <m/>
    <n v="0"/>
    <n v="0"/>
    <n v="1.05"/>
    <m/>
    <n v="0"/>
    <m/>
    <n v="1.05"/>
    <m/>
    <n v="0"/>
    <n v="0"/>
    <n v="0"/>
    <n v="0"/>
  </r>
  <r>
    <x v="0"/>
    <x v="0"/>
    <x v="1"/>
    <x v="24"/>
    <x v="62"/>
    <x v="109"/>
    <n v="1775"/>
    <m/>
    <n v="0"/>
    <m/>
    <n v="1775"/>
    <m/>
    <n v="0"/>
    <n v="0"/>
    <n v="1875"/>
    <m/>
    <n v="0"/>
    <m/>
    <n v="1875"/>
    <m/>
    <n v="0"/>
    <n v="0"/>
    <n v="0"/>
    <n v="0"/>
  </r>
  <r>
    <x v="1"/>
    <x v="1"/>
    <x v="1"/>
    <x v="0"/>
    <x v="40"/>
    <x v="67"/>
    <n v="27"/>
    <m/>
    <n v="2.5"/>
    <m/>
    <n v="29.5"/>
    <m/>
    <n v="0"/>
    <n v="0"/>
    <n v="29.5"/>
    <m/>
    <n v="0"/>
    <m/>
    <n v="29.5"/>
    <m/>
    <n v="0"/>
    <n v="0"/>
    <n v="0"/>
    <n v="0"/>
  </r>
  <r>
    <x v="1"/>
    <x v="1"/>
    <x v="1"/>
    <x v="0"/>
    <x v="41"/>
    <x v="68"/>
    <n v="38"/>
    <m/>
    <n v="2"/>
    <m/>
    <n v="40"/>
    <m/>
    <n v="0"/>
    <n v="0"/>
    <n v="40"/>
    <m/>
    <n v="0"/>
    <m/>
    <n v="40"/>
    <m/>
    <n v="0"/>
    <n v="0"/>
    <n v="0"/>
    <n v="0"/>
  </r>
  <r>
    <x v="1"/>
    <x v="1"/>
    <x v="1"/>
    <x v="0"/>
    <x v="42"/>
    <x v="69"/>
    <n v="27"/>
    <m/>
    <n v="2.5"/>
    <m/>
    <n v="29.5"/>
    <m/>
    <n v="0"/>
    <n v="0"/>
    <n v="29.5"/>
    <m/>
    <n v="0"/>
    <m/>
    <n v="29.5"/>
    <m/>
    <n v="0"/>
    <n v="0"/>
    <n v="0"/>
    <n v="0"/>
  </r>
  <r>
    <x v="1"/>
    <x v="0"/>
    <x v="1"/>
    <x v="2"/>
    <x v="9"/>
    <x v="70"/>
    <n v="24"/>
    <m/>
    <n v="1.5"/>
    <m/>
    <n v="25.5"/>
    <m/>
    <n v="0"/>
    <n v="0"/>
    <n v="25.5"/>
    <m/>
    <n v="0"/>
    <m/>
    <n v="25.5"/>
    <m/>
    <n v="0"/>
    <n v="0"/>
    <n v="0"/>
    <n v="0"/>
  </r>
  <r>
    <x v="1"/>
    <x v="0"/>
    <x v="1"/>
    <x v="20"/>
    <x v="43"/>
    <x v="71"/>
    <n v="16.5"/>
    <m/>
    <n v="0"/>
    <m/>
    <n v="16.5"/>
    <m/>
    <n v="0"/>
    <n v="0"/>
    <n v="16.5"/>
    <m/>
    <n v="0"/>
    <m/>
    <n v="16.5"/>
    <m/>
    <n v="0"/>
    <n v="0"/>
    <n v="0"/>
    <n v="0"/>
  </r>
  <r>
    <x v="1"/>
    <x v="0"/>
    <x v="1"/>
    <x v="21"/>
    <x v="44"/>
    <x v="72"/>
    <n v="8.3000000000000007"/>
    <m/>
    <n v="0.5"/>
    <m/>
    <n v="8.8000000000000007"/>
    <m/>
    <n v="0"/>
    <n v="0"/>
    <n v="8.8000000000000007"/>
    <m/>
    <n v="0"/>
    <m/>
    <n v="8.8000000000000007"/>
    <m/>
    <n v="0"/>
    <n v="0"/>
    <n v="0"/>
    <n v="0"/>
  </r>
  <r>
    <x v="1"/>
    <x v="0"/>
    <x v="1"/>
    <x v="3"/>
    <x v="45"/>
    <x v="73"/>
    <n v="20"/>
    <m/>
    <n v="0"/>
    <m/>
    <n v="20"/>
    <m/>
    <n v="0"/>
    <n v="0"/>
    <n v="20"/>
    <m/>
    <n v="0"/>
    <m/>
    <n v="20"/>
    <m/>
    <n v="0"/>
    <n v="0"/>
    <n v="0"/>
    <n v="0"/>
  </r>
  <r>
    <x v="1"/>
    <x v="0"/>
    <x v="1"/>
    <x v="3"/>
    <x v="46"/>
    <x v="74"/>
    <n v="60"/>
    <m/>
    <n v="0"/>
    <m/>
    <n v="60"/>
    <m/>
    <n v="0"/>
    <n v="0"/>
    <n v="60"/>
    <m/>
    <n v="0"/>
    <m/>
    <n v="60"/>
    <m/>
    <n v="0"/>
    <n v="0"/>
    <n v="0"/>
    <n v="0"/>
  </r>
  <r>
    <x v="1"/>
    <x v="0"/>
    <x v="1"/>
    <x v="3"/>
    <x v="47"/>
    <x v="75"/>
    <n v="20"/>
    <m/>
    <n v="0"/>
    <m/>
    <n v="20"/>
    <m/>
    <n v="0"/>
    <n v="0"/>
    <n v="20"/>
    <m/>
    <n v="0"/>
    <m/>
    <n v="20"/>
    <m/>
    <n v="0"/>
    <n v="0"/>
    <n v="0"/>
    <n v="0"/>
  </r>
  <r>
    <x v="1"/>
    <x v="0"/>
    <x v="1"/>
    <x v="3"/>
    <x v="48"/>
    <x v="76"/>
    <n v="47"/>
    <m/>
    <n v="0"/>
    <m/>
    <n v="47"/>
    <m/>
    <n v="0"/>
    <n v="0"/>
    <n v="47"/>
    <m/>
    <n v="0"/>
    <m/>
    <n v="47"/>
    <m/>
    <n v="0"/>
    <n v="0"/>
    <n v="0"/>
    <n v="0"/>
  </r>
  <r>
    <x v="1"/>
    <x v="0"/>
    <x v="1"/>
    <x v="3"/>
    <x v="49"/>
    <x v="77"/>
    <n v="14.5"/>
    <m/>
    <n v="0"/>
    <m/>
    <n v="14.5"/>
    <m/>
    <n v="0"/>
    <n v="0"/>
    <n v="14.5"/>
    <m/>
    <n v="0"/>
    <m/>
    <n v="14.5"/>
    <m/>
    <n v="0"/>
    <n v="0"/>
    <n v="0"/>
    <n v="0"/>
  </r>
  <r>
    <x v="1"/>
    <x v="0"/>
    <x v="1"/>
    <x v="22"/>
    <x v="50"/>
    <x v="78"/>
    <n v="4.6500000000000004"/>
    <m/>
    <n v="0.29999999999999982"/>
    <m/>
    <n v="4.95"/>
    <m/>
    <n v="0"/>
    <n v="0"/>
    <n v="4.95"/>
    <m/>
    <n v="0"/>
    <m/>
    <n v="4.95"/>
    <m/>
    <n v="0"/>
    <n v="0"/>
    <n v="0"/>
    <n v="0"/>
  </r>
  <r>
    <x v="1"/>
    <x v="0"/>
    <x v="1"/>
    <x v="22"/>
    <x v="51"/>
    <x v="79"/>
    <n v="10.5"/>
    <m/>
    <n v="0.75"/>
    <m/>
    <n v="11.25"/>
    <m/>
    <n v="0"/>
    <n v="0"/>
    <n v="11.25"/>
    <m/>
    <n v="0"/>
    <m/>
    <n v="11.25"/>
    <m/>
    <n v="0"/>
    <n v="0"/>
    <n v="0"/>
    <n v="0"/>
  </r>
  <r>
    <x v="1"/>
    <x v="0"/>
    <x v="1"/>
    <x v="22"/>
    <x v="52"/>
    <x v="80"/>
    <n v="24"/>
    <m/>
    <n v="1.5"/>
    <m/>
    <n v="25.5"/>
    <m/>
    <n v="0"/>
    <n v="0"/>
    <n v="25.5"/>
    <m/>
    <n v="0"/>
    <m/>
    <n v="25.5"/>
    <m/>
    <n v="0"/>
    <n v="0"/>
    <n v="0"/>
    <n v="0"/>
  </r>
  <r>
    <x v="1"/>
    <x v="0"/>
    <x v="1"/>
    <x v="6"/>
    <x v="14"/>
    <x v="81"/>
    <n v="1.5"/>
    <m/>
    <n v="0.14999999999999991"/>
    <m/>
    <n v="1.65"/>
    <m/>
    <n v="0"/>
    <n v="0"/>
    <n v="1.65"/>
    <m/>
    <n v="0"/>
    <m/>
    <n v="1.65"/>
    <m/>
    <n v="0"/>
    <m/>
    <m/>
    <m/>
  </r>
  <r>
    <x v="1"/>
    <x v="0"/>
    <x v="1"/>
    <x v="7"/>
    <x v="15"/>
    <x v="82"/>
    <n v="4.2"/>
    <m/>
    <n v="0.25"/>
    <m/>
    <n v="4.45"/>
    <m/>
    <n v="0"/>
    <n v="0"/>
    <n v="4.45"/>
    <m/>
    <n v="0"/>
    <m/>
    <n v="4.45"/>
    <m/>
    <n v="0"/>
    <n v="0"/>
    <n v="0"/>
    <n v="0"/>
  </r>
  <r>
    <x v="1"/>
    <x v="0"/>
    <x v="1"/>
    <x v="7"/>
    <x v="16"/>
    <x v="83"/>
    <n v="5.25"/>
    <m/>
    <n v="0.29999999999999982"/>
    <m/>
    <n v="5.55"/>
    <m/>
    <n v="0"/>
    <n v="0"/>
    <n v="5.55"/>
    <m/>
    <n v="0"/>
    <m/>
    <n v="5.55"/>
    <m/>
    <n v="0"/>
    <n v="0"/>
    <n v="0"/>
    <n v="0"/>
  </r>
  <r>
    <x v="1"/>
    <x v="0"/>
    <x v="1"/>
    <x v="7"/>
    <x v="17"/>
    <x v="84"/>
    <n v="15.5"/>
    <m/>
    <n v="1.25"/>
    <m/>
    <n v="16.75"/>
    <m/>
    <n v="0"/>
    <n v="0"/>
    <n v="16.75"/>
    <m/>
    <n v="0"/>
    <m/>
    <n v="16.75"/>
    <m/>
    <n v="0"/>
    <n v="0"/>
    <n v="0"/>
    <n v="0"/>
  </r>
  <r>
    <x v="1"/>
    <x v="0"/>
    <x v="1"/>
    <x v="7"/>
    <x v="18"/>
    <x v="85"/>
    <n v="6.2"/>
    <m/>
    <n v="0.39999999999999947"/>
    <m/>
    <n v="6.6"/>
    <m/>
    <n v="0"/>
    <n v="0"/>
    <n v="6.6"/>
    <m/>
    <n v="0"/>
    <m/>
    <n v="6.6"/>
    <m/>
    <n v="0"/>
    <n v="0"/>
    <n v="0"/>
    <n v="0"/>
  </r>
  <r>
    <x v="1"/>
    <x v="0"/>
    <x v="1"/>
    <x v="7"/>
    <x v="19"/>
    <x v="86"/>
    <n v="8.3000000000000007"/>
    <m/>
    <n v="0.5"/>
    <m/>
    <n v="8.8000000000000007"/>
    <m/>
    <n v="0"/>
    <n v="0"/>
    <n v="8.8000000000000007"/>
    <m/>
    <n v="0"/>
    <m/>
    <n v="8.8000000000000007"/>
    <m/>
    <n v="0"/>
    <n v="0"/>
    <n v="0"/>
    <n v="0"/>
  </r>
  <r>
    <x v="1"/>
    <x v="0"/>
    <x v="1"/>
    <x v="7"/>
    <x v="20"/>
    <x v="87"/>
    <n v="15.5"/>
    <m/>
    <n v="1.25"/>
    <m/>
    <n v="16.75"/>
    <m/>
    <n v="0"/>
    <n v="0"/>
    <n v="16.75"/>
    <m/>
    <n v="0"/>
    <m/>
    <n v="16.75"/>
    <m/>
    <n v="0"/>
    <n v="0"/>
    <n v="0"/>
    <n v="0"/>
  </r>
  <r>
    <x v="1"/>
    <x v="0"/>
    <x v="1"/>
    <x v="7"/>
    <x v="21"/>
    <x v="88"/>
    <n v="43"/>
    <m/>
    <n v="3"/>
    <m/>
    <n v="46"/>
    <m/>
    <n v="0"/>
    <n v="0"/>
    <n v="46"/>
    <m/>
    <n v="0"/>
    <m/>
    <n v="46"/>
    <m/>
    <n v="0"/>
    <n v="0"/>
    <n v="0"/>
    <n v="0"/>
  </r>
  <r>
    <x v="1"/>
    <x v="0"/>
    <x v="1"/>
    <x v="7"/>
    <x v="22"/>
    <x v="89"/>
    <n v="43"/>
    <m/>
    <n v="3"/>
    <m/>
    <n v="46"/>
    <m/>
    <n v="0"/>
    <n v="0"/>
    <n v="46"/>
    <m/>
    <n v="0"/>
    <m/>
    <n v="46"/>
    <m/>
    <n v="0"/>
    <n v="0"/>
    <n v="0"/>
    <n v="0"/>
  </r>
  <r>
    <x v="1"/>
    <x v="0"/>
    <x v="1"/>
    <x v="7"/>
    <x v="23"/>
    <x v="90"/>
    <n v="14.5"/>
    <m/>
    <n v="1.75"/>
    <m/>
    <n v="16.25"/>
    <m/>
    <n v="0"/>
    <n v="0"/>
    <n v="16.25"/>
    <m/>
    <n v="0"/>
    <m/>
    <n v="16.25"/>
    <m/>
    <n v="0"/>
    <n v="0"/>
    <n v="0"/>
    <n v="0"/>
  </r>
  <r>
    <x v="1"/>
    <x v="0"/>
    <x v="1"/>
    <x v="7"/>
    <x v="24"/>
    <x v="91"/>
    <n v="14.5"/>
    <m/>
    <n v="1.75"/>
    <m/>
    <n v="16.25"/>
    <m/>
    <n v="0"/>
    <n v="0"/>
    <n v="16.25"/>
    <m/>
    <n v="0"/>
    <m/>
    <n v="16.25"/>
    <m/>
    <n v="0"/>
    <n v="0"/>
    <n v="0"/>
    <n v="0"/>
  </r>
  <r>
    <x v="1"/>
    <x v="0"/>
    <x v="1"/>
    <x v="7"/>
    <x v="53"/>
    <x v="92"/>
    <n v="1.1000000000000001"/>
    <m/>
    <n v="0"/>
    <m/>
    <n v="1.1000000000000001"/>
    <m/>
    <n v="0"/>
    <n v="0"/>
    <n v="1.1000000000000001"/>
    <m/>
    <n v="0"/>
    <m/>
    <n v="1.1000000000000001"/>
    <m/>
    <n v="0"/>
    <n v="0"/>
    <n v="0"/>
    <n v="0"/>
  </r>
  <r>
    <x v="1"/>
    <x v="0"/>
    <x v="1"/>
    <x v="7"/>
    <x v="54"/>
    <x v="93"/>
    <n v="1.1000000000000001"/>
    <m/>
    <n v="0"/>
    <m/>
    <n v="1.1000000000000001"/>
    <m/>
    <n v="0"/>
    <n v="0"/>
    <n v="1.1000000000000001"/>
    <m/>
    <n v="0"/>
    <m/>
    <n v="1.1000000000000001"/>
    <m/>
    <n v="0"/>
    <n v="0"/>
    <n v="0"/>
    <n v="0"/>
  </r>
  <r>
    <x v="1"/>
    <x v="0"/>
    <x v="1"/>
    <x v="7"/>
    <x v="55"/>
    <x v="94"/>
    <n v="6.2"/>
    <m/>
    <n v="0.39999999999999947"/>
    <m/>
    <n v="6.6"/>
    <m/>
    <n v="0"/>
    <n v="0"/>
    <n v="6.6"/>
    <m/>
    <n v="0"/>
    <m/>
    <n v="6.6"/>
    <m/>
    <n v="0"/>
    <n v="0"/>
    <n v="0"/>
    <n v="0"/>
  </r>
  <r>
    <x v="1"/>
    <x v="0"/>
    <x v="1"/>
    <x v="7"/>
    <x v="56"/>
    <x v="95"/>
    <n v="8.3000000000000007"/>
    <m/>
    <n v="0.5"/>
    <m/>
    <n v="8.8000000000000007"/>
    <m/>
    <n v="0"/>
    <n v="0"/>
    <n v="8.8000000000000007"/>
    <m/>
    <n v="0"/>
    <m/>
    <n v="8.8000000000000007"/>
    <m/>
    <n v="0"/>
    <n v="0"/>
    <n v="0"/>
    <n v="0"/>
  </r>
  <r>
    <x v="1"/>
    <x v="0"/>
    <x v="1"/>
    <x v="7"/>
    <x v="57"/>
    <x v="96"/>
    <n v="15.5"/>
    <m/>
    <n v="1.25"/>
    <m/>
    <n v="16.75"/>
    <m/>
    <n v="0"/>
    <n v="0"/>
    <n v="16.75"/>
    <m/>
    <n v="0"/>
    <m/>
    <n v="16.75"/>
    <m/>
    <n v="0"/>
    <n v="0"/>
    <n v="0"/>
    <n v="0"/>
  </r>
  <r>
    <x v="1"/>
    <x v="0"/>
    <x v="1"/>
    <x v="8"/>
    <x v="25"/>
    <x v="97"/>
    <n v="8.65"/>
    <m/>
    <n v="1.3499999999999996"/>
    <m/>
    <n v="10"/>
    <m/>
    <n v="0"/>
    <n v="0"/>
    <n v="10"/>
    <m/>
    <n v="0"/>
    <m/>
    <n v="10"/>
    <m/>
    <n v="0"/>
    <n v="0"/>
    <n v="0"/>
    <n v="0"/>
  </r>
  <r>
    <x v="1"/>
    <x v="0"/>
    <x v="1"/>
    <x v="8"/>
    <x v="26"/>
    <x v="98"/>
    <n v="7.15"/>
    <m/>
    <n v="0.44999999999999929"/>
    <m/>
    <n v="7.6"/>
    <m/>
    <n v="0"/>
    <n v="0"/>
    <n v="7.6"/>
    <m/>
    <n v="0"/>
    <m/>
    <n v="7.6"/>
    <m/>
    <n v="0"/>
    <n v="0"/>
    <n v="0"/>
    <n v="0"/>
  </r>
  <r>
    <x v="1"/>
    <x v="0"/>
    <x v="1"/>
    <x v="8"/>
    <x v="27"/>
    <x v="99"/>
    <n v="7.15"/>
    <m/>
    <n v="0.44999999999999929"/>
    <m/>
    <n v="7.6"/>
    <m/>
    <n v="0"/>
    <n v="0"/>
    <n v="7.6"/>
    <m/>
    <n v="0"/>
    <m/>
    <n v="7.6"/>
    <m/>
    <n v="0"/>
    <n v="0"/>
    <n v="0"/>
    <n v="0"/>
  </r>
  <r>
    <x v="1"/>
    <x v="0"/>
    <x v="1"/>
    <x v="10"/>
    <x v="29"/>
    <x v="100"/>
    <n v="0"/>
    <m/>
    <n v="0"/>
    <m/>
    <n v="0"/>
    <m/>
    <n v="0"/>
    <n v="0"/>
    <m/>
    <m/>
    <m/>
    <m/>
    <m/>
    <m/>
    <n v="0"/>
    <m/>
    <m/>
    <m/>
  </r>
  <r>
    <x v="1"/>
    <x v="0"/>
    <x v="1"/>
    <x v="23"/>
    <x v="58"/>
    <x v="101"/>
    <n v="54"/>
    <m/>
    <n v="3.25"/>
    <m/>
    <n v="57.25"/>
    <m/>
    <n v="0"/>
    <n v="0"/>
    <n v="57.25"/>
    <m/>
    <n v="0"/>
    <m/>
    <n v="57.25"/>
    <m/>
    <n v="0"/>
    <n v="0"/>
    <n v="0"/>
    <n v="0"/>
  </r>
  <r>
    <x v="1"/>
    <x v="0"/>
    <x v="1"/>
    <x v="11"/>
    <x v="30"/>
    <x v="102"/>
    <n v="24"/>
    <m/>
    <n v="1.5"/>
    <m/>
    <n v="25.5"/>
    <m/>
    <n v="0"/>
    <n v="0"/>
    <n v="25.5"/>
    <m/>
    <n v="0"/>
    <m/>
    <n v="25.5"/>
    <m/>
    <n v="0"/>
    <n v="0"/>
    <n v="0"/>
    <n v="0"/>
  </r>
  <r>
    <x v="1"/>
    <x v="1"/>
    <x v="1"/>
    <x v="1"/>
    <x v="59"/>
    <x v="103"/>
    <n v="190"/>
    <m/>
    <n v="18"/>
    <m/>
    <n v="208"/>
    <m/>
    <n v="0"/>
    <n v="0"/>
    <n v="208"/>
    <m/>
    <n v="0"/>
    <m/>
    <n v="208"/>
    <m/>
    <n v="0"/>
    <n v="0"/>
    <n v="0"/>
    <n v="0"/>
  </r>
  <r>
    <x v="1"/>
    <x v="0"/>
    <x v="1"/>
    <x v="13"/>
    <x v="32"/>
    <x v="104"/>
    <n v="24"/>
    <m/>
    <n v="1.5"/>
    <m/>
    <n v="25.5"/>
    <m/>
    <n v="0"/>
    <n v="0"/>
    <n v="25.5"/>
    <m/>
    <n v="0"/>
    <m/>
    <n v="25.5"/>
    <m/>
    <n v="0"/>
    <n v="0"/>
    <n v="0"/>
    <n v="0"/>
  </r>
  <r>
    <x v="1"/>
    <x v="0"/>
    <x v="1"/>
    <x v="15"/>
    <x v="60"/>
    <x v="105"/>
    <n v="5.95"/>
    <m/>
    <n v="0.5"/>
    <m/>
    <n v="6.45"/>
    <m/>
    <n v="0"/>
    <n v="0"/>
    <n v="6.45"/>
    <m/>
    <n v="0"/>
    <m/>
    <n v="6.45"/>
    <m/>
    <n v="0"/>
    <n v="0"/>
    <n v="0"/>
    <n v="0"/>
  </r>
  <r>
    <x v="1"/>
    <x v="0"/>
    <x v="1"/>
    <x v="15"/>
    <x v="61"/>
    <x v="106"/>
    <n v="5.95"/>
    <m/>
    <n v="0.5"/>
    <m/>
    <n v="6.45"/>
    <m/>
    <n v="0"/>
    <n v="0"/>
    <n v="6.45"/>
    <m/>
    <n v="0"/>
    <m/>
    <n v="6.45"/>
    <m/>
    <n v="0"/>
    <n v="0"/>
    <n v="0"/>
    <n v="0"/>
  </r>
  <r>
    <x v="1"/>
    <x v="0"/>
    <x v="1"/>
    <x v="16"/>
    <x v="35"/>
    <x v="107"/>
    <n v="1.05"/>
    <m/>
    <n v="0"/>
    <m/>
    <n v="1.05"/>
    <m/>
    <n v="0"/>
    <n v="0"/>
    <n v="1.05"/>
    <m/>
    <n v="0"/>
    <m/>
    <n v="1.05"/>
    <m/>
    <n v="0"/>
    <n v="0"/>
    <n v="0"/>
    <n v="0"/>
  </r>
  <r>
    <x v="1"/>
    <x v="0"/>
    <x v="1"/>
    <x v="16"/>
    <x v="36"/>
    <x v="108"/>
    <n v="1.05"/>
    <m/>
    <n v="0"/>
    <m/>
    <n v="1.05"/>
    <m/>
    <n v="0"/>
    <n v="0"/>
    <n v="1.05"/>
    <m/>
    <n v="0"/>
    <m/>
    <n v="1.05"/>
    <m/>
    <n v="0"/>
    <n v="0"/>
    <n v="0"/>
    <n v="0"/>
  </r>
  <r>
    <x v="1"/>
    <x v="0"/>
    <x v="1"/>
    <x v="24"/>
    <x v="62"/>
    <x v="109"/>
    <n v="1775"/>
    <m/>
    <n v="0"/>
    <m/>
    <n v="1775"/>
    <m/>
    <n v="0"/>
    <n v="0"/>
    <n v="1875"/>
    <m/>
    <n v="0"/>
    <m/>
    <n v="1875"/>
    <m/>
    <n v="0"/>
    <n v="0"/>
    <n v="0"/>
    <n v="0"/>
  </r>
  <r>
    <x v="2"/>
    <x v="1"/>
    <x v="1"/>
    <x v="0"/>
    <x v="40"/>
    <x v="67"/>
    <n v="27"/>
    <m/>
    <n v="2.5"/>
    <m/>
    <n v="29.5"/>
    <m/>
    <n v="0"/>
    <n v="0"/>
    <n v="29.5"/>
    <m/>
    <n v="0"/>
    <m/>
    <n v="29.5"/>
    <m/>
    <n v="0"/>
    <n v="0"/>
    <n v="0"/>
    <n v="0"/>
  </r>
  <r>
    <x v="2"/>
    <x v="1"/>
    <x v="1"/>
    <x v="0"/>
    <x v="41"/>
    <x v="68"/>
    <n v="38"/>
    <m/>
    <n v="2"/>
    <m/>
    <n v="40"/>
    <m/>
    <n v="0"/>
    <n v="0"/>
    <n v="40"/>
    <m/>
    <n v="0"/>
    <m/>
    <n v="40"/>
    <m/>
    <n v="0"/>
    <n v="0"/>
    <n v="0"/>
    <n v="0"/>
  </r>
  <r>
    <x v="2"/>
    <x v="1"/>
    <x v="1"/>
    <x v="0"/>
    <x v="42"/>
    <x v="69"/>
    <n v="27"/>
    <m/>
    <n v="2.5"/>
    <m/>
    <n v="29.5"/>
    <m/>
    <n v="0"/>
    <n v="0"/>
    <n v="29.5"/>
    <m/>
    <n v="0"/>
    <m/>
    <n v="29.5"/>
    <m/>
    <n v="0"/>
    <n v="0"/>
    <n v="0"/>
    <n v="0"/>
  </r>
  <r>
    <x v="2"/>
    <x v="0"/>
    <x v="1"/>
    <x v="2"/>
    <x v="9"/>
    <x v="70"/>
    <n v="24"/>
    <m/>
    <n v="1.5"/>
    <m/>
    <n v="25.5"/>
    <m/>
    <n v="0"/>
    <n v="0"/>
    <n v="25.5"/>
    <m/>
    <n v="0"/>
    <m/>
    <n v="25.5"/>
    <m/>
    <n v="0"/>
    <n v="0"/>
    <n v="0"/>
    <n v="0"/>
  </r>
  <r>
    <x v="2"/>
    <x v="0"/>
    <x v="1"/>
    <x v="20"/>
    <x v="43"/>
    <x v="71"/>
    <n v="16.5"/>
    <m/>
    <n v="0"/>
    <m/>
    <n v="16.5"/>
    <m/>
    <n v="0"/>
    <n v="0"/>
    <n v="16.5"/>
    <m/>
    <n v="0"/>
    <m/>
    <n v="16.5"/>
    <m/>
    <n v="0"/>
    <n v="0"/>
    <n v="0"/>
    <n v="0"/>
  </r>
  <r>
    <x v="2"/>
    <x v="0"/>
    <x v="1"/>
    <x v="21"/>
    <x v="44"/>
    <x v="72"/>
    <n v="8.3000000000000007"/>
    <m/>
    <n v="0.5"/>
    <m/>
    <n v="8.8000000000000007"/>
    <m/>
    <n v="0"/>
    <n v="0"/>
    <n v="8.8000000000000007"/>
    <m/>
    <n v="0"/>
    <m/>
    <n v="8.8000000000000007"/>
    <m/>
    <n v="0"/>
    <n v="0"/>
    <n v="0"/>
    <n v="0"/>
  </r>
  <r>
    <x v="2"/>
    <x v="0"/>
    <x v="1"/>
    <x v="3"/>
    <x v="45"/>
    <x v="73"/>
    <n v="20"/>
    <m/>
    <n v="0"/>
    <m/>
    <n v="20"/>
    <m/>
    <n v="0"/>
    <n v="0"/>
    <n v="20"/>
    <m/>
    <n v="0"/>
    <m/>
    <n v="20"/>
    <m/>
    <n v="0"/>
    <n v="0"/>
    <n v="0"/>
    <n v="0"/>
  </r>
  <r>
    <x v="2"/>
    <x v="0"/>
    <x v="1"/>
    <x v="3"/>
    <x v="46"/>
    <x v="74"/>
    <n v="60"/>
    <m/>
    <n v="0"/>
    <m/>
    <n v="60"/>
    <m/>
    <n v="0"/>
    <n v="0"/>
    <n v="60"/>
    <m/>
    <n v="0"/>
    <m/>
    <n v="60"/>
    <m/>
    <n v="0"/>
    <n v="0"/>
    <n v="0"/>
    <n v="0"/>
  </r>
  <r>
    <x v="2"/>
    <x v="0"/>
    <x v="1"/>
    <x v="3"/>
    <x v="47"/>
    <x v="75"/>
    <n v="20"/>
    <m/>
    <n v="0"/>
    <m/>
    <n v="20"/>
    <m/>
    <n v="0"/>
    <n v="0"/>
    <n v="20"/>
    <m/>
    <n v="0"/>
    <m/>
    <n v="20"/>
    <m/>
    <n v="0"/>
    <n v="0"/>
    <n v="0"/>
    <n v="0"/>
  </r>
  <r>
    <x v="2"/>
    <x v="0"/>
    <x v="1"/>
    <x v="3"/>
    <x v="48"/>
    <x v="76"/>
    <n v="47"/>
    <m/>
    <n v="0"/>
    <m/>
    <n v="47"/>
    <m/>
    <n v="0"/>
    <n v="0"/>
    <n v="47"/>
    <m/>
    <n v="0"/>
    <m/>
    <n v="47"/>
    <m/>
    <n v="0"/>
    <n v="0"/>
    <n v="0"/>
    <n v="0"/>
  </r>
  <r>
    <x v="2"/>
    <x v="0"/>
    <x v="1"/>
    <x v="3"/>
    <x v="49"/>
    <x v="77"/>
    <n v="14.5"/>
    <m/>
    <n v="0"/>
    <m/>
    <n v="14.5"/>
    <m/>
    <n v="0"/>
    <n v="0"/>
    <n v="14.5"/>
    <m/>
    <n v="0"/>
    <m/>
    <n v="14.5"/>
    <m/>
    <n v="0"/>
    <n v="0"/>
    <n v="0"/>
    <n v="0"/>
  </r>
  <r>
    <x v="2"/>
    <x v="0"/>
    <x v="1"/>
    <x v="22"/>
    <x v="50"/>
    <x v="78"/>
    <n v="4.6500000000000004"/>
    <m/>
    <n v="0.29999999999999982"/>
    <m/>
    <n v="4.95"/>
    <m/>
    <n v="0"/>
    <n v="0"/>
    <n v="4.95"/>
    <m/>
    <n v="0"/>
    <m/>
    <n v="4.95"/>
    <m/>
    <n v="0"/>
    <n v="0"/>
    <n v="0"/>
    <n v="0"/>
  </r>
  <r>
    <x v="2"/>
    <x v="0"/>
    <x v="1"/>
    <x v="22"/>
    <x v="51"/>
    <x v="79"/>
    <n v="10.5"/>
    <m/>
    <n v="0.75"/>
    <m/>
    <n v="11.25"/>
    <m/>
    <n v="0"/>
    <n v="0"/>
    <n v="11.25"/>
    <m/>
    <n v="0"/>
    <m/>
    <n v="11.25"/>
    <m/>
    <n v="0"/>
    <n v="0"/>
    <n v="0"/>
    <n v="0"/>
  </r>
  <r>
    <x v="2"/>
    <x v="0"/>
    <x v="1"/>
    <x v="22"/>
    <x v="52"/>
    <x v="80"/>
    <n v="24"/>
    <m/>
    <n v="1.5"/>
    <m/>
    <n v="25.5"/>
    <m/>
    <n v="0"/>
    <n v="0"/>
    <n v="25.5"/>
    <m/>
    <n v="0"/>
    <m/>
    <n v="25.5"/>
    <m/>
    <n v="0"/>
    <n v="0"/>
    <n v="0"/>
    <n v="0"/>
  </r>
  <r>
    <x v="2"/>
    <x v="0"/>
    <x v="1"/>
    <x v="6"/>
    <x v="14"/>
    <x v="81"/>
    <n v="1.5"/>
    <m/>
    <n v="0.14999999999999991"/>
    <m/>
    <n v="1.65"/>
    <m/>
    <n v="0"/>
    <n v="0"/>
    <n v="1.65"/>
    <m/>
    <n v="0"/>
    <m/>
    <n v="1.65"/>
    <m/>
    <n v="0"/>
    <m/>
    <m/>
    <m/>
  </r>
  <r>
    <x v="2"/>
    <x v="0"/>
    <x v="1"/>
    <x v="7"/>
    <x v="15"/>
    <x v="82"/>
    <n v="4.2"/>
    <m/>
    <n v="0.25"/>
    <m/>
    <n v="4.45"/>
    <m/>
    <n v="0"/>
    <n v="0"/>
    <n v="4.45"/>
    <m/>
    <n v="0"/>
    <m/>
    <n v="4.45"/>
    <m/>
    <n v="0"/>
    <n v="0"/>
    <n v="0"/>
    <n v="0"/>
  </r>
  <r>
    <x v="2"/>
    <x v="0"/>
    <x v="1"/>
    <x v="7"/>
    <x v="16"/>
    <x v="83"/>
    <n v="5.25"/>
    <m/>
    <n v="0.29999999999999982"/>
    <m/>
    <n v="5.55"/>
    <m/>
    <n v="0"/>
    <n v="0"/>
    <n v="5.55"/>
    <m/>
    <n v="0"/>
    <m/>
    <n v="5.55"/>
    <m/>
    <n v="0"/>
    <n v="0"/>
    <n v="0"/>
    <n v="0"/>
  </r>
  <r>
    <x v="2"/>
    <x v="0"/>
    <x v="1"/>
    <x v="7"/>
    <x v="17"/>
    <x v="84"/>
    <n v="15.5"/>
    <m/>
    <n v="1.25"/>
    <m/>
    <n v="16.75"/>
    <m/>
    <n v="0"/>
    <n v="0"/>
    <n v="16.75"/>
    <m/>
    <n v="0"/>
    <m/>
    <n v="16.75"/>
    <m/>
    <n v="0"/>
    <n v="0"/>
    <n v="0"/>
    <n v="0"/>
  </r>
  <r>
    <x v="2"/>
    <x v="0"/>
    <x v="1"/>
    <x v="7"/>
    <x v="18"/>
    <x v="85"/>
    <n v="6.2"/>
    <m/>
    <n v="0.39999999999999947"/>
    <m/>
    <n v="6.6"/>
    <m/>
    <n v="0"/>
    <n v="0"/>
    <n v="6.6"/>
    <m/>
    <n v="0"/>
    <m/>
    <n v="6.6"/>
    <m/>
    <n v="0"/>
    <n v="0"/>
    <n v="0"/>
    <n v="0"/>
  </r>
  <r>
    <x v="2"/>
    <x v="0"/>
    <x v="1"/>
    <x v="7"/>
    <x v="19"/>
    <x v="86"/>
    <n v="8.3000000000000007"/>
    <m/>
    <n v="0.5"/>
    <m/>
    <n v="8.8000000000000007"/>
    <m/>
    <n v="0"/>
    <n v="0"/>
    <n v="8.8000000000000007"/>
    <m/>
    <n v="0"/>
    <m/>
    <n v="8.8000000000000007"/>
    <m/>
    <n v="0"/>
    <n v="0"/>
    <n v="0"/>
    <n v="0"/>
  </r>
  <r>
    <x v="2"/>
    <x v="0"/>
    <x v="1"/>
    <x v="7"/>
    <x v="20"/>
    <x v="87"/>
    <n v="15.5"/>
    <m/>
    <n v="1.25"/>
    <m/>
    <n v="16.75"/>
    <m/>
    <n v="0"/>
    <n v="0"/>
    <n v="16.75"/>
    <m/>
    <n v="0"/>
    <m/>
    <n v="16.75"/>
    <m/>
    <n v="0"/>
    <n v="0"/>
    <n v="0"/>
    <n v="0"/>
  </r>
  <r>
    <x v="2"/>
    <x v="0"/>
    <x v="1"/>
    <x v="7"/>
    <x v="21"/>
    <x v="88"/>
    <n v="43"/>
    <m/>
    <n v="3"/>
    <m/>
    <n v="46"/>
    <m/>
    <n v="0"/>
    <n v="0"/>
    <n v="46"/>
    <m/>
    <n v="0"/>
    <m/>
    <n v="46"/>
    <m/>
    <n v="0"/>
    <n v="0"/>
    <n v="0"/>
    <n v="0"/>
  </r>
  <r>
    <x v="2"/>
    <x v="0"/>
    <x v="1"/>
    <x v="7"/>
    <x v="22"/>
    <x v="89"/>
    <n v="43"/>
    <m/>
    <n v="3"/>
    <m/>
    <n v="46"/>
    <m/>
    <n v="0"/>
    <n v="0"/>
    <n v="46"/>
    <m/>
    <n v="0"/>
    <m/>
    <n v="46"/>
    <m/>
    <n v="0"/>
    <n v="0"/>
    <n v="0"/>
    <n v="0"/>
  </r>
  <r>
    <x v="2"/>
    <x v="0"/>
    <x v="1"/>
    <x v="7"/>
    <x v="23"/>
    <x v="90"/>
    <n v="14.5"/>
    <m/>
    <n v="1.75"/>
    <m/>
    <n v="16.25"/>
    <m/>
    <n v="0"/>
    <n v="0"/>
    <n v="16.25"/>
    <m/>
    <n v="0"/>
    <m/>
    <n v="16.25"/>
    <m/>
    <n v="0"/>
    <n v="0"/>
    <n v="0"/>
    <n v="0"/>
  </r>
  <r>
    <x v="2"/>
    <x v="0"/>
    <x v="1"/>
    <x v="7"/>
    <x v="24"/>
    <x v="91"/>
    <n v="14.5"/>
    <m/>
    <n v="1.75"/>
    <m/>
    <n v="16.25"/>
    <m/>
    <n v="0"/>
    <n v="0"/>
    <n v="16.25"/>
    <m/>
    <n v="0"/>
    <m/>
    <n v="16.25"/>
    <m/>
    <n v="0"/>
    <n v="0"/>
    <n v="0"/>
    <n v="0"/>
  </r>
  <r>
    <x v="2"/>
    <x v="0"/>
    <x v="1"/>
    <x v="7"/>
    <x v="53"/>
    <x v="92"/>
    <n v="1.1000000000000001"/>
    <m/>
    <n v="0"/>
    <m/>
    <n v="1.1000000000000001"/>
    <m/>
    <n v="0"/>
    <n v="0"/>
    <n v="1.1000000000000001"/>
    <m/>
    <n v="0"/>
    <m/>
    <n v="1.1000000000000001"/>
    <m/>
    <n v="0"/>
    <n v="0"/>
    <n v="0"/>
    <n v="0"/>
  </r>
  <r>
    <x v="2"/>
    <x v="0"/>
    <x v="1"/>
    <x v="7"/>
    <x v="54"/>
    <x v="93"/>
    <n v="1.1000000000000001"/>
    <m/>
    <n v="0"/>
    <m/>
    <n v="1.1000000000000001"/>
    <m/>
    <n v="0"/>
    <n v="0"/>
    <n v="1.1000000000000001"/>
    <m/>
    <n v="0"/>
    <m/>
    <n v="1.1000000000000001"/>
    <m/>
    <n v="0"/>
    <n v="0"/>
    <n v="0"/>
    <n v="0"/>
  </r>
  <r>
    <x v="2"/>
    <x v="0"/>
    <x v="1"/>
    <x v="7"/>
    <x v="55"/>
    <x v="94"/>
    <n v="6.2"/>
    <m/>
    <n v="0.39999999999999947"/>
    <m/>
    <n v="6.6"/>
    <m/>
    <n v="0"/>
    <n v="0"/>
    <n v="6.6"/>
    <m/>
    <n v="0"/>
    <m/>
    <n v="6.6"/>
    <m/>
    <n v="0"/>
    <n v="0"/>
    <n v="0"/>
    <n v="0"/>
  </r>
  <r>
    <x v="2"/>
    <x v="0"/>
    <x v="1"/>
    <x v="7"/>
    <x v="56"/>
    <x v="95"/>
    <n v="8.3000000000000007"/>
    <m/>
    <n v="0.5"/>
    <m/>
    <n v="8.8000000000000007"/>
    <m/>
    <n v="0"/>
    <n v="0"/>
    <n v="8.8000000000000007"/>
    <m/>
    <n v="0"/>
    <m/>
    <n v="8.8000000000000007"/>
    <m/>
    <n v="0"/>
    <n v="0"/>
    <n v="0"/>
    <n v="0"/>
  </r>
  <r>
    <x v="2"/>
    <x v="0"/>
    <x v="1"/>
    <x v="7"/>
    <x v="57"/>
    <x v="96"/>
    <n v="15.5"/>
    <m/>
    <n v="1.25"/>
    <m/>
    <n v="16.75"/>
    <m/>
    <n v="0"/>
    <n v="0"/>
    <n v="16.75"/>
    <m/>
    <n v="0"/>
    <m/>
    <n v="16.75"/>
    <m/>
    <n v="0"/>
    <n v="0"/>
    <n v="0"/>
    <n v="0"/>
  </r>
  <r>
    <x v="2"/>
    <x v="0"/>
    <x v="1"/>
    <x v="8"/>
    <x v="25"/>
    <x v="97"/>
    <n v="8.65"/>
    <m/>
    <n v="1.3499999999999996"/>
    <m/>
    <n v="10"/>
    <m/>
    <n v="0"/>
    <n v="0"/>
    <n v="10"/>
    <m/>
    <n v="0"/>
    <m/>
    <n v="10"/>
    <m/>
    <n v="0"/>
    <n v="0"/>
    <n v="0"/>
    <n v="0"/>
  </r>
  <r>
    <x v="2"/>
    <x v="0"/>
    <x v="1"/>
    <x v="8"/>
    <x v="26"/>
    <x v="98"/>
    <n v="7.15"/>
    <m/>
    <n v="0.44999999999999929"/>
    <m/>
    <n v="7.6"/>
    <m/>
    <n v="0"/>
    <n v="0"/>
    <n v="7.6"/>
    <m/>
    <n v="0"/>
    <m/>
    <n v="7.6"/>
    <m/>
    <n v="0"/>
    <n v="0"/>
    <n v="0"/>
    <n v="0"/>
  </r>
  <r>
    <x v="2"/>
    <x v="0"/>
    <x v="1"/>
    <x v="8"/>
    <x v="27"/>
    <x v="99"/>
    <n v="7.15"/>
    <m/>
    <n v="0.44999999999999929"/>
    <m/>
    <n v="7.6"/>
    <m/>
    <n v="0"/>
    <n v="0"/>
    <n v="7.6"/>
    <m/>
    <n v="0"/>
    <m/>
    <n v="7.6"/>
    <m/>
    <n v="0"/>
    <n v="0"/>
    <n v="0"/>
    <n v="0"/>
  </r>
  <r>
    <x v="2"/>
    <x v="0"/>
    <x v="1"/>
    <x v="10"/>
    <x v="29"/>
    <x v="100"/>
    <n v="0"/>
    <m/>
    <n v="0"/>
    <m/>
    <n v="0"/>
    <m/>
    <n v="0"/>
    <n v="0"/>
    <m/>
    <m/>
    <m/>
    <m/>
    <m/>
    <m/>
    <n v="0"/>
    <m/>
    <m/>
    <m/>
  </r>
  <r>
    <x v="2"/>
    <x v="0"/>
    <x v="1"/>
    <x v="23"/>
    <x v="58"/>
    <x v="101"/>
    <n v="54"/>
    <m/>
    <n v="3.25"/>
    <m/>
    <n v="57.25"/>
    <m/>
    <n v="0"/>
    <n v="0"/>
    <n v="57.25"/>
    <m/>
    <n v="0"/>
    <m/>
    <n v="57.25"/>
    <m/>
    <n v="0"/>
    <n v="0"/>
    <n v="0"/>
    <n v="0"/>
  </r>
  <r>
    <x v="2"/>
    <x v="0"/>
    <x v="1"/>
    <x v="11"/>
    <x v="30"/>
    <x v="102"/>
    <n v="24"/>
    <m/>
    <n v="1.5"/>
    <m/>
    <n v="25.5"/>
    <m/>
    <n v="0"/>
    <n v="0"/>
    <n v="25.5"/>
    <m/>
    <n v="0"/>
    <m/>
    <n v="25.5"/>
    <m/>
    <n v="0"/>
    <n v="0"/>
    <n v="0"/>
    <n v="0"/>
  </r>
  <r>
    <x v="2"/>
    <x v="1"/>
    <x v="1"/>
    <x v="1"/>
    <x v="59"/>
    <x v="103"/>
    <n v="190"/>
    <m/>
    <n v="18"/>
    <m/>
    <n v="208"/>
    <m/>
    <n v="0"/>
    <n v="0"/>
    <n v="208"/>
    <m/>
    <n v="0"/>
    <m/>
    <n v="208"/>
    <m/>
    <n v="0"/>
    <n v="0"/>
    <n v="0"/>
    <n v="0"/>
  </r>
  <r>
    <x v="2"/>
    <x v="0"/>
    <x v="1"/>
    <x v="13"/>
    <x v="32"/>
    <x v="104"/>
    <n v="24"/>
    <m/>
    <n v="1.5"/>
    <m/>
    <n v="25.5"/>
    <m/>
    <n v="0"/>
    <n v="0"/>
    <n v="25.5"/>
    <m/>
    <n v="0"/>
    <m/>
    <n v="25.5"/>
    <m/>
    <n v="0"/>
    <n v="0"/>
    <n v="0"/>
    <n v="0"/>
  </r>
  <r>
    <x v="2"/>
    <x v="0"/>
    <x v="1"/>
    <x v="15"/>
    <x v="60"/>
    <x v="105"/>
    <n v="5.95"/>
    <m/>
    <n v="0.5"/>
    <m/>
    <n v="6.45"/>
    <m/>
    <n v="0"/>
    <n v="0"/>
    <n v="6.45"/>
    <m/>
    <n v="0"/>
    <m/>
    <n v="6.45"/>
    <m/>
    <n v="0"/>
    <n v="0"/>
    <n v="0"/>
    <n v="0"/>
  </r>
  <r>
    <x v="2"/>
    <x v="0"/>
    <x v="1"/>
    <x v="15"/>
    <x v="61"/>
    <x v="106"/>
    <n v="5.95"/>
    <m/>
    <n v="0.5"/>
    <m/>
    <n v="6.45"/>
    <m/>
    <n v="0"/>
    <n v="0"/>
    <n v="6.45"/>
    <m/>
    <n v="0"/>
    <m/>
    <n v="6.45"/>
    <m/>
    <n v="0"/>
    <n v="0"/>
    <n v="0"/>
    <n v="0"/>
  </r>
  <r>
    <x v="2"/>
    <x v="0"/>
    <x v="1"/>
    <x v="16"/>
    <x v="35"/>
    <x v="107"/>
    <n v="1.05"/>
    <m/>
    <n v="0"/>
    <m/>
    <n v="1.05"/>
    <m/>
    <n v="0"/>
    <n v="0"/>
    <n v="1.05"/>
    <m/>
    <n v="0"/>
    <m/>
    <n v="1.05"/>
    <m/>
    <n v="0"/>
    <n v="0"/>
    <n v="0"/>
    <n v="0"/>
  </r>
  <r>
    <x v="2"/>
    <x v="0"/>
    <x v="1"/>
    <x v="16"/>
    <x v="36"/>
    <x v="108"/>
    <n v="1.05"/>
    <m/>
    <n v="0"/>
    <m/>
    <n v="1.05"/>
    <m/>
    <n v="0"/>
    <n v="0"/>
    <n v="1.05"/>
    <m/>
    <n v="0"/>
    <m/>
    <n v="1.05"/>
    <m/>
    <n v="0"/>
    <n v="0"/>
    <n v="0"/>
    <n v="0"/>
  </r>
  <r>
    <x v="2"/>
    <x v="0"/>
    <x v="1"/>
    <x v="24"/>
    <x v="62"/>
    <x v="109"/>
    <n v="1775"/>
    <m/>
    <n v="0"/>
    <m/>
    <n v="1775"/>
    <m/>
    <n v="0"/>
    <n v="0"/>
    <n v="1875"/>
    <m/>
    <n v="0"/>
    <m/>
    <n v="1875"/>
    <m/>
    <n v="0"/>
    <n v="0"/>
    <n v="0"/>
    <n v="0"/>
  </r>
  <r>
    <x v="0"/>
    <x v="0"/>
    <x v="2"/>
    <x v="25"/>
    <x v="63"/>
    <x v="110"/>
    <n v="1.1000000000000001"/>
    <m/>
    <n v="4.9999999999999822E-2"/>
    <m/>
    <n v="1.1499999999999999"/>
    <m/>
    <n v="0"/>
    <n v="0"/>
    <n v="1.1499999999999999"/>
    <m/>
    <n v="0"/>
    <m/>
    <n v="1.1499999999999999"/>
    <m/>
    <n v="0"/>
    <n v="0"/>
    <n v="0"/>
    <n v="0"/>
  </r>
  <r>
    <x v="0"/>
    <x v="0"/>
    <x v="2"/>
    <x v="7"/>
    <x v="64"/>
    <x v="111"/>
    <n v="6.2"/>
    <m/>
    <n v="0.39999999999999947"/>
    <m/>
    <n v="6.6"/>
    <m/>
    <n v="0"/>
    <n v="0"/>
    <n v="6.6"/>
    <m/>
    <n v="0"/>
    <m/>
    <n v="6.6"/>
    <m/>
    <n v="0"/>
    <n v="0"/>
    <n v="0"/>
    <n v="0"/>
  </r>
  <r>
    <x v="0"/>
    <x v="0"/>
    <x v="2"/>
    <x v="7"/>
    <x v="65"/>
    <x v="112"/>
    <n v="8.3000000000000007"/>
    <m/>
    <n v="0.5"/>
    <m/>
    <n v="8.8000000000000007"/>
    <m/>
    <n v="0"/>
    <n v="0"/>
    <n v="8.8000000000000007"/>
    <m/>
    <n v="0"/>
    <m/>
    <n v="8.8000000000000007"/>
    <m/>
    <n v="0"/>
    <n v="0"/>
    <n v="0"/>
    <n v="0"/>
  </r>
  <r>
    <x v="0"/>
    <x v="0"/>
    <x v="2"/>
    <x v="7"/>
    <x v="66"/>
    <x v="113"/>
    <n v="8.3000000000000007"/>
    <m/>
    <n v="0.5"/>
    <m/>
    <n v="8.8000000000000007"/>
    <m/>
    <n v="0"/>
    <n v="0"/>
    <n v="8.8000000000000007"/>
    <m/>
    <n v="0"/>
    <m/>
    <n v="8.8000000000000007"/>
    <m/>
    <n v="0"/>
    <n v="0"/>
    <n v="0"/>
    <n v="0"/>
  </r>
  <r>
    <x v="0"/>
    <x v="0"/>
    <x v="2"/>
    <x v="7"/>
    <x v="67"/>
    <x v="114"/>
    <n v="8.3000000000000007"/>
    <m/>
    <n v="0.5"/>
    <m/>
    <n v="8.8000000000000007"/>
    <m/>
    <n v="0"/>
    <n v="0"/>
    <n v="8.8000000000000007"/>
    <m/>
    <n v="0"/>
    <m/>
    <n v="8.8000000000000007"/>
    <m/>
    <n v="0"/>
    <n v="0"/>
    <n v="0"/>
    <n v="0"/>
  </r>
  <r>
    <x v="0"/>
    <x v="0"/>
    <x v="2"/>
    <x v="10"/>
    <x v="29"/>
    <x v="115"/>
    <n v="0"/>
    <m/>
    <n v="0"/>
    <m/>
    <n v="0"/>
    <m/>
    <n v="0"/>
    <n v="0"/>
    <m/>
    <m/>
    <m/>
    <m/>
    <m/>
    <m/>
    <n v="0"/>
    <m/>
    <m/>
    <m/>
  </r>
  <r>
    <x v="0"/>
    <x v="0"/>
    <x v="2"/>
    <x v="26"/>
    <x v="68"/>
    <x v="116"/>
    <n v="6.55"/>
    <m/>
    <n v="0.54999999999999982"/>
    <m/>
    <n v="7.1"/>
    <m/>
    <n v="0"/>
    <n v="0"/>
    <n v="7.1"/>
    <m/>
    <n v="0"/>
    <m/>
    <n v="7.1"/>
    <m/>
    <n v="0"/>
    <n v="0"/>
    <n v="0"/>
    <n v="0"/>
  </r>
  <r>
    <x v="0"/>
    <x v="0"/>
    <x v="2"/>
    <x v="27"/>
    <x v="69"/>
    <x v="117"/>
    <n v="1"/>
    <m/>
    <n v="5.0000000000000044E-2"/>
    <m/>
    <n v="1.05"/>
    <m/>
    <n v="0"/>
    <n v="0"/>
    <n v="1.05"/>
    <m/>
    <n v="0"/>
    <m/>
    <n v="1.05"/>
    <m/>
    <n v="0"/>
    <n v="0"/>
    <n v="0"/>
    <n v="0"/>
  </r>
  <r>
    <x v="1"/>
    <x v="0"/>
    <x v="2"/>
    <x v="25"/>
    <x v="63"/>
    <x v="110"/>
    <n v="1.1000000000000001"/>
    <m/>
    <n v="4.9999999999999822E-2"/>
    <m/>
    <n v="1.1499999999999999"/>
    <m/>
    <n v="0"/>
    <n v="0"/>
    <n v="1.1499999999999999"/>
    <m/>
    <n v="0"/>
    <m/>
    <n v="1.1499999999999999"/>
    <m/>
    <n v="0"/>
    <n v="0"/>
    <n v="0"/>
    <n v="0"/>
  </r>
  <r>
    <x v="1"/>
    <x v="0"/>
    <x v="2"/>
    <x v="7"/>
    <x v="64"/>
    <x v="111"/>
    <n v="6.2"/>
    <m/>
    <n v="0.39999999999999947"/>
    <m/>
    <n v="6.6"/>
    <m/>
    <n v="0"/>
    <n v="0"/>
    <n v="6.6"/>
    <m/>
    <n v="0"/>
    <m/>
    <n v="6.6"/>
    <m/>
    <n v="0"/>
    <n v="0"/>
    <n v="0"/>
    <n v="0"/>
  </r>
  <r>
    <x v="1"/>
    <x v="0"/>
    <x v="2"/>
    <x v="7"/>
    <x v="65"/>
    <x v="112"/>
    <n v="8.3000000000000007"/>
    <m/>
    <n v="0.5"/>
    <m/>
    <n v="8.8000000000000007"/>
    <m/>
    <n v="0"/>
    <n v="0"/>
    <n v="8.8000000000000007"/>
    <m/>
    <n v="0"/>
    <m/>
    <n v="8.8000000000000007"/>
    <m/>
    <n v="0"/>
    <n v="0"/>
    <n v="0"/>
    <n v="0"/>
  </r>
  <r>
    <x v="1"/>
    <x v="0"/>
    <x v="2"/>
    <x v="7"/>
    <x v="66"/>
    <x v="113"/>
    <n v="8.3000000000000007"/>
    <m/>
    <n v="0.5"/>
    <m/>
    <n v="8.8000000000000007"/>
    <m/>
    <n v="0"/>
    <n v="0"/>
    <n v="8.8000000000000007"/>
    <m/>
    <n v="0"/>
    <m/>
    <n v="8.8000000000000007"/>
    <m/>
    <n v="0"/>
    <n v="0"/>
    <n v="0"/>
    <n v="0"/>
  </r>
  <r>
    <x v="1"/>
    <x v="0"/>
    <x v="2"/>
    <x v="7"/>
    <x v="67"/>
    <x v="114"/>
    <n v="8.3000000000000007"/>
    <m/>
    <n v="0.5"/>
    <m/>
    <n v="8.8000000000000007"/>
    <m/>
    <n v="0"/>
    <n v="0"/>
    <n v="8.8000000000000007"/>
    <m/>
    <n v="0"/>
    <m/>
    <n v="8.8000000000000007"/>
    <m/>
    <n v="0"/>
    <n v="0"/>
    <n v="0"/>
    <n v="0"/>
  </r>
  <r>
    <x v="1"/>
    <x v="0"/>
    <x v="2"/>
    <x v="10"/>
    <x v="29"/>
    <x v="115"/>
    <n v="0"/>
    <m/>
    <n v="0"/>
    <m/>
    <n v="0"/>
    <m/>
    <n v="0"/>
    <n v="0"/>
    <m/>
    <m/>
    <m/>
    <m/>
    <m/>
    <m/>
    <n v="0"/>
    <m/>
    <m/>
    <m/>
  </r>
  <r>
    <x v="1"/>
    <x v="0"/>
    <x v="2"/>
    <x v="26"/>
    <x v="68"/>
    <x v="116"/>
    <n v="6.55"/>
    <m/>
    <n v="0.54999999999999982"/>
    <m/>
    <n v="7.1"/>
    <m/>
    <n v="0"/>
    <n v="0"/>
    <n v="7.1"/>
    <m/>
    <n v="0"/>
    <m/>
    <n v="7.1"/>
    <m/>
    <n v="0"/>
    <n v="0"/>
    <n v="0"/>
    <n v="0"/>
  </r>
  <r>
    <x v="1"/>
    <x v="0"/>
    <x v="2"/>
    <x v="27"/>
    <x v="69"/>
    <x v="117"/>
    <n v="1"/>
    <m/>
    <n v="5.0000000000000044E-2"/>
    <m/>
    <n v="1.05"/>
    <m/>
    <n v="0"/>
    <n v="0"/>
    <n v="1.05"/>
    <m/>
    <n v="0"/>
    <m/>
    <n v="1.05"/>
    <m/>
    <n v="0"/>
    <n v="0"/>
    <n v="0"/>
    <n v="0"/>
  </r>
  <r>
    <x v="2"/>
    <x v="0"/>
    <x v="2"/>
    <x v="25"/>
    <x v="63"/>
    <x v="110"/>
    <n v="1.1000000000000001"/>
    <m/>
    <n v="4.9999999999999822E-2"/>
    <m/>
    <n v="1.1499999999999999"/>
    <m/>
    <n v="0"/>
    <n v="0"/>
    <n v="1.1499999999999999"/>
    <m/>
    <n v="0"/>
    <m/>
    <n v="1.1499999999999999"/>
    <m/>
    <n v="0"/>
    <n v="0"/>
    <n v="0"/>
    <n v="0"/>
  </r>
  <r>
    <x v="2"/>
    <x v="0"/>
    <x v="2"/>
    <x v="7"/>
    <x v="64"/>
    <x v="111"/>
    <n v="6.2"/>
    <m/>
    <n v="0.39999999999999947"/>
    <m/>
    <n v="6.6"/>
    <m/>
    <n v="0"/>
    <n v="0"/>
    <n v="6.6"/>
    <m/>
    <n v="0"/>
    <m/>
    <n v="6.6"/>
    <m/>
    <n v="0"/>
    <n v="0"/>
    <n v="0"/>
    <n v="0"/>
  </r>
  <r>
    <x v="2"/>
    <x v="0"/>
    <x v="2"/>
    <x v="7"/>
    <x v="65"/>
    <x v="112"/>
    <n v="8.3000000000000007"/>
    <m/>
    <n v="0.5"/>
    <m/>
    <n v="8.8000000000000007"/>
    <m/>
    <n v="0"/>
    <n v="0"/>
    <n v="8.8000000000000007"/>
    <m/>
    <n v="0"/>
    <m/>
    <n v="8.8000000000000007"/>
    <m/>
    <n v="0"/>
    <n v="0"/>
    <n v="0"/>
    <n v="0"/>
  </r>
  <r>
    <x v="2"/>
    <x v="0"/>
    <x v="2"/>
    <x v="7"/>
    <x v="66"/>
    <x v="113"/>
    <n v="8.3000000000000007"/>
    <m/>
    <n v="0.5"/>
    <m/>
    <n v="8.8000000000000007"/>
    <m/>
    <n v="0"/>
    <n v="0"/>
    <n v="8.8000000000000007"/>
    <m/>
    <n v="0"/>
    <m/>
    <n v="8.8000000000000007"/>
    <m/>
    <n v="0"/>
    <n v="0"/>
    <n v="0"/>
    <n v="0"/>
  </r>
  <r>
    <x v="2"/>
    <x v="0"/>
    <x v="2"/>
    <x v="7"/>
    <x v="67"/>
    <x v="114"/>
    <n v="8.3000000000000007"/>
    <m/>
    <n v="0.5"/>
    <m/>
    <n v="8.8000000000000007"/>
    <m/>
    <n v="0"/>
    <n v="0"/>
    <n v="8.8000000000000007"/>
    <m/>
    <n v="0"/>
    <m/>
    <n v="8.8000000000000007"/>
    <m/>
    <n v="0"/>
    <n v="0"/>
    <n v="0"/>
    <n v="0"/>
  </r>
  <r>
    <x v="2"/>
    <x v="0"/>
    <x v="2"/>
    <x v="10"/>
    <x v="29"/>
    <x v="115"/>
    <n v="0"/>
    <m/>
    <n v="0"/>
    <m/>
    <n v="0"/>
    <m/>
    <n v="0"/>
    <n v="0"/>
    <m/>
    <m/>
    <m/>
    <m/>
    <m/>
    <m/>
    <n v="0"/>
    <m/>
    <m/>
    <m/>
  </r>
  <r>
    <x v="2"/>
    <x v="0"/>
    <x v="2"/>
    <x v="26"/>
    <x v="68"/>
    <x v="116"/>
    <n v="6.55"/>
    <m/>
    <n v="0.54999999999999982"/>
    <m/>
    <n v="7.1"/>
    <m/>
    <n v="0"/>
    <n v="0"/>
    <n v="7.1"/>
    <m/>
    <n v="0"/>
    <m/>
    <n v="7.1"/>
    <m/>
    <n v="0"/>
    <n v="0"/>
    <n v="0"/>
    <n v="0"/>
  </r>
  <r>
    <x v="2"/>
    <x v="0"/>
    <x v="2"/>
    <x v="27"/>
    <x v="69"/>
    <x v="117"/>
    <n v="1"/>
    <m/>
    <n v="5.0000000000000044E-2"/>
    <m/>
    <n v="1.05"/>
    <m/>
    <n v="0"/>
    <n v="0"/>
    <n v="1.05"/>
    <m/>
    <n v="0"/>
    <m/>
    <n v="1.05"/>
    <m/>
    <n v="0"/>
    <n v="0"/>
    <n v="0"/>
    <n v="0"/>
  </r>
  <r>
    <x v="0"/>
    <x v="0"/>
    <x v="3"/>
    <x v="0"/>
    <x v="70"/>
    <x v="118"/>
    <n v="270"/>
    <n v="0"/>
    <n v="15"/>
    <n v="0"/>
    <n v="285"/>
    <n v="0"/>
    <n v="0"/>
    <n v="0"/>
    <n v="285"/>
    <n v="0"/>
    <n v="0"/>
    <n v="0"/>
    <n v="285"/>
    <n v="0"/>
    <n v="0"/>
    <n v="0"/>
    <n v="0"/>
    <n v="0"/>
  </r>
  <r>
    <x v="0"/>
    <x v="0"/>
    <x v="3"/>
    <x v="0"/>
    <x v="71"/>
    <x v="119"/>
    <n v="340"/>
    <n v="0"/>
    <n v="20"/>
    <n v="0"/>
    <n v="360"/>
    <n v="0"/>
    <n v="0"/>
    <n v="0"/>
    <n v="360"/>
    <n v="0"/>
    <n v="0"/>
    <n v="0"/>
    <n v="360"/>
    <n v="0"/>
    <n v="0"/>
    <n v="0"/>
    <n v="0"/>
    <n v="0"/>
  </r>
  <r>
    <x v="0"/>
    <x v="0"/>
    <x v="3"/>
    <x v="2"/>
    <x v="9"/>
    <x v="120"/>
    <n v="130"/>
    <n v="0"/>
    <n v="0"/>
    <n v="0"/>
    <n v="130"/>
    <n v="0"/>
    <n v="0"/>
    <n v="0"/>
    <n v="130"/>
    <n v="0"/>
    <n v="0"/>
    <n v="0"/>
    <n v="130"/>
    <n v="0"/>
    <n v="0"/>
    <n v="0"/>
    <n v="0"/>
    <n v="0"/>
  </r>
  <r>
    <x v="0"/>
    <x v="0"/>
    <x v="3"/>
    <x v="3"/>
    <x v="10"/>
    <x v="121"/>
    <n v="99.5"/>
    <n v="0"/>
    <n v="0"/>
    <n v="0"/>
    <n v="99.5"/>
    <n v="0"/>
    <n v="0"/>
    <n v="0"/>
    <n v="99.5"/>
    <n v="0"/>
    <n v="0"/>
    <n v="0"/>
    <n v="99.5"/>
    <n v="0"/>
    <n v="0"/>
    <n v="0"/>
    <n v="0"/>
    <n v="0"/>
  </r>
  <r>
    <x v="0"/>
    <x v="0"/>
    <x v="3"/>
    <x v="4"/>
    <x v="11"/>
    <x v="122"/>
    <n v="175"/>
    <n v="1.4"/>
    <n v="10"/>
    <n v="8.0000000000000071E-2"/>
    <n v="185"/>
    <n v="1.48"/>
    <n v="0"/>
    <n v="0"/>
    <n v="185"/>
    <n v="1.48"/>
    <n v="0"/>
    <n v="0"/>
    <n v="185"/>
    <n v="1.48"/>
    <n v="0"/>
    <n v="0"/>
    <n v="0"/>
    <n v="0"/>
  </r>
  <r>
    <x v="0"/>
    <x v="0"/>
    <x v="3"/>
    <x v="4"/>
    <x v="12"/>
    <x v="123"/>
    <n v="145"/>
    <n v="0.5"/>
    <n v="8.5"/>
    <n v="3.0000000000000027E-2"/>
    <n v="153.5"/>
    <n v="0.53"/>
    <n v="0"/>
    <n v="0"/>
    <n v="153.5"/>
    <n v="0.53"/>
    <n v="0"/>
    <n v="0"/>
    <n v="153.5"/>
    <n v="0.53"/>
    <n v="0"/>
    <n v="0"/>
    <n v="0"/>
    <n v="0"/>
  </r>
  <r>
    <x v="0"/>
    <x v="0"/>
    <x v="3"/>
    <x v="6"/>
    <x v="14"/>
    <x v="124"/>
    <n v="1.5"/>
    <n v="1"/>
    <n v="0.14999999999999991"/>
    <n v="0"/>
    <n v="1.65"/>
    <n v="1"/>
    <n v="0"/>
    <n v="0"/>
    <n v="1.65"/>
    <n v="1"/>
    <n v="0"/>
    <n v="0"/>
    <n v="1.65"/>
    <n v="1"/>
    <n v="0"/>
    <m/>
    <m/>
    <m/>
  </r>
  <r>
    <x v="0"/>
    <x v="0"/>
    <x v="3"/>
    <x v="28"/>
    <x v="72"/>
    <x v="125"/>
    <n v="91.5"/>
    <n v="0.1"/>
    <n v="5.5"/>
    <n v="5.9999999999999915E-3"/>
    <n v="97"/>
    <n v="0.106"/>
    <n v="0"/>
    <n v="0"/>
    <n v="97"/>
    <n v="0.106"/>
    <n v="0"/>
    <n v="0"/>
    <n v="97"/>
    <n v="0.106"/>
    <n v="0"/>
    <n v="0"/>
    <n v="0"/>
    <n v="0"/>
  </r>
  <r>
    <x v="0"/>
    <x v="0"/>
    <x v="3"/>
    <x v="29"/>
    <x v="73"/>
    <x v="126"/>
    <n v="245"/>
    <n v="0"/>
    <n v="15"/>
    <n v="0"/>
    <n v="260"/>
    <n v="0"/>
    <n v="0"/>
    <n v="0"/>
    <n v="260"/>
    <n v="0"/>
    <n v="0"/>
    <n v="0"/>
    <n v="260"/>
    <n v="0"/>
    <n v="0"/>
    <n v="0"/>
    <n v="0"/>
    <n v="0"/>
  </r>
  <r>
    <x v="0"/>
    <x v="0"/>
    <x v="3"/>
    <x v="30"/>
    <x v="74"/>
    <x v="127"/>
    <n v="245"/>
    <n v="0"/>
    <n v="15"/>
    <n v="0"/>
    <n v="260"/>
    <n v="0"/>
    <n v="0"/>
    <n v="0"/>
    <n v="260"/>
    <n v="0"/>
    <n v="0"/>
    <n v="0"/>
    <n v="260"/>
    <n v="0"/>
    <n v="0"/>
    <n v="0"/>
    <n v="0"/>
    <n v="0"/>
  </r>
  <r>
    <x v="0"/>
    <x v="0"/>
    <x v="3"/>
    <x v="31"/>
    <x v="75"/>
    <x v="128"/>
    <n v="135"/>
    <n v="0"/>
    <n v="10"/>
    <n v="0"/>
    <n v="145"/>
    <n v="0"/>
    <n v="0"/>
    <n v="0"/>
    <n v="145"/>
    <n v="0"/>
    <n v="0"/>
    <n v="0"/>
    <n v="145"/>
    <n v="0"/>
    <n v="0"/>
    <n v="0"/>
    <n v="0"/>
    <n v="0"/>
  </r>
  <r>
    <x v="0"/>
    <x v="0"/>
    <x v="3"/>
    <x v="10"/>
    <x v="29"/>
    <x v="129"/>
    <n v="0"/>
    <n v="0"/>
    <n v="0"/>
    <n v="0"/>
    <n v="0"/>
    <n v="0"/>
    <n v="0"/>
    <n v="0"/>
    <m/>
    <m/>
    <m/>
    <m/>
    <m/>
    <m/>
    <n v="0"/>
    <m/>
    <m/>
    <m/>
  </r>
  <r>
    <x v="0"/>
    <x v="0"/>
    <x v="3"/>
    <x v="32"/>
    <x v="76"/>
    <x v="130"/>
    <n v="150.5"/>
    <n v="9.9000000000000005E-2"/>
    <n v="9.5"/>
    <n v="5.9999999999999915E-3"/>
    <n v="160"/>
    <n v="0.105"/>
    <n v="0"/>
    <n v="0"/>
    <n v="160"/>
    <n v="0.105"/>
    <n v="0"/>
    <n v="0"/>
    <n v="160"/>
    <n v="0.105"/>
    <n v="0"/>
    <n v="0"/>
    <n v="0"/>
    <n v="0"/>
  </r>
  <r>
    <x v="0"/>
    <x v="0"/>
    <x v="3"/>
    <x v="33"/>
    <x v="77"/>
    <x v="131"/>
    <n v="150.5"/>
    <n v="9.9000000000000005E-2"/>
    <n v="9.5"/>
    <n v="5.9999999999999915E-3"/>
    <n v="160"/>
    <n v="0.105"/>
    <n v="0"/>
    <n v="0"/>
    <n v="160"/>
    <n v="0.105"/>
    <n v="0"/>
    <n v="0"/>
    <n v="160"/>
    <n v="0.105"/>
    <n v="0"/>
    <n v="0"/>
    <n v="0"/>
    <n v="0"/>
  </r>
  <r>
    <x v="0"/>
    <x v="0"/>
    <x v="3"/>
    <x v="34"/>
    <x v="78"/>
    <x v="132"/>
    <n v="245"/>
    <n v="0"/>
    <n v="15"/>
    <n v="0"/>
    <n v="260"/>
    <n v="0"/>
    <n v="0"/>
    <n v="0"/>
    <n v="260"/>
    <n v="0"/>
    <n v="0"/>
    <n v="0"/>
    <n v="260"/>
    <n v="0"/>
    <n v="0"/>
    <n v="0"/>
    <n v="0"/>
    <n v="0"/>
  </r>
  <r>
    <x v="0"/>
    <x v="0"/>
    <x v="3"/>
    <x v="35"/>
    <x v="79"/>
    <x v="133"/>
    <n v="245"/>
    <n v="0"/>
    <n v="15"/>
    <n v="0"/>
    <n v="260"/>
    <n v="0"/>
    <n v="0"/>
    <n v="0"/>
    <n v="260"/>
    <n v="0"/>
    <n v="0"/>
    <n v="0"/>
    <n v="260"/>
    <n v="0"/>
    <n v="0"/>
    <n v="0"/>
    <n v="0"/>
    <n v="0"/>
  </r>
  <r>
    <x v="0"/>
    <x v="0"/>
    <x v="3"/>
    <x v="11"/>
    <x v="30"/>
    <x v="134"/>
    <n v="24"/>
    <n v="0"/>
    <n v="1.5"/>
    <n v="0"/>
    <n v="25.5"/>
    <n v="0"/>
    <n v="0"/>
    <n v="0"/>
    <n v="25.5"/>
    <n v="0"/>
    <n v="0"/>
    <n v="0"/>
    <n v="25.5"/>
    <n v="0"/>
    <n v="0"/>
    <n v="0"/>
    <n v="0"/>
    <n v="0"/>
  </r>
  <r>
    <x v="0"/>
    <x v="0"/>
    <x v="3"/>
    <x v="12"/>
    <x v="31"/>
    <x v="135"/>
    <n v="540"/>
    <n v="1.02"/>
    <n v="0"/>
    <n v="0"/>
    <n v="540"/>
    <n v="1.02"/>
    <n v="0"/>
    <n v="0"/>
    <n v="540"/>
    <n v="1.02"/>
    <n v="0"/>
    <n v="0"/>
    <n v="540"/>
    <n v="1.02"/>
    <n v="0"/>
    <n v="0"/>
    <n v="0"/>
    <n v="0"/>
  </r>
  <r>
    <x v="0"/>
    <x v="0"/>
    <x v="3"/>
    <x v="13"/>
    <x v="32"/>
    <x v="136"/>
    <n v="24"/>
    <n v="0"/>
    <n v="1.5"/>
    <n v="0"/>
    <n v="25.5"/>
    <n v="0"/>
    <n v="0"/>
    <n v="0"/>
    <n v="25.5"/>
    <n v="0"/>
    <n v="0"/>
    <n v="0"/>
    <n v="25.5"/>
    <n v="0"/>
    <n v="0"/>
    <n v="0"/>
    <n v="0"/>
    <n v="0"/>
  </r>
  <r>
    <x v="0"/>
    <x v="0"/>
    <x v="3"/>
    <x v="14"/>
    <x v="33"/>
    <x v="137"/>
    <n v="130"/>
    <n v="0"/>
    <n v="0"/>
    <n v="0"/>
    <n v="130"/>
    <n v="0"/>
    <n v="0"/>
    <n v="0"/>
    <n v="130"/>
    <n v="0"/>
    <n v="0"/>
    <n v="0"/>
    <n v="130"/>
    <n v="0"/>
    <n v="0"/>
    <n v="0"/>
    <n v="0"/>
    <n v="0"/>
  </r>
  <r>
    <x v="0"/>
    <x v="0"/>
    <x v="3"/>
    <x v="15"/>
    <x v="80"/>
    <x v="138"/>
    <n v="215"/>
    <n v="0"/>
    <n v="15"/>
    <n v="0"/>
    <n v="230"/>
    <n v="0"/>
    <n v="0"/>
    <n v="0"/>
    <n v="230"/>
    <n v="0"/>
    <n v="0"/>
    <n v="0"/>
    <n v="230"/>
    <n v="0"/>
    <n v="0"/>
    <n v="0"/>
    <n v="0"/>
    <n v="0"/>
  </r>
  <r>
    <x v="0"/>
    <x v="0"/>
    <x v="3"/>
    <x v="36"/>
    <x v="81"/>
    <x v="139"/>
    <n v="215"/>
    <n v="0"/>
    <n v="15"/>
    <n v="0"/>
    <n v="230"/>
    <n v="0"/>
    <n v="0"/>
    <n v="0"/>
    <n v="230"/>
    <n v="0"/>
    <n v="0"/>
    <n v="0"/>
    <n v="230"/>
    <n v="0"/>
    <n v="0"/>
    <n v="0"/>
    <n v="0"/>
    <n v="0"/>
  </r>
  <r>
    <x v="0"/>
    <x v="0"/>
    <x v="3"/>
    <x v="16"/>
    <x v="35"/>
    <x v="140"/>
    <n v="1.05"/>
    <n v="0"/>
    <n v="0"/>
    <n v="0"/>
    <n v="1.05"/>
    <n v="0"/>
    <n v="0"/>
    <n v="0"/>
    <n v="1.05"/>
    <n v="0"/>
    <n v="0"/>
    <n v="0"/>
    <n v="1.05"/>
    <n v="0"/>
    <n v="0"/>
    <n v="0"/>
    <n v="0"/>
    <n v="0"/>
  </r>
  <r>
    <x v="0"/>
    <x v="0"/>
    <x v="3"/>
    <x v="16"/>
    <x v="36"/>
    <x v="141"/>
    <n v="1.05"/>
    <n v="0"/>
    <n v="0"/>
    <n v="0"/>
    <n v="1.05"/>
    <n v="0"/>
    <n v="0"/>
    <n v="0"/>
    <n v="1.05"/>
    <n v="0"/>
    <n v="0"/>
    <n v="0"/>
    <n v="1.05"/>
    <n v="0"/>
    <n v="0"/>
    <n v="0"/>
    <n v="0"/>
    <n v="0"/>
  </r>
  <r>
    <x v="0"/>
    <x v="0"/>
    <x v="3"/>
    <x v="18"/>
    <x v="38"/>
    <x v="142"/>
    <n v="210"/>
    <n v="0"/>
    <n v="0"/>
    <n v="0"/>
    <n v="210"/>
    <n v="0"/>
    <n v="0"/>
    <n v="0"/>
    <n v="210"/>
    <n v="0"/>
    <n v="0"/>
    <n v="0"/>
    <n v="210"/>
    <n v="0"/>
    <n v="0"/>
    <n v="0"/>
    <n v="0"/>
    <n v="0"/>
  </r>
  <r>
    <x v="0"/>
    <x v="0"/>
    <x v="3"/>
    <x v="19"/>
    <x v="39"/>
    <x v="143"/>
    <n v="210"/>
    <n v="0"/>
    <n v="0"/>
    <n v="0"/>
    <n v="210"/>
    <n v="0"/>
    <n v="0"/>
    <n v="0"/>
    <n v="210"/>
    <n v="0"/>
    <n v="0"/>
    <n v="0"/>
    <n v="210"/>
    <n v="0"/>
    <n v="0"/>
    <n v="0"/>
    <n v="0"/>
    <n v="0"/>
  </r>
  <r>
    <x v="1"/>
    <x v="0"/>
    <x v="3"/>
    <x v="0"/>
    <x v="70"/>
    <x v="118"/>
    <n v="270"/>
    <n v="0"/>
    <n v="15"/>
    <n v="0"/>
    <n v="285"/>
    <n v="0"/>
    <n v="0"/>
    <n v="0"/>
    <n v="285"/>
    <n v="0"/>
    <n v="0"/>
    <n v="0"/>
    <n v="285"/>
    <n v="0"/>
    <n v="0"/>
    <n v="0"/>
    <n v="0"/>
    <n v="0"/>
  </r>
  <r>
    <x v="1"/>
    <x v="0"/>
    <x v="3"/>
    <x v="0"/>
    <x v="71"/>
    <x v="119"/>
    <n v="340"/>
    <n v="0"/>
    <n v="20"/>
    <n v="0"/>
    <n v="360"/>
    <n v="0"/>
    <n v="0"/>
    <n v="0"/>
    <n v="360"/>
    <n v="0"/>
    <n v="0"/>
    <n v="0"/>
    <n v="360"/>
    <n v="0"/>
    <n v="0"/>
    <n v="0"/>
    <n v="0"/>
    <n v="0"/>
  </r>
  <r>
    <x v="1"/>
    <x v="0"/>
    <x v="3"/>
    <x v="2"/>
    <x v="9"/>
    <x v="120"/>
    <n v="130"/>
    <n v="0"/>
    <n v="0"/>
    <n v="0"/>
    <n v="130"/>
    <n v="0"/>
    <n v="0"/>
    <n v="0"/>
    <n v="130"/>
    <n v="0"/>
    <n v="0"/>
    <n v="0"/>
    <n v="130"/>
    <n v="0"/>
    <n v="0"/>
    <n v="0"/>
    <n v="0"/>
    <n v="0"/>
  </r>
  <r>
    <x v="1"/>
    <x v="0"/>
    <x v="3"/>
    <x v="3"/>
    <x v="10"/>
    <x v="121"/>
    <n v="99.5"/>
    <n v="0"/>
    <n v="0"/>
    <n v="0"/>
    <n v="99.5"/>
    <n v="0"/>
    <n v="0"/>
    <n v="0"/>
    <n v="99.5"/>
    <n v="0"/>
    <n v="0"/>
    <n v="0"/>
    <n v="99.5"/>
    <n v="0"/>
    <n v="0"/>
    <n v="0"/>
    <n v="0"/>
    <n v="0"/>
  </r>
  <r>
    <x v="1"/>
    <x v="0"/>
    <x v="3"/>
    <x v="4"/>
    <x v="11"/>
    <x v="122"/>
    <n v="175"/>
    <n v="1.4"/>
    <n v="10"/>
    <n v="8.0000000000000071E-2"/>
    <n v="185"/>
    <n v="1.48"/>
    <n v="0"/>
    <n v="0"/>
    <n v="185"/>
    <n v="1.48"/>
    <n v="0"/>
    <n v="0"/>
    <n v="185"/>
    <n v="1.48"/>
    <n v="0"/>
    <n v="0"/>
    <n v="0"/>
    <n v="0"/>
  </r>
  <r>
    <x v="1"/>
    <x v="0"/>
    <x v="3"/>
    <x v="4"/>
    <x v="12"/>
    <x v="123"/>
    <n v="145"/>
    <n v="0.5"/>
    <n v="8.5"/>
    <n v="3.0000000000000027E-2"/>
    <n v="153.5"/>
    <n v="0.53"/>
    <n v="0"/>
    <n v="0"/>
    <n v="153.5"/>
    <n v="0.53"/>
    <n v="0"/>
    <n v="0"/>
    <n v="153.5"/>
    <n v="0.53"/>
    <n v="0"/>
    <n v="0"/>
    <n v="0"/>
    <n v="0"/>
  </r>
  <r>
    <x v="1"/>
    <x v="0"/>
    <x v="3"/>
    <x v="6"/>
    <x v="14"/>
    <x v="124"/>
    <n v="1.5"/>
    <n v="1"/>
    <n v="0.14999999999999991"/>
    <n v="0"/>
    <n v="1.65"/>
    <n v="1"/>
    <n v="0"/>
    <n v="0"/>
    <n v="1.65"/>
    <n v="1"/>
    <n v="0"/>
    <n v="0"/>
    <n v="1.65"/>
    <n v="1"/>
    <n v="0"/>
    <m/>
    <m/>
    <m/>
  </r>
  <r>
    <x v="1"/>
    <x v="0"/>
    <x v="3"/>
    <x v="28"/>
    <x v="72"/>
    <x v="125"/>
    <n v="91.5"/>
    <n v="0.1"/>
    <n v="5.5"/>
    <n v="5.9999999999999915E-3"/>
    <n v="97"/>
    <n v="0.106"/>
    <n v="0"/>
    <n v="0"/>
    <n v="97"/>
    <n v="0.106"/>
    <n v="0"/>
    <n v="0"/>
    <n v="97"/>
    <n v="0.106"/>
    <n v="0"/>
    <n v="0"/>
    <n v="0"/>
    <n v="0"/>
  </r>
  <r>
    <x v="1"/>
    <x v="0"/>
    <x v="3"/>
    <x v="29"/>
    <x v="73"/>
    <x v="126"/>
    <n v="245"/>
    <n v="0"/>
    <n v="15"/>
    <n v="0"/>
    <n v="260"/>
    <n v="0"/>
    <n v="0"/>
    <n v="0"/>
    <n v="260"/>
    <n v="0"/>
    <n v="0"/>
    <n v="0"/>
    <n v="260"/>
    <n v="0"/>
    <n v="0"/>
    <n v="0"/>
    <n v="0"/>
    <n v="0"/>
  </r>
  <r>
    <x v="1"/>
    <x v="0"/>
    <x v="3"/>
    <x v="30"/>
    <x v="74"/>
    <x v="127"/>
    <n v="245"/>
    <n v="0"/>
    <n v="15"/>
    <n v="0"/>
    <n v="260"/>
    <n v="0"/>
    <n v="0"/>
    <n v="0"/>
    <n v="260"/>
    <n v="0"/>
    <n v="0"/>
    <n v="0"/>
    <n v="260"/>
    <n v="0"/>
    <n v="0"/>
    <n v="0"/>
    <n v="0"/>
    <n v="0"/>
  </r>
  <r>
    <x v="1"/>
    <x v="0"/>
    <x v="3"/>
    <x v="31"/>
    <x v="75"/>
    <x v="128"/>
    <n v="135"/>
    <n v="0"/>
    <n v="10"/>
    <n v="0"/>
    <n v="145"/>
    <n v="0"/>
    <n v="0"/>
    <n v="0"/>
    <n v="145"/>
    <n v="0"/>
    <n v="0"/>
    <n v="0"/>
    <n v="145"/>
    <n v="0"/>
    <n v="0"/>
    <n v="0"/>
    <n v="0"/>
    <n v="0"/>
  </r>
  <r>
    <x v="1"/>
    <x v="0"/>
    <x v="3"/>
    <x v="10"/>
    <x v="29"/>
    <x v="129"/>
    <n v="0"/>
    <n v="0"/>
    <n v="0"/>
    <n v="0"/>
    <n v="0"/>
    <n v="0"/>
    <n v="0"/>
    <n v="0"/>
    <m/>
    <m/>
    <m/>
    <m/>
    <m/>
    <m/>
    <n v="0"/>
    <m/>
    <m/>
    <m/>
  </r>
  <r>
    <x v="1"/>
    <x v="0"/>
    <x v="3"/>
    <x v="32"/>
    <x v="76"/>
    <x v="130"/>
    <n v="150.5"/>
    <n v="9.9000000000000005E-2"/>
    <n v="9.5"/>
    <n v="5.9999999999999915E-3"/>
    <n v="160"/>
    <n v="0.105"/>
    <n v="0"/>
    <n v="0"/>
    <n v="160"/>
    <n v="0.105"/>
    <n v="0"/>
    <n v="0"/>
    <n v="160"/>
    <n v="0.105"/>
    <n v="0"/>
    <n v="0"/>
    <n v="0"/>
    <n v="0"/>
  </r>
  <r>
    <x v="1"/>
    <x v="0"/>
    <x v="3"/>
    <x v="33"/>
    <x v="77"/>
    <x v="131"/>
    <n v="150.5"/>
    <n v="9.9000000000000005E-2"/>
    <n v="9.5"/>
    <n v="5.9999999999999915E-3"/>
    <n v="160"/>
    <n v="0.105"/>
    <n v="0"/>
    <n v="0"/>
    <n v="160"/>
    <n v="0.105"/>
    <n v="0"/>
    <n v="0"/>
    <n v="160"/>
    <n v="0.105"/>
    <n v="0"/>
    <n v="0"/>
    <n v="0"/>
    <n v="0"/>
  </r>
  <r>
    <x v="1"/>
    <x v="0"/>
    <x v="3"/>
    <x v="34"/>
    <x v="78"/>
    <x v="132"/>
    <n v="245"/>
    <n v="0"/>
    <n v="15"/>
    <n v="0"/>
    <n v="260"/>
    <n v="0"/>
    <n v="0"/>
    <n v="0"/>
    <n v="260"/>
    <n v="0"/>
    <n v="0"/>
    <n v="0"/>
    <n v="260"/>
    <n v="0"/>
    <n v="0"/>
    <n v="0"/>
    <n v="0"/>
    <n v="0"/>
  </r>
  <r>
    <x v="1"/>
    <x v="0"/>
    <x v="3"/>
    <x v="35"/>
    <x v="79"/>
    <x v="133"/>
    <n v="245"/>
    <n v="0"/>
    <n v="15"/>
    <n v="0"/>
    <n v="260"/>
    <n v="0"/>
    <n v="0"/>
    <n v="0"/>
    <n v="260"/>
    <n v="0"/>
    <n v="0"/>
    <n v="0"/>
    <n v="260"/>
    <n v="0"/>
    <n v="0"/>
    <n v="0"/>
    <n v="0"/>
    <n v="0"/>
  </r>
  <r>
    <x v="1"/>
    <x v="0"/>
    <x v="3"/>
    <x v="11"/>
    <x v="30"/>
    <x v="134"/>
    <n v="24"/>
    <n v="0"/>
    <n v="1.5"/>
    <n v="0"/>
    <n v="25.5"/>
    <n v="0"/>
    <n v="0"/>
    <n v="0"/>
    <n v="25.5"/>
    <n v="0"/>
    <n v="0"/>
    <n v="0"/>
    <n v="25.5"/>
    <n v="0"/>
    <n v="0"/>
    <n v="0"/>
    <n v="0"/>
    <n v="0"/>
  </r>
  <r>
    <x v="1"/>
    <x v="0"/>
    <x v="3"/>
    <x v="12"/>
    <x v="31"/>
    <x v="135"/>
    <n v="540"/>
    <n v="1.02"/>
    <n v="0"/>
    <n v="0"/>
    <n v="540"/>
    <n v="1.02"/>
    <n v="0"/>
    <n v="0"/>
    <n v="540"/>
    <n v="1.02"/>
    <n v="0"/>
    <n v="0"/>
    <n v="540"/>
    <n v="1.02"/>
    <n v="0"/>
    <n v="0"/>
    <n v="0"/>
    <n v="0"/>
  </r>
  <r>
    <x v="1"/>
    <x v="0"/>
    <x v="3"/>
    <x v="13"/>
    <x v="32"/>
    <x v="136"/>
    <n v="24"/>
    <n v="0"/>
    <n v="1.5"/>
    <n v="0"/>
    <n v="25.5"/>
    <n v="0"/>
    <n v="0"/>
    <n v="0"/>
    <n v="25.5"/>
    <n v="0"/>
    <n v="0"/>
    <n v="0"/>
    <n v="25.5"/>
    <n v="0"/>
    <n v="0"/>
    <n v="0"/>
    <n v="0"/>
    <n v="0"/>
  </r>
  <r>
    <x v="1"/>
    <x v="0"/>
    <x v="3"/>
    <x v="14"/>
    <x v="33"/>
    <x v="137"/>
    <n v="130"/>
    <n v="0"/>
    <n v="0"/>
    <n v="0"/>
    <n v="130"/>
    <n v="0"/>
    <n v="0"/>
    <n v="0"/>
    <n v="130"/>
    <n v="0"/>
    <n v="0"/>
    <n v="0"/>
    <n v="130"/>
    <n v="0"/>
    <n v="0"/>
    <n v="0"/>
    <n v="0"/>
    <n v="0"/>
  </r>
  <r>
    <x v="1"/>
    <x v="0"/>
    <x v="3"/>
    <x v="15"/>
    <x v="80"/>
    <x v="138"/>
    <n v="215"/>
    <n v="0"/>
    <n v="15"/>
    <n v="0"/>
    <n v="230"/>
    <n v="0"/>
    <n v="0"/>
    <n v="0"/>
    <n v="230"/>
    <n v="0"/>
    <n v="0"/>
    <n v="0"/>
    <n v="230"/>
    <n v="0"/>
    <n v="0"/>
    <n v="0"/>
    <n v="0"/>
    <n v="0"/>
  </r>
  <r>
    <x v="1"/>
    <x v="0"/>
    <x v="3"/>
    <x v="36"/>
    <x v="81"/>
    <x v="139"/>
    <n v="215"/>
    <n v="0"/>
    <n v="15"/>
    <n v="0"/>
    <n v="230"/>
    <n v="0"/>
    <n v="0"/>
    <n v="0"/>
    <n v="230"/>
    <n v="0"/>
    <n v="0"/>
    <n v="0"/>
    <n v="230"/>
    <n v="0"/>
    <n v="0"/>
    <n v="0"/>
    <n v="0"/>
    <n v="0"/>
  </r>
  <r>
    <x v="1"/>
    <x v="0"/>
    <x v="3"/>
    <x v="16"/>
    <x v="35"/>
    <x v="140"/>
    <n v="1.05"/>
    <n v="0"/>
    <n v="0"/>
    <n v="0"/>
    <n v="1.05"/>
    <n v="0"/>
    <n v="0"/>
    <n v="0"/>
    <n v="1.05"/>
    <n v="0"/>
    <n v="0"/>
    <n v="0"/>
    <n v="1.05"/>
    <n v="0"/>
    <n v="0"/>
    <n v="0"/>
    <n v="0"/>
    <n v="0"/>
  </r>
  <r>
    <x v="1"/>
    <x v="0"/>
    <x v="3"/>
    <x v="16"/>
    <x v="36"/>
    <x v="141"/>
    <n v="1.05"/>
    <n v="0"/>
    <n v="0"/>
    <n v="0"/>
    <n v="1.05"/>
    <n v="0"/>
    <n v="0"/>
    <n v="0"/>
    <n v="1.05"/>
    <n v="0"/>
    <n v="0"/>
    <n v="0"/>
    <n v="1.05"/>
    <n v="0"/>
    <n v="0"/>
    <n v="0"/>
    <n v="0"/>
    <n v="0"/>
  </r>
  <r>
    <x v="1"/>
    <x v="0"/>
    <x v="3"/>
    <x v="18"/>
    <x v="38"/>
    <x v="142"/>
    <n v="210"/>
    <n v="0"/>
    <n v="0"/>
    <n v="0"/>
    <n v="210"/>
    <n v="0"/>
    <n v="0"/>
    <n v="0"/>
    <n v="210"/>
    <n v="0"/>
    <n v="0"/>
    <n v="0"/>
    <n v="210"/>
    <n v="0"/>
    <n v="0"/>
    <n v="0"/>
    <n v="0"/>
    <n v="0"/>
  </r>
  <r>
    <x v="1"/>
    <x v="0"/>
    <x v="3"/>
    <x v="19"/>
    <x v="39"/>
    <x v="143"/>
    <n v="210"/>
    <n v="0"/>
    <n v="0"/>
    <n v="0"/>
    <n v="210"/>
    <n v="0"/>
    <n v="0"/>
    <n v="0"/>
    <n v="210"/>
    <n v="0"/>
    <n v="0"/>
    <n v="0"/>
    <n v="210"/>
    <n v="0"/>
    <n v="0"/>
    <n v="0"/>
    <n v="0"/>
    <n v="0"/>
  </r>
  <r>
    <x v="2"/>
    <x v="0"/>
    <x v="3"/>
    <x v="0"/>
    <x v="70"/>
    <x v="118"/>
    <n v="270"/>
    <n v="0"/>
    <n v="15"/>
    <n v="0"/>
    <n v="285"/>
    <n v="0"/>
    <n v="0"/>
    <n v="0"/>
    <n v="285"/>
    <n v="0"/>
    <n v="0"/>
    <n v="0"/>
    <n v="285"/>
    <n v="0"/>
    <n v="0"/>
    <n v="0"/>
    <n v="0"/>
    <n v="0"/>
  </r>
  <r>
    <x v="2"/>
    <x v="0"/>
    <x v="3"/>
    <x v="0"/>
    <x v="71"/>
    <x v="119"/>
    <n v="340"/>
    <n v="0"/>
    <n v="20"/>
    <n v="0"/>
    <n v="360"/>
    <n v="0"/>
    <n v="0"/>
    <n v="0"/>
    <n v="360"/>
    <n v="0"/>
    <n v="0"/>
    <n v="0"/>
    <n v="360"/>
    <n v="0"/>
    <n v="0"/>
    <n v="0"/>
    <n v="0"/>
    <n v="0"/>
  </r>
  <r>
    <x v="2"/>
    <x v="0"/>
    <x v="3"/>
    <x v="2"/>
    <x v="9"/>
    <x v="120"/>
    <n v="130"/>
    <n v="0"/>
    <n v="0"/>
    <n v="0"/>
    <n v="130"/>
    <n v="0"/>
    <n v="0"/>
    <n v="0"/>
    <n v="130"/>
    <n v="0"/>
    <n v="0"/>
    <n v="0"/>
    <n v="130"/>
    <n v="0"/>
    <n v="0"/>
    <n v="0"/>
    <n v="0"/>
    <n v="0"/>
  </r>
  <r>
    <x v="2"/>
    <x v="0"/>
    <x v="3"/>
    <x v="3"/>
    <x v="10"/>
    <x v="121"/>
    <n v="99.5"/>
    <n v="0"/>
    <n v="0"/>
    <n v="0"/>
    <n v="99.5"/>
    <n v="0"/>
    <n v="0"/>
    <n v="0"/>
    <n v="99.5"/>
    <n v="0"/>
    <n v="0"/>
    <n v="0"/>
    <n v="99.5"/>
    <n v="0"/>
    <n v="0"/>
    <n v="0"/>
    <n v="0"/>
    <n v="0"/>
  </r>
  <r>
    <x v="2"/>
    <x v="0"/>
    <x v="3"/>
    <x v="4"/>
    <x v="11"/>
    <x v="122"/>
    <n v="175"/>
    <n v="1.4"/>
    <n v="10"/>
    <n v="8.0000000000000071E-2"/>
    <n v="185"/>
    <n v="1.48"/>
    <n v="0"/>
    <n v="0"/>
    <n v="185"/>
    <n v="1.48"/>
    <n v="0"/>
    <n v="0"/>
    <n v="185"/>
    <n v="1.48"/>
    <n v="0"/>
    <n v="0"/>
    <n v="0"/>
    <n v="0"/>
  </r>
  <r>
    <x v="2"/>
    <x v="0"/>
    <x v="3"/>
    <x v="4"/>
    <x v="12"/>
    <x v="123"/>
    <n v="145"/>
    <n v="0.5"/>
    <n v="8.5"/>
    <n v="3.0000000000000027E-2"/>
    <n v="153.5"/>
    <n v="0.53"/>
    <n v="0"/>
    <n v="0"/>
    <n v="153.5"/>
    <n v="0.53"/>
    <n v="0"/>
    <n v="0"/>
    <n v="153.5"/>
    <n v="0.53"/>
    <n v="0"/>
    <n v="0"/>
    <n v="0"/>
    <n v="0"/>
  </r>
  <r>
    <x v="2"/>
    <x v="0"/>
    <x v="3"/>
    <x v="6"/>
    <x v="14"/>
    <x v="124"/>
    <n v="1.5"/>
    <n v="1"/>
    <n v="0.14999999999999991"/>
    <n v="0"/>
    <n v="1.65"/>
    <n v="1"/>
    <n v="0"/>
    <n v="0"/>
    <n v="1.65"/>
    <n v="1"/>
    <n v="0"/>
    <n v="0"/>
    <n v="1.65"/>
    <n v="1"/>
    <n v="0"/>
    <m/>
    <m/>
    <m/>
  </r>
  <r>
    <x v="2"/>
    <x v="0"/>
    <x v="3"/>
    <x v="28"/>
    <x v="72"/>
    <x v="125"/>
    <n v="91.5"/>
    <n v="0.1"/>
    <n v="5.5"/>
    <n v="5.9999999999999915E-3"/>
    <n v="97"/>
    <n v="0.106"/>
    <n v="0"/>
    <n v="0"/>
    <n v="97"/>
    <n v="0.106"/>
    <n v="0"/>
    <n v="0"/>
    <n v="97"/>
    <n v="0.106"/>
    <n v="0"/>
    <n v="0"/>
    <n v="0"/>
    <n v="0"/>
  </r>
  <r>
    <x v="2"/>
    <x v="0"/>
    <x v="3"/>
    <x v="29"/>
    <x v="73"/>
    <x v="126"/>
    <n v="245"/>
    <n v="0"/>
    <n v="15"/>
    <n v="0"/>
    <n v="260"/>
    <n v="0"/>
    <n v="0"/>
    <n v="0"/>
    <n v="260"/>
    <n v="0"/>
    <n v="0"/>
    <n v="0"/>
    <n v="260"/>
    <n v="0"/>
    <n v="0"/>
    <n v="0"/>
    <n v="0"/>
    <n v="0"/>
  </r>
  <r>
    <x v="2"/>
    <x v="0"/>
    <x v="3"/>
    <x v="30"/>
    <x v="74"/>
    <x v="127"/>
    <n v="245"/>
    <n v="0"/>
    <n v="15"/>
    <n v="0"/>
    <n v="260"/>
    <n v="0"/>
    <n v="0"/>
    <n v="0"/>
    <n v="260"/>
    <n v="0"/>
    <n v="0"/>
    <n v="0"/>
    <n v="260"/>
    <n v="0"/>
    <n v="0"/>
    <n v="0"/>
    <n v="0"/>
    <n v="0"/>
  </r>
  <r>
    <x v="2"/>
    <x v="0"/>
    <x v="3"/>
    <x v="31"/>
    <x v="75"/>
    <x v="128"/>
    <n v="135"/>
    <n v="0"/>
    <n v="10"/>
    <n v="0"/>
    <n v="145"/>
    <n v="0"/>
    <n v="0"/>
    <n v="0"/>
    <n v="145"/>
    <n v="0"/>
    <n v="0"/>
    <n v="0"/>
    <n v="145"/>
    <n v="0"/>
    <n v="0"/>
    <n v="0"/>
    <n v="0"/>
    <n v="0"/>
  </r>
  <r>
    <x v="2"/>
    <x v="0"/>
    <x v="3"/>
    <x v="10"/>
    <x v="29"/>
    <x v="129"/>
    <n v="0"/>
    <n v="0"/>
    <n v="0"/>
    <n v="0"/>
    <n v="0"/>
    <n v="0"/>
    <n v="0"/>
    <n v="0"/>
    <m/>
    <m/>
    <m/>
    <m/>
    <m/>
    <m/>
    <n v="0"/>
    <m/>
    <m/>
    <m/>
  </r>
  <r>
    <x v="2"/>
    <x v="0"/>
    <x v="3"/>
    <x v="32"/>
    <x v="76"/>
    <x v="130"/>
    <n v="150.5"/>
    <n v="9.9000000000000005E-2"/>
    <n v="9.5"/>
    <n v="5.9999999999999915E-3"/>
    <n v="160"/>
    <n v="0.105"/>
    <n v="0"/>
    <n v="0"/>
    <n v="160"/>
    <n v="0.105"/>
    <n v="0"/>
    <n v="0"/>
    <n v="160"/>
    <n v="0.105"/>
    <n v="0"/>
    <n v="0"/>
    <n v="0"/>
    <n v="0"/>
  </r>
  <r>
    <x v="2"/>
    <x v="0"/>
    <x v="3"/>
    <x v="33"/>
    <x v="77"/>
    <x v="131"/>
    <n v="150.5"/>
    <n v="9.9000000000000005E-2"/>
    <n v="9.5"/>
    <n v="5.9999999999999915E-3"/>
    <n v="160"/>
    <n v="0.105"/>
    <n v="0"/>
    <n v="0"/>
    <n v="160"/>
    <n v="0.105"/>
    <n v="0"/>
    <n v="0"/>
    <n v="160"/>
    <n v="0.105"/>
    <n v="0"/>
    <n v="0"/>
    <n v="0"/>
    <n v="0"/>
  </r>
  <r>
    <x v="2"/>
    <x v="0"/>
    <x v="3"/>
    <x v="34"/>
    <x v="78"/>
    <x v="132"/>
    <n v="245"/>
    <n v="0"/>
    <n v="15"/>
    <n v="0"/>
    <n v="260"/>
    <n v="0"/>
    <n v="0"/>
    <n v="0"/>
    <n v="260"/>
    <n v="0"/>
    <n v="0"/>
    <n v="0"/>
    <n v="260"/>
    <n v="0"/>
    <n v="0"/>
    <n v="0"/>
    <n v="0"/>
    <n v="0"/>
  </r>
  <r>
    <x v="2"/>
    <x v="0"/>
    <x v="3"/>
    <x v="35"/>
    <x v="79"/>
    <x v="133"/>
    <n v="245"/>
    <n v="0"/>
    <n v="15"/>
    <n v="0"/>
    <n v="260"/>
    <n v="0"/>
    <n v="0"/>
    <n v="0"/>
    <n v="260"/>
    <n v="0"/>
    <n v="0"/>
    <n v="0"/>
    <n v="260"/>
    <n v="0"/>
    <n v="0"/>
    <n v="0"/>
    <n v="0"/>
    <n v="0"/>
  </r>
  <r>
    <x v="2"/>
    <x v="0"/>
    <x v="3"/>
    <x v="11"/>
    <x v="30"/>
    <x v="134"/>
    <n v="24"/>
    <n v="0"/>
    <n v="1.5"/>
    <n v="0"/>
    <n v="25.5"/>
    <n v="0"/>
    <n v="0"/>
    <n v="0"/>
    <n v="25.5"/>
    <n v="0"/>
    <n v="0"/>
    <n v="0"/>
    <n v="25.5"/>
    <n v="0"/>
    <n v="0"/>
    <n v="0"/>
    <n v="0"/>
    <n v="0"/>
  </r>
  <r>
    <x v="2"/>
    <x v="0"/>
    <x v="3"/>
    <x v="12"/>
    <x v="31"/>
    <x v="135"/>
    <n v="540"/>
    <n v="1.02"/>
    <n v="0"/>
    <n v="0"/>
    <n v="540"/>
    <n v="1.02"/>
    <n v="0"/>
    <n v="0"/>
    <n v="540"/>
    <n v="1.02"/>
    <n v="0"/>
    <n v="0"/>
    <n v="540"/>
    <n v="1.02"/>
    <n v="0"/>
    <n v="0"/>
    <n v="0"/>
    <n v="0"/>
  </r>
  <r>
    <x v="2"/>
    <x v="0"/>
    <x v="3"/>
    <x v="13"/>
    <x v="32"/>
    <x v="136"/>
    <n v="24"/>
    <n v="0"/>
    <n v="1.5"/>
    <n v="0"/>
    <n v="25.5"/>
    <n v="0"/>
    <n v="0"/>
    <n v="0"/>
    <n v="25.5"/>
    <n v="0"/>
    <n v="0"/>
    <n v="0"/>
    <n v="25.5"/>
    <n v="0"/>
    <n v="0"/>
    <n v="0"/>
    <n v="0"/>
    <n v="0"/>
  </r>
  <r>
    <x v="2"/>
    <x v="0"/>
    <x v="3"/>
    <x v="14"/>
    <x v="33"/>
    <x v="137"/>
    <n v="130"/>
    <n v="0"/>
    <n v="0"/>
    <n v="0"/>
    <n v="130"/>
    <n v="0"/>
    <n v="0"/>
    <n v="0"/>
    <n v="130"/>
    <n v="0"/>
    <n v="0"/>
    <n v="0"/>
    <n v="130"/>
    <n v="0"/>
    <n v="0"/>
    <n v="0"/>
    <n v="0"/>
    <n v="0"/>
  </r>
  <r>
    <x v="2"/>
    <x v="0"/>
    <x v="3"/>
    <x v="15"/>
    <x v="80"/>
    <x v="138"/>
    <n v="215"/>
    <n v="0"/>
    <n v="15"/>
    <n v="0"/>
    <n v="230"/>
    <n v="0"/>
    <n v="0"/>
    <n v="0"/>
    <n v="230"/>
    <n v="0"/>
    <n v="0"/>
    <n v="0"/>
    <n v="230"/>
    <n v="0"/>
    <n v="0"/>
    <n v="0"/>
    <n v="0"/>
    <n v="0"/>
  </r>
  <r>
    <x v="2"/>
    <x v="0"/>
    <x v="3"/>
    <x v="36"/>
    <x v="81"/>
    <x v="139"/>
    <n v="215"/>
    <n v="0"/>
    <n v="15"/>
    <n v="0"/>
    <n v="230"/>
    <n v="0"/>
    <n v="0"/>
    <n v="0"/>
    <n v="230"/>
    <n v="0"/>
    <n v="0"/>
    <n v="0"/>
    <n v="230"/>
    <n v="0"/>
    <n v="0"/>
    <n v="0"/>
    <n v="0"/>
    <n v="0"/>
  </r>
  <r>
    <x v="2"/>
    <x v="0"/>
    <x v="3"/>
    <x v="16"/>
    <x v="35"/>
    <x v="140"/>
    <n v="1.05"/>
    <n v="0"/>
    <n v="0"/>
    <n v="0"/>
    <n v="1.05"/>
    <n v="0"/>
    <n v="0"/>
    <n v="0"/>
    <n v="1.05"/>
    <n v="0"/>
    <n v="0"/>
    <n v="0"/>
    <n v="1.05"/>
    <n v="0"/>
    <n v="0"/>
    <n v="0"/>
    <n v="0"/>
    <n v="0"/>
  </r>
  <r>
    <x v="2"/>
    <x v="0"/>
    <x v="3"/>
    <x v="16"/>
    <x v="36"/>
    <x v="141"/>
    <n v="1.05"/>
    <n v="0"/>
    <n v="0"/>
    <n v="0"/>
    <n v="1.05"/>
    <n v="0"/>
    <n v="0"/>
    <n v="0"/>
    <n v="1.05"/>
    <n v="0"/>
    <n v="0"/>
    <n v="0"/>
    <n v="1.05"/>
    <n v="0"/>
    <n v="0"/>
    <n v="0"/>
    <n v="0"/>
    <n v="0"/>
  </r>
  <r>
    <x v="2"/>
    <x v="0"/>
    <x v="3"/>
    <x v="18"/>
    <x v="38"/>
    <x v="142"/>
    <n v="210"/>
    <n v="0"/>
    <n v="0"/>
    <n v="0"/>
    <n v="210"/>
    <n v="0"/>
    <n v="0"/>
    <n v="0"/>
    <n v="210"/>
    <n v="0"/>
    <n v="0"/>
    <n v="0"/>
    <n v="210"/>
    <n v="0"/>
    <n v="0"/>
    <n v="0"/>
    <n v="0"/>
    <n v="0"/>
  </r>
  <r>
    <x v="2"/>
    <x v="0"/>
    <x v="3"/>
    <x v="19"/>
    <x v="39"/>
    <x v="143"/>
    <n v="210"/>
    <n v="0"/>
    <n v="0"/>
    <n v="0"/>
    <n v="210"/>
    <n v="0"/>
    <n v="0"/>
    <n v="0"/>
    <n v="210"/>
    <n v="0"/>
    <n v="0"/>
    <n v="0"/>
    <n v="210"/>
    <n v="0"/>
    <n v="0"/>
    <n v="0"/>
    <n v="0"/>
    <n v="0"/>
  </r>
  <r>
    <x v="0"/>
    <x v="1"/>
    <x v="0"/>
    <x v="0"/>
    <x v="40"/>
    <x v="144"/>
    <n v="27"/>
    <n v="0"/>
    <n v="2.5"/>
    <n v="0"/>
    <n v="29.5"/>
    <n v="0"/>
    <n v="0"/>
    <n v="0"/>
    <n v="29.5"/>
    <n v="0"/>
    <n v="0"/>
    <n v="0"/>
    <n v="29.5"/>
    <n v="0"/>
    <n v="0"/>
    <n v="0"/>
    <n v="0"/>
    <n v="0"/>
  </r>
  <r>
    <x v="0"/>
    <x v="1"/>
    <x v="0"/>
    <x v="0"/>
    <x v="42"/>
    <x v="145"/>
    <n v="27"/>
    <n v="0"/>
    <n v="2.5"/>
    <n v="0"/>
    <n v="29.5"/>
    <n v="0"/>
    <n v="0"/>
    <n v="0"/>
    <n v="29.5"/>
    <n v="0"/>
    <n v="0"/>
    <n v="0"/>
    <n v="29.5"/>
    <n v="0"/>
    <n v="0"/>
    <n v="0"/>
    <n v="0"/>
    <n v="0"/>
  </r>
  <r>
    <x v="0"/>
    <x v="1"/>
    <x v="0"/>
    <x v="0"/>
    <x v="41"/>
    <x v="146"/>
    <n v="38"/>
    <n v="0"/>
    <n v="2"/>
    <n v="0"/>
    <n v="40"/>
    <n v="0"/>
    <n v="0"/>
    <n v="0"/>
    <n v="40"/>
    <n v="0"/>
    <n v="0"/>
    <n v="0"/>
    <n v="40"/>
    <n v="0"/>
    <n v="0"/>
    <n v="0"/>
    <n v="0"/>
    <n v="0"/>
  </r>
  <r>
    <x v="0"/>
    <x v="1"/>
    <x v="0"/>
    <x v="2"/>
    <x v="9"/>
    <x v="147"/>
    <n v="24"/>
    <n v="0"/>
    <n v="1.5"/>
    <n v="0"/>
    <n v="25.5"/>
    <n v="0"/>
    <n v="0"/>
    <n v="0"/>
    <n v="25.5"/>
    <n v="0"/>
    <n v="0"/>
    <n v="0"/>
    <n v="25.5"/>
    <n v="0"/>
    <n v="0"/>
    <n v="0"/>
    <n v="0"/>
    <n v="0"/>
  </r>
  <r>
    <x v="0"/>
    <x v="1"/>
    <x v="0"/>
    <x v="4"/>
    <x v="82"/>
    <x v="148"/>
    <n v="240"/>
    <n v="1.4"/>
    <n v="0"/>
    <n v="8.0000000000000071E-2"/>
    <n v="240"/>
    <n v="1.48"/>
    <n v="0"/>
    <n v="0"/>
    <n v="240"/>
    <n v="1.48"/>
    <n v="0"/>
    <n v="0"/>
    <n v="240"/>
    <n v="1.48"/>
    <n v="0"/>
    <n v="0"/>
    <n v="0"/>
    <n v="0"/>
  </r>
  <r>
    <x v="0"/>
    <x v="1"/>
    <x v="0"/>
    <x v="4"/>
    <x v="83"/>
    <x v="149"/>
    <n v="115"/>
    <n v="0.67"/>
    <n v="0"/>
    <n v="3.9999999999999925E-2"/>
    <n v="115"/>
    <n v="0.71"/>
    <n v="0"/>
    <n v="0"/>
    <n v="115"/>
    <n v="0.71"/>
    <n v="0"/>
    <n v="0"/>
    <n v="115"/>
    <n v="0.71"/>
    <n v="0"/>
    <n v="0"/>
    <n v="0"/>
    <n v="0"/>
  </r>
  <r>
    <x v="0"/>
    <x v="1"/>
    <x v="0"/>
    <x v="4"/>
    <x v="84"/>
    <x v="150"/>
    <n v="8"/>
    <n v="0"/>
    <n v="0.5"/>
    <n v="0"/>
    <n v="8.5"/>
    <n v="0"/>
    <n v="0"/>
    <n v="0"/>
    <n v="8.5"/>
    <n v="0"/>
    <n v="0"/>
    <n v="0"/>
    <n v="8.5"/>
    <n v="0"/>
    <n v="0"/>
    <n v="0"/>
    <n v="0"/>
    <n v="0"/>
  </r>
  <r>
    <x v="0"/>
    <x v="1"/>
    <x v="0"/>
    <x v="6"/>
    <x v="14"/>
    <x v="151"/>
    <n v="1.5"/>
    <n v="9.07"/>
    <n v="0.14999999999999991"/>
    <n v="0"/>
    <n v="1.65"/>
    <n v="9.07"/>
    <n v="0"/>
    <n v="0"/>
    <n v="1.65"/>
    <n v="9.07"/>
    <n v="0"/>
    <n v="0"/>
    <n v="1.65"/>
    <n v="9.07"/>
    <n v="0"/>
    <m/>
    <m/>
    <m/>
  </r>
  <r>
    <x v="0"/>
    <x v="1"/>
    <x v="0"/>
    <x v="8"/>
    <x v="25"/>
    <x v="152"/>
    <n v="8.65"/>
    <n v="0"/>
    <n v="1.3499999999999996"/>
    <n v="0"/>
    <n v="10"/>
    <n v="0"/>
    <n v="0"/>
    <n v="0"/>
    <n v="10"/>
    <n v="0"/>
    <n v="0"/>
    <n v="0"/>
    <n v="10"/>
    <n v="0"/>
    <n v="0"/>
    <n v="0"/>
    <n v="0"/>
    <n v="0"/>
  </r>
  <r>
    <x v="0"/>
    <x v="1"/>
    <x v="0"/>
    <x v="8"/>
    <x v="26"/>
    <x v="153"/>
    <n v="7.15"/>
    <n v="0"/>
    <n v="0.44999999999999929"/>
    <n v="0"/>
    <n v="7.6"/>
    <n v="0"/>
    <n v="0"/>
    <n v="0"/>
    <n v="7.6"/>
    <n v="0"/>
    <n v="0"/>
    <n v="0"/>
    <n v="7.6"/>
    <n v="0"/>
    <n v="0"/>
    <n v="0"/>
    <n v="0"/>
    <n v="0"/>
  </r>
  <r>
    <x v="0"/>
    <x v="1"/>
    <x v="0"/>
    <x v="8"/>
    <x v="27"/>
    <x v="154"/>
    <n v="7.15"/>
    <n v="0"/>
    <n v="0.44999999999999929"/>
    <n v="0"/>
    <n v="7.6"/>
    <n v="0"/>
    <n v="0"/>
    <n v="0"/>
    <n v="7.6"/>
    <n v="0"/>
    <n v="0"/>
    <n v="0"/>
    <n v="7.6"/>
    <n v="0"/>
    <n v="0"/>
    <n v="0"/>
    <n v="0"/>
    <n v="0"/>
  </r>
  <r>
    <x v="0"/>
    <x v="1"/>
    <x v="0"/>
    <x v="10"/>
    <x v="29"/>
    <x v="155"/>
    <n v="0"/>
    <n v="0"/>
    <n v="0"/>
    <n v="0"/>
    <n v="0"/>
    <n v="0"/>
    <n v="0"/>
    <n v="0"/>
    <m/>
    <m/>
    <m/>
    <m/>
    <m/>
    <m/>
    <n v="0"/>
    <m/>
    <m/>
    <m/>
  </r>
  <r>
    <x v="0"/>
    <x v="1"/>
    <x v="0"/>
    <x v="11"/>
    <x v="30"/>
    <x v="156"/>
    <n v="24"/>
    <n v="0"/>
    <n v="1.5"/>
    <n v="0"/>
    <n v="25.5"/>
    <n v="0"/>
    <n v="0"/>
    <n v="0"/>
    <n v="25.5"/>
    <n v="0"/>
    <n v="0"/>
    <n v="0"/>
    <n v="25.5"/>
    <n v="0"/>
    <n v="0"/>
    <n v="0"/>
    <n v="0"/>
    <n v="0"/>
  </r>
  <r>
    <x v="0"/>
    <x v="1"/>
    <x v="0"/>
    <x v="12"/>
    <x v="31"/>
    <x v="157"/>
    <n v="170"/>
    <n v="3.4"/>
    <n v="0"/>
    <n v="0"/>
    <n v="170"/>
    <n v="3.4"/>
    <n v="0"/>
    <n v="0"/>
    <n v="170"/>
    <n v="3.4"/>
    <n v="0"/>
    <n v="0"/>
    <n v="170"/>
    <n v="3.4"/>
    <n v="0"/>
    <n v="0"/>
    <n v="0"/>
    <n v="0"/>
  </r>
  <r>
    <x v="0"/>
    <x v="1"/>
    <x v="0"/>
    <x v="37"/>
    <x v="85"/>
    <x v="158"/>
    <n v="4.2"/>
    <n v="0"/>
    <n v="0.25"/>
    <n v="0"/>
    <n v="4.45"/>
    <n v="0"/>
    <n v="0"/>
    <n v="0"/>
    <n v="4.45"/>
    <n v="0"/>
    <n v="0"/>
    <n v="0"/>
    <n v="4.45"/>
    <n v="0"/>
    <n v="0"/>
    <n v="0"/>
    <n v="0"/>
    <n v="0"/>
  </r>
  <r>
    <x v="0"/>
    <x v="1"/>
    <x v="0"/>
    <x v="37"/>
    <x v="86"/>
    <x v="159"/>
    <n v="49"/>
    <n v="0.49"/>
    <n v="0"/>
    <n v="3.0000000000000027E-2"/>
    <n v="49"/>
    <n v="0.52"/>
    <n v="0"/>
    <n v="0"/>
    <n v="49"/>
    <n v="0.52"/>
    <n v="0"/>
    <n v="0"/>
    <n v="49"/>
    <n v="0.52"/>
    <n v="0"/>
    <n v="0"/>
    <n v="0"/>
    <n v="0"/>
  </r>
  <r>
    <x v="0"/>
    <x v="1"/>
    <x v="0"/>
    <x v="37"/>
    <x v="87"/>
    <x v="160"/>
    <n v="64"/>
    <n v="0.64"/>
    <n v="4"/>
    <n v="4.0000000000000036E-2"/>
    <n v="68"/>
    <n v="0.68"/>
    <n v="0"/>
    <n v="0"/>
    <n v="68"/>
    <n v="0.68"/>
    <n v="0"/>
    <n v="0"/>
    <n v="68"/>
    <n v="0.68"/>
    <n v="0"/>
    <n v="0"/>
    <n v="0"/>
    <n v="0"/>
  </r>
  <r>
    <x v="0"/>
    <x v="1"/>
    <x v="0"/>
    <x v="38"/>
    <x v="88"/>
    <x v="161"/>
    <n v="4.2"/>
    <n v="0"/>
    <n v="0.25"/>
    <n v="0"/>
    <n v="4.45"/>
    <n v="0"/>
    <n v="0"/>
    <n v="0"/>
    <n v="4.45"/>
    <n v="0"/>
    <n v="0"/>
    <n v="0"/>
    <n v="4.45"/>
    <n v="0"/>
    <n v="0"/>
    <n v="0"/>
    <n v="0"/>
    <n v="0"/>
  </r>
  <r>
    <x v="0"/>
    <x v="1"/>
    <x v="0"/>
    <x v="38"/>
    <x v="89"/>
    <x v="162"/>
    <n v="49"/>
    <n v="0.49"/>
    <n v="0"/>
    <n v="3.0000000000000027E-2"/>
    <n v="49"/>
    <n v="0.52"/>
    <n v="0"/>
    <n v="0"/>
    <n v="49"/>
    <n v="0.52"/>
    <n v="0"/>
    <n v="0"/>
    <n v="49"/>
    <n v="0.52"/>
    <n v="0"/>
    <n v="0"/>
    <n v="0"/>
    <n v="0"/>
  </r>
  <r>
    <x v="0"/>
    <x v="1"/>
    <x v="0"/>
    <x v="38"/>
    <x v="90"/>
    <x v="163"/>
    <n v="64"/>
    <n v="0.64"/>
    <n v="4"/>
    <n v="4.0000000000000036E-2"/>
    <n v="68"/>
    <n v="0.68"/>
    <n v="0"/>
    <n v="0"/>
    <n v="68"/>
    <n v="0.68"/>
    <n v="0"/>
    <n v="0"/>
    <n v="68"/>
    <n v="0.68"/>
    <n v="0"/>
    <n v="0"/>
    <n v="0"/>
    <n v="0"/>
  </r>
  <r>
    <x v="0"/>
    <x v="1"/>
    <x v="0"/>
    <x v="1"/>
    <x v="59"/>
    <x v="164"/>
    <n v="190"/>
    <n v="0"/>
    <n v="18"/>
    <n v="0"/>
    <n v="208"/>
    <n v="0"/>
    <n v="0"/>
    <n v="0"/>
    <n v="208"/>
    <n v="0"/>
    <n v="0"/>
    <n v="0"/>
    <n v="208"/>
    <n v="0"/>
    <n v="0"/>
    <n v="0"/>
    <n v="0"/>
    <n v="0"/>
  </r>
  <r>
    <x v="0"/>
    <x v="1"/>
    <x v="0"/>
    <x v="13"/>
    <x v="32"/>
    <x v="165"/>
    <n v="24"/>
    <n v="0"/>
    <n v="1.5"/>
    <n v="0"/>
    <n v="25.5"/>
    <n v="0"/>
    <n v="0"/>
    <n v="0"/>
    <n v="25.5"/>
    <n v="0"/>
    <n v="0"/>
    <n v="0"/>
    <n v="25.5"/>
    <n v="0"/>
    <n v="0"/>
    <n v="0"/>
    <n v="0"/>
    <n v="0"/>
  </r>
  <r>
    <x v="0"/>
    <x v="1"/>
    <x v="0"/>
    <x v="15"/>
    <x v="80"/>
    <x v="166"/>
    <n v="6.55"/>
    <n v="0"/>
    <n v="0.40000000000000036"/>
    <n v="0"/>
    <n v="6.95"/>
    <n v="0"/>
    <n v="0"/>
    <n v="0"/>
    <n v="6.95"/>
    <n v="0"/>
    <n v="0"/>
    <n v="0"/>
    <n v="6.95"/>
    <n v="0"/>
    <n v="0"/>
    <n v="0"/>
    <n v="0"/>
    <n v="0"/>
  </r>
  <r>
    <x v="0"/>
    <x v="1"/>
    <x v="0"/>
    <x v="16"/>
    <x v="35"/>
    <x v="167"/>
    <n v="1.05"/>
    <n v="0"/>
    <n v="0"/>
    <n v="0"/>
    <n v="1.05"/>
    <n v="0"/>
    <n v="0"/>
    <n v="0"/>
    <n v="1.05"/>
    <n v="0"/>
    <n v="0"/>
    <n v="0"/>
    <n v="1.05"/>
    <n v="0"/>
    <n v="0"/>
    <n v="0"/>
    <n v="0"/>
    <n v="0"/>
  </r>
  <r>
    <x v="0"/>
    <x v="1"/>
    <x v="0"/>
    <x v="16"/>
    <x v="36"/>
    <x v="168"/>
    <n v="1.05"/>
    <n v="0"/>
    <n v="0"/>
    <n v="0"/>
    <n v="1.05"/>
    <n v="0"/>
    <n v="0"/>
    <n v="0"/>
    <n v="1.05"/>
    <n v="0"/>
    <n v="0"/>
    <n v="0"/>
    <n v="1.05"/>
    <n v="0"/>
    <n v="0"/>
    <n v="0"/>
    <n v="0"/>
    <n v="0"/>
  </r>
  <r>
    <x v="0"/>
    <x v="1"/>
    <x v="0"/>
    <x v="18"/>
    <x v="38"/>
    <x v="169"/>
    <n v="16"/>
    <n v="0"/>
    <n v="0"/>
    <n v="0"/>
    <n v="16"/>
    <n v="0"/>
    <n v="0"/>
    <n v="0"/>
    <n v="16"/>
    <n v="0"/>
    <n v="0"/>
    <n v="0"/>
    <n v="16"/>
    <n v="0"/>
    <n v="0"/>
    <n v="0"/>
    <n v="0"/>
    <n v="0"/>
  </r>
  <r>
    <x v="0"/>
    <x v="1"/>
    <x v="0"/>
    <x v="19"/>
    <x v="39"/>
    <x v="170"/>
    <n v="16"/>
    <n v="0"/>
    <n v="0"/>
    <n v="0"/>
    <n v="16"/>
    <n v="0"/>
    <n v="0"/>
    <n v="0"/>
    <n v="16"/>
    <n v="0"/>
    <n v="0"/>
    <n v="0"/>
    <n v="16"/>
    <n v="0"/>
    <n v="0"/>
    <n v="0"/>
    <n v="0"/>
    <n v="0"/>
  </r>
  <r>
    <x v="1"/>
    <x v="1"/>
    <x v="0"/>
    <x v="0"/>
    <x v="40"/>
    <x v="144"/>
    <n v="27"/>
    <n v="0"/>
    <n v="2.5"/>
    <n v="0"/>
    <n v="29.5"/>
    <n v="0"/>
    <n v="0"/>
    <n v="0"/>
    <n v="29.5"/>
    <n v="0"/>
    <n v="0"/>
    <n v="0"/>
    <n v="29.5"/>
    <n v="0"/>
    <n v="0"/>
    <n v="0"/>
    <n v="0"/>
    <n v="0"/>
  </r>
  <r>
    <x v="1"/>
    <x v="1"/>
    <x v="0"/>
    <x v="0"/>
    <x v="42"/>
    <x v="145"/>
    <n v="27"/>
    <n v="0"/>
    <n v="2.5"/>
    <n v="0"/>
    <n v="29.5"/>
    <n v="0"/>
    <n v="0"/>
    <n v="0"/>
    <n v="29.5"/>
    <n v="0"/>
    <n v="0"/>
    <n v="0"/>
    <n v="29.5"/>
    <n v="0"/>
    <n v="0"/>
    <n v="0"/>
    <n v="0"/>
    <n v="0"/>
  </r>
  <r>
    <x v="1"/>
    <x v="1"/>
    <x v="0"/>
    <x v="0"/>
    <x v="41"/>
    <x v="146"/>
    <n v="38"/>
    <n v="0"/>
    <n v="2"/>
    <n v="0"/>
    <n v="40"/>
    <n v="0"/>
    <n v="0"/>
    <n v="0"/>
    <n v="40"/>
    <n v="0"/>
    <n v="0"/>
    <n v="0"/>
    <n v="40"/>
    <n v="0"/>
    <n v="0"/>
    <n v="0"/>
    <n v="0"/>
    <n v="0"/>
  </r>
  <r>
    <x v="1"/>
    <x v="1"/>
    <x v="0"/>
    <x v="2"/>
    <x v="9"/>
    <x v="147"/>
    <n v="24"/>
    <n v="0"/>
    <n v="1.5"/>
    <n v="0"/>
    <n v="25.5"/>
    <n v="0"/>
    <n v="0"/>
    <n v="0"/>
    <n v="25.5"/>
    <n v="0"/>
    <n v="0"/>
    <n v="0"/>
    <n v="25.5"/>
    <n v="0"/>
    <n v="0"/>
    <n v="0"/>
    <n v="0"/>
    <n v="0"/>
  </r>
  <r>
    <x v="1"/>
    <x v="1"/>
    <x v="0"/>
    <x v="4"/>
    <x v="82"/>
    <x v="148"/>
    <n v="240"/>
    <n v="1.4"/>
    <n v="0"/>
    <n v="8.0000000000000071E-2"/>
    <n v="240"/>
    <n v="1.48"/>
    <n v="0"/>
    <n v="0"/>
    <n v="240"/>
    <n v="1.48"/>
    <n v="0"/>
    <n v="0"/>
    <n v="240"/>
    <n v="1.48"/>
    <n v="0"/>
    <n v="0"/>
    <n v="0"/>
    <n v="0"/>
  </r>
  <r>
    <x v="1"/>
    <x v="1"/>
    <x v="0"/>
    <x v="4"/>
    <x v="83"/>
    <x v="149"/>
    <n v="115"/>
    <n v="0.67"/>
    <n v="0"/>
    <n v="3.9999999999999925E-2"/>
    <n v="115"/>
    <n v="0.71"/>
    <n v="0"/>
    <n v="0"/>
    <n v="115"/>
    <n v="0.71"/>
    <n v="0"/>
    <n v="0"/>
    <n v="115"/>
    <n v="0.71"/>
    <n v="0"/>
    <n v="0"/>
    <n v="0"/>
    <n v="0"/>
  </r>
  <r>
    <x v="1"/>
    <x v="1"/>
    <x v="0"/>
    <x v="4"/>
    <x v="84"/>
    <x v="150"/>
    <n v="8"/>
    <n v="0"/>
    <n v="0.5"/>
    <n v="0"/>
    <n v="8.5"/>
    <n v="0"/>
    <n v="0"/>
    <n v="0"/>
    <n v="8.5"/>
    <n v="0"/>
    <n v="0"/>
    <n v="0"/>
    <n v="8.5"/>
    <n v="0"/>
    <n v="0"/>
    <n v="0"/>
    <n v="0"/>
    <n v="0"/>
  </r>
  <r>
    <x v="1"/>
    <x v="1"/>
    <x v="0"/>
    <x v="6"/>
    <x v="14"/>
    <x v="151"/>
    <n v="1.5"/>
    <n v="9.07"/>
    <n v="0.14999999999999991"/>
    <n v="0"/>
    <n v="1.65"/>
    <n v="9.07"/>
    <n v="0"/>
    <n v="0"/>
    <n v="1.65"/>
    <n v="9.07"/>
    <n v="0"/>
    <n v="0"/>
    <n v="1.65"/>
    <n v="9.07"/>
    <n v="0"/>
    <m/>
    <m/>
    <m/>
  </r>
  <r>
    <x v="1"/>
    <x v="1"/>
    <x v="0"/>
    <x v="8"/>
    <x v="25"/>
    <x v="152"/>
    <n v="8.65"/>
    <n v="0"/>
    <n v="1.3499999999999996"/>
    <n v="0"/>
    <n v="10"/>
    <n v="0"/>
    <n v="0"/>
    <n v="0"/>
    <n v="10"/>
    <n v="0"/>
    <n v="0"/>
    <n v="0"/>
    <n v="10"/>
    <n v="0"/>
    <n v="0"/>
    <n v="0"/>
    <n v="0"/>
    <n v="0"/>
  </r>
  <r>
    <x v="1"/>
    <x v="1"/>
    <x v="0"/>
    <x v="8"/>
    <x v="26"/>
    <x v="153"/>
    <n v="7.15"/>
    <n v="0"/>
    <n v="0.44999999999999929"/>
    <n v="0"/>
    <n v="7.6"/>
    <n v="0"/>
    <n v="0"/>
    <n v="0"/>
    <n v="7.6"/>
    <n v="0"/>
    <n v="0"/>
    <n v="0"/>
    <n v="7.6"/>
    <n v="0"/>
    <n v="0"/>
    <n v="0"/>
    <n v="0"/>
    <n v="0"/>
  </r>
  <r>
    <x v="1"/>
    <x v="1"/>
    <x v="0"/>
    <x v="8"/>
    <x v="27"/>
    <x v="154"/>
    <n v="7.15"/>
    <n v="0"/>
    <n v="0.44999999999999929"/>
    <n v="0"/>
    <n v="7.6"/>
    <n v="0"/>
    <n v="0"/>
    <n v="0"/>
    <n v="7.6"/>
    <n v="0"/>
    <n v="0"/>
    <n v="0"/>
    <n v="7.6"/>
    <n v="0"/>
    <n v="0"/>
    <n v="0"/>
    <n v="0"/>
    <n v="0"/>
  </r>
  <r>
    <x v="1"/>
    <x v="1"/>
    <x v="0"/>
    <x v="10"/>
    <x v="29"/>
    <x v="155"/>
    <n v="0"/>
    <n v="0"/>
    <n v="0"/>
    <n v="0"/>
    <n v="0"/>
    <n v="0"/>
    <n v="0"/>
    <n v="0"/>
    <m/>
    <m/>
    <m/>
    <m/>
    <m/>
    <m/>
    <n v="0"/>
    <m/>
    <m/>
    <m/>
  </r>
  <r>
    <x v="1"/>
    <x v="1"/>
    <x v="0"/>
    <x v="11"/>
    <x v="30"/>
    <x v="156"/>
    <n v="24"/>
    <n v="0"/>
    <n v="1.5"/>
    <n v="0"/>
    <n v="25.5"/>
    <n v="0"/>
    <n v="0"/>
    <n v="0"/>
    <n v="25.5"/>
    <n v="0"/>
    <n v="0"/>
    <n v="0"/>
    <n v="25.5"/>
    <n v="0"/>
    <n v="0"/>
    <n v="0"/>
    <n v="0"/>
    <n v="0"/>
  </r>
  <r>
    <x v="1"/>
    <x v="1"/>
    <x v="0"/>
    <x v="12"/>
    <x v="31"/>
    <x v="157"/>
    <n v="170"/>
    <n v="3.4"/>
    <n v="0"/>
    <n v="0"/>
    <n v="170"/>
    <n v="3.4"/>
    <n v="0"/>
    <n v="0"/>
    <n v="170"/>
    <n v="3.4"/>
    <n v="0"/>
    <n v="0"/>
    <n v="170"/>
    <n v="3.4"/>
    <n v="0"/>
    <n v="0"/>
    <n v="0"/>
    <n v="0"/>
  </r>
  <r>
    <x v="1"/>
    <x v="1"/>
    <x v="0"/>
    <x v="37"/>
    <x v="85"/>
    <x v="158"/>
    <n v="4.2"/>
    <n v="0"/>
    <n v="0.25"/>
    <n v="0"/>
    <n v="4.45"/>
    <n v="0"/>
    <n v="0"/>
    <n v="0"/>
    <n v="4.45"/>
    <n v="0"/>
    <n v="0"/>
    <n v="0"/>
    <n v="4.45"/>
    <n v="0"/>
    <n v="0"/>
    <n v="0"/>
    <n v="0"/>
    <n v="0"/>
  </r>
  <r>
    <x v="1"/>
    <x v="1"/>
    <x v="0"/>
    <x v="37"/>
    <x v="86"/>
    <x v="159"/>
    <n v="49"/>
    <n v="0.49"/>
    <n v="0"/>
    <n v="3.0000000000000027E-2"/>
    <n v="49"/>
    <n v="0.52"/>
    <n v="0"/>
    <n v="0"/>
    <n v="49"/>
    <n v="0.52"/>
    <n v="0"/>
    <n v="0"/>
    <n v="49"/>
    <n v="0.52"/>
    <n v="0"/>
    <n v="0"/>
    <n v="0"/>
    <n v="0"/>
  </r>
  <r>
    <x v="1"/>
    <x v="1"/>
    <x v="0"/>
    <x v="37"/>
    <x v="87"/>
    <x v="160"/>
    <n v="64"/>
    <n v="0.64"/>
    <n v="4"/>
    <n v="4.0000000000000036E-2"/>
    <n v="68"/>
    <n v="0.68"/>
    <n v="0"/>
    <n v="0"/>
    <n v="68"/>
    <n v="0.68"/>
    <n v="0"/>
    <n v="0"/>
    <n v="68"/>
    <n v="0.68"/>
    <n v="0"/>
    <n v="0"/>
    <n v="0"/>
    <n v="0"/>
  </r>
  <r>
    <x v="1"/>
    <x v="1"/>
    <x v="0"/>
    <x v="38"/>
    <x v="88"/>
    <x v="161"/>
    <n v="4.2"/>
    <n v="0"/>
    <n v="0.25"/>
    <n v="0"/>
    <n v="4.45"/>
    <n v="0"/>
    <n v="0"/>
    <n v="0"/>
    <n v="4.45"/>
    <n v="0"/>
    <n v="0"/>
    <n v="0"/>
    <n v="4.45"/>
    <n v="0"/>
    <n v="0"/>
    <n v="0"/>
    <n v="0"/>
    <n v="0"/>
  </r>
  <r>
    <x v="1"/>
    <x v="1"/>
    <x v="0"/>
    <x v="38"/>
    <x v="89"/>
    <x v="162"/>
    <n v="49"/>
    <n v="0.49"/>
    <n v="0"/>
    <n v="3.0000000000000027E-2"/>
    <n v="49"/>
    <n v="0.52"/>
    <n v="0"/>
    <n v="0"/>
    <n v="49"/>
    <n v="0.52"/>
    <n v="0"/>
    <n v="0"/>
    <n v="49"/>
    <n v="0.52"/>
    <n v="0"/>
    <n v="0"/>
    <n v="0"/>
    <n v="0"/>
  </r>
  <r>
    <x v="1"/>
    <x v="1"/>
    <x v="0"/>
    <x v="38"/>
    <x v="90"/>
    <x v="163"/>
    <n v="64"/>
    <n v="0.64"/>
    <n v="4"/>
    <n v="4.0000000000000036E-2"/>
    <n v="68"/>
    <n v="0.68"/>
    <n v="0"/>
    <n v="0"/>
    <n v="68"/>
    <n v="0.68"/>
    <n v="0"/>
    <n v="0"/>
    <n v="68"/>
    <n v="0.68"/>
    <n v="0"/>
    <n v="0"/>
    <n v="0"/>
    <n v="0"/>
  </r>
  <r>
    <x v="1"/>
    <x v="1"/>
    <x v="0"/>
    <x v="1"/>
    <x v="59"/>
    <x v="164"/>
    <n v="190"/>
    <n v="0"/>
    <n v="18"/>
    <n v="0"/>
    <n v="208"/>
    <n v="0"/>
    <n v="0"/>
    <n v="0"/>
    <n v="208"/>
    <n v="0"/>
    <n v="0"/>
    <n v="0"/>
    <n v="208"/>
    <n v="0"/>
    <n v="0"/>
    <n v="0"/>
    <n v="0"/>
    <n v="0"/>
  </r>
  <r>
    <x v="1"/>
    <x v="1"/>
    <x v="0"/>
    <x v="13"/>
    <x v="32"/>
    <x v="165"/>
    <n v="24"/>
    <n v="0"/>
    <n v="1.5"/>
    <n v="0"/>
    <n v="25.5"/>
    <n v="0"/>
    <n v="0"/>
    <n v="0"/>
    <n v="25.5"/>
    <n v="0"/>
    <n v="0"/>
    <n v="0"/>
    <n v="25.5"/>
    <n v="0"/>
    <n v="0"/>
    <n v="0"/>
    <n v="0"/>
    <n v="0"/>
  </r>
  <r>
    <x v="1"/>
    <x v="1"/>
    <x v="0"/>
    <x v="15"/>
    <x v="80"/>
    <x v="166"/>
    <n v="6.55"/>
    <n v="0"/>
    <n v="0.40000000000000036"/>
    <n v="0"/>
    <n v="6.95"/>
    <n v="0"/>
    <n v="0"/>
    <n v="0"/>
    <n v="6.95"/>
    <n v="0"/>
    <n v="0"/>
    <n v="0"/>
    <n v="6.95"/>
    <n v="0"/>
    <n v="0"/>
    <n v="0"/>
    <n v="0"/>
    <n v="0"/>
  </r>
  <r>
    <x v="1"/>
    <x v="1"/>
    <x v="0"/>
    <x v="16"/>
    <x v="35"/>
    <x v="167"/>
    <n v="1.05"/>
    <n v="0"/>
    <n v="0"/>
    <n v="0"/>
    <n v="1.05"/>
    <n v="0"/>
    <n v="0"/>
    <n v="0"/>
    <n v="1.05"/>
    <n v="0"/>
    <n v="0"/>
    <n v="0"/>
    <n v="1.05"/>
    <n v="0"/>
    <n v="0"/>
    <n v="0"/>
    <n v="0"/>
    <n v="0"/>
  </r>
  <r>
    <x v="1"/>
    <x v="1"/>
    <x v="0"/>
    <x v="16"/>
    <x v="36"/>
    <x v="168"/>
    <n v="1.05"/>
    <n v="0"/>
    <n v="0"/>
    <n v="0"/>
    <n v="1.05"/>
    <n v="0"/>
    <n v="0"/>
    <n v="0"/>
    <n v="1.05"/>
    <n v="0"/>
    <n v="0"/>
    <n v="0"/>
    <n v="1.05"/>
    <n v="0"/>
    <n v="0"/>
    <n v="0"/>
    <n v="0"/>
    <n v="0"/>
  </r>
  <r>
    <x v="1"/>
    <x v="1"/>
    <x v="0"/>
    <x v="18"/>
    <x v="38"/>
    <x v="169"/>
    <n v="16"/>
    <n v="0"/>
    <n v="0"/>
    <n v="0"/>
    <n v="16"/>
    <n v="0"/>
    <n v="0"/>
    <n v="0"/>
    <n v="16"/>
    <n v="0"/>
    <n v="0"/>
    <n v="0"/>
    <n v="16"/>
    <n v="0"/>
    <n v="0"/>
    <n v="0"/>
    <n v="0"/>
    <n v="0"/>
  </r>
  <r>
    <x v="1"/>
    <x v="1"/>
    <x v="0"/>
    <x v="19"/>
    <x v="39"/>
    <x v="170"/>
    <n v="16"/>
    <n v="0"/>
    <n v="0"/>
    <n v="0"/>
    <n v="16"/>
    <n v="0"/>
    <n v="0"/>
    <n v="0"/>
    <n v="16"/>
    <n v="0"/>
    <n v="0"/>
    <n v="0"/>
    <n v="16"/>
    <n v="0"/>
    <n v="0"/>
    <n v="0"/>
    <n v="0"/>
    <n v="0"/>
  </r>
  <r>
    <x v="2"/>
    <x v="1"/>
    <x v="0"/>
    <x v="0"/>
    <x v="40"/>
    <x v="144"/>
    <n v="27"/>
    <n v="0"/>
    <n v="2.5"/>
    <n v="0"/>
    <n v="29.5"/>
    <n v="0"/>
    <n v="0"/>
    <n v="0"/>
    <n v="29.5"/>
    <n v="0"/>
    <n v="0"/>
    <n v="0"/>
    <n v="29.5"/>
    <n v="0"/>
    <n v="0"/>
    <n v="0"/>
    <n v="0"/>
    <n v="0"/>
  </r>
  <r>
    <x v="2"/>
    <x v="1"/>
    <x v="0"/>
    <x v="0"/>
    <x v="42"/>
    <x v="145"/>
    <n v="27"/>
    <n v="0"/>
    <n v="2.5"/>
    <n v="0"/>
    <n v="29.5"/>
    <n v="0"/>
    <n v="0"/>
    <n v="0"/>
    <n v="29.5"/>
    <n v="0"/>
    <n v="0"/>
    <n v="0"/>
    <n v="29.5"/>
    <n v="0"/>
    <n v="0"/>
    <n v="0"/>
    <n v="0"/>
    <n v="0"/>
  </r>
  <r>
    <x v="2"/>
    <x v="1"/>
    <x v="0"/>
    <x v="0"/>
    <x v="41"/>
    <x v="146"/>
    <n v="38"/>
    <n v="0"/>
    <n v="2"/>
    <n v="0"/>
    <n v="40"/>
    <n v="0"/>
    <n v="0"/>
    <n v="0"/>
    <n v="40"/>
    <n v="0"/>
    <n v="0"/>
    <n v="0"/>
    <n v="40"/>
    <n v="0"/>
    <n v="0"/>
    <n v="0"/>
    <n v="0"/>
    <n v="0"/>
  </r>
  <r>
    <x v="2"/>
    <x v="1"/>
    <x v="0"/>
    <x v="2"/>
    <x v="9"/>
    <x v="147"/>
    <n v="24"/>
    <n v="0"/>
    <n v="1.5"/>
    <n v="0"/>
    <n v="25.5"/>
    <n v="0"/>
    <n v="0"/>
    <n v="0"/>
    <n v="25.5"/>
    <n v="0"/>
    <n v="0"/>
    <n v="0"/>
    <n v="25.5"/>
    <n v="0"/>
    <n v="0"/>
    <n v="0"/>
    <n v="0"/>
    <n v="0"/>
  </r>
  <r>
    <x v="2"/>
    <x v="1"/>
    <x v="0"/>
    <x v="4"/>
    <x v="82"/>
    <x v="148"/>
    <n v="240"/>
    <n v="1.4"/>
    <n v="0"/>
    <n v="8.0000000000000071E-2"/>
    <n v="240"/>
    <n v="1.48"/>
    <n v="0"/>
    <n v="0"/>
    <n v="240"/>
    <n v="1.48"/>
    <n v="0"/>
    <n v="0"/>
    <n v="240"/>
    <n v="1.48"/>
    <n v="0"/>
    <n v="0"/>
    <n v="0"/>
    <n v="0"/>
  </r>
  <r>
    <x v="2"/>
    <x v="1"/>
    <x v="0"/>
    <x v="4"/>
    <x v="83"/>
    <x v="149"/>
    <n v="115"/>
    <n v="0.67"/>
    <n v="0"/>
    <n v="3.9999999999999925E-2"/>
    <n v="115"/>
    <n v="0.71"/>
    <n v="0"/>
    <n v="0"/>
    <n v="115"/>
    <n v="0.71"/>
    <n v="0"/>
    <n v="0"/>
    <n v="115"/>
    <n v="0.71"/>
    <n v="0"/>
    <n v="0"/>
    <n v="0"/>
    <n v="0"/>
  </r>
  <r>
    <x v="2"/>
    <x v="1"/>
    <x v="0"/>
    <x v="4"/>
    <x v="84"/>
    <x v="150"/>
    <n v="8"/>
    <n v="0"/>
    <n v="0.5"/>
    <n v="0"/>
    <n v="8.5"/>
    <n v="0"/>
    <n v="0"/>
    <n v="0"/>
    <n v="8.5"/>
    <n v="0"/>
    <n v="0"/>
    <n v="0"/>
    <n v="8.5"/>
    <n v="0"/>
    <n v="0"/>
    <n v="0"/>
    <n v="0"/>
    <n v="0"/>
  </r>
  <r>
    <x v="2"/>
    <x v="1"/>
    <x v="0"/>
    <x v="6"/>
    <x v="14"/>
    <x v="151"/>
    <n v="1.5"/>
    <n v="9.07"/>
    <n v="0.14999999999999991"/>
    <n v="0"/>
    <n v="1.65"/>
    <n v="9.07"/>
    <n v="0"/>
    <n v="0"/>
    <n v="1.65"/>
    <n v="9.07"/>
    <n v="0"/>
    <n v="0"/>
    <n v="1.65"/>
    <n v="9.07"/>
    <n v="0"/>
    <m/>
    <m/>
    <m/>
  </r>
  <r>
    <x v="2"/>
    <x v="1"/>
    <x v="0"/>
    <x v="8"/>
    <x v="25"/>
    <x v="152"/>
    <n v="8.65"/>
    <n v="0"/>
    <n v="1.3499999999999996"/>
    <n v="0"/>
    <n v="10"/>
    <n v="0"/>
    <n v="0"/>
    <n v="0"/>
    <n v="10"/>
    <n v="0"/>
    <n v="0"/>
    <n v="0"/>
    <n v="10"/>
    <n v="0"/>
    <n v="0"/>
    <n v="0"/>
    <n v="0"/>
    <n v="0"/>
  </r>
  <r>
    <x v="2"/>
    <x v="1"/>
    <x v="0"/>
    <x v="8"/>
    <x v="26"/>
    <x v="153"/>
    <n v="7.15"/>
    <n v="0"/>
    <n v="0.44999999999999929"/>
    <n v="0"/>
    <n v="7.6"/>
    <n v="0"/>
    <n v="0"/>
    <n v="0"/>
    <n v="7.6"/>
    <n v="0"/>
    <n v="0"/>
    <n v="0"/>
    <n v="7.6"/>
    <n v="0"/>
    <n v="0"/>
    <n v="0"/>
    <n v="0"/>
    <n v="0"/>
  </r>
  <r>
    <x v="2"/>
    <x v="1"/>
    <x v="0"/>
    <x v="8"/>
    <x v="27"/>
    <x v="154"/>
    <n v="7.15"/>
    <n v="0"/>
    <n v="0.44999999999999929"/>
    <n v="0"/>
    <n v="7.6"/>
    <n v="0"/>
    <n v="0"/>
    <n v="0"/>
    <n v="7.6"/>
    <n v="0"/>
    <n v="0"/>
    <n v="0"/>
    <n v="7.6"/>
    <n v="0"/>
    <n v="0"/>
    <n v="0"/>
    <n v="0"/>
    <n v="0"/>
  </r>
  <r>
    <x v="2"/>
    <x v="1"/>
    <x v="0"/>
    <x v="10"/>
    <x v="29"/>
    <x v="155"/>
    <n v="0"/>
    <n v="0"/>
    <n v="0"/>
    <n v="0"/>
    <n v="0"/>
    <n v="0"/>
    <n v="0"/>
    <n v="0"/>
    <m/>
    <m/>
    <m/>
    <m/>
    <m/>
    <m/>
    <n v="0"/>
    <m/>
    <m/>
    <m/>
  </r>
  <r>
    <x v="2"/>
    <x v="1"/>
    <x v="0"/>
    <x v="11"/>
    <x v="30"/>
    <x v="156"/>
    <n v="24"/>
    <n v="0"/>
    <n v="1.5"/>
    <n v="0"/>
    <n v="25.5"/>
    <n v="0"/>
    <n v="0"/>
    <n v="0"/>
    <n v="25.5"/>
    <n v="0"/>
    <n v="0"/>
    <n v="0"/>
    <n v="25.5"/>
    <n v="0"/>
    <n v="0"/>
    <n v="0"/>
    <n v="0"/>
    <n v="0"/>
  </r>
  <r>
    <x v="2"/>
    <x v="1"/>
    <x v="0"/>
    <x v="12"/>
    <x v="31"/>
    <x v="157"/>
    <n v="170"/>
    <n v="3.4"/>
    <n v="0"/>
    <n v="0"/>
    <n v="170"/>
    <n v="3.4"/>
    <n v="0"/>
    <n v="0"/>
    <n v="170"/>
    <n v="3.4"/>
    <n v="0"/>
    <n v="0"/>
    <n v="170"/>
    <n v="3.4"/>
    <n v="0"/>
    <n v="0"/>
    <n v="0"/>
    <n v="0"/>
  </r>
  <r>
    <x v="2"/>
    <x v="1"/>
    <x v="0"/>
    <x v="37"/>
    <x v="85"/>
    <x v="158"/>
    <n v="4.2"/>
    <n v="0"/>
    <n v="0.25"/>
    <n v="0"/>
    <n v="4.45"/>
    <n v="0"/>
    <n v="0"/>
    <n v="0"/>
    <n v="4.45"/>
    <n v="0"/>
    <n v="0"/>
    <n v="0"/>
    <n v="4.45"/>
    <n v="0"/>
    <n v="0"/>
    <n v="0"/>
    <n v="0"/>
    <n v="0"/>
  </r>
  <r>
    <x v="2"/>
    <x v="1"/>
    <x v="0"/>
    <x v="37"/>
    <x v="86"/>
    <x v="159"/>
    <n v="49"/>
    <n v="0.49"/>
    <n v="0"/>
    <n v="3.0000000000000027E-2"/>
    <n v="49"/>
    <n v="0.52"/>
    <n v="0"/>
    <n v="0"/>
    <n v="49"/>
    <n v="0.52"/>
    <n v="0"/>
    <n v="0"/>
    <n v="49"/>
    <n v="0.52"/>
    <n v="0"/>
    <n v="0"/>
    <n v="0"/>
    <n v="0"/>
  </r>
  <r>
    <x v="2"/>
    <x v="1"/>
    <x v="0"/>
    <x v="37"/>
    <x v="87"/>
    <x v="160"/>
    <n v="64"/>
    <n v="0.64"/>
    <n v="4"/>
    <n v="4.0000000000000036E-2"/>
    <n v="68"/>
    <n v="0.68"/>
    <n v="0"/>
    <n v="0"/>
    <n v="68"/>
    <n v="0.68"/>
    <n v="0"/>
    <n v="0"/>
    <n v="68"/>
    <n v="0.68"/>
    <n v="0"/>
    <n v="0"/>
    <n v="0"/>
    <n v="0"/>
  </r>
  <r>
    <x v="2"/>
    <x v="1"/>
    <x v="0"/>
    <x v="38"/>
    <x v="88"/>
    <x v="161"/>
    <n v="4.2"/>
    <n v="0"/>
    <n v="0.25"/>
    <n v="0"/>
    <n v="4.45"/>
    <n v="0"/>
    <n v="0"/>
    <n v="0"/>
    <n v="4.45"/>
    <n v="0"/>
    <n v="0"/>
    <n v="0"/>
    <n v="4.45"/>
    <n v="0"/>
    <n v="0"/>
    <n v="0"/>
    <n v="0"/>
    <n v="0"/>
  </r>
  <r>
    <x v="2"/>
    <x v="1"/>
    <x v="0"/>
    <x v="38"/>
    <x v="89"/>
    <x v="162"/>
    <n v="49"/>
    <n v="0.49"/>
    <n v="0"/>
    <n v="3.0000000000000027E-2"/>
    <n v="49"/>
    <n v="0.52"/>
    <n v="0"/>
    <n v="0"/>
    <n v="49"/>
    <n v="0.52"/>
    <n v="0"/>
    <n v="0"/>
    <n v="49"/>
    <n v="0.52"/>
    <n v="0"/>
    <n v="0"/>
    <n v="0"/>
    <n v="0"/>
  </r>
  <r>
    <x v="2"/>
    <x v="1"/>
    <x v="0"/>
    <x v="38"/>
    <x v="90"/>
    <x v="163"/>
    <n v="64"/>
    <n v="0.64"/>
    <n v="4"/>
    <n v="4.0000000000000036E-2"/>
    <n v="68"/>
    <n v="0.68"/>
    <n v="0"/>
    <n v="0"/>
    <n v="68"/>
    <n v="0.68"/>
    <n v="0"/>
    <n v="0"/>
    <n v="68"/>
    <n v="0.68"/>
    <n v="0"/>
    <n v="0"/>
    <n v="0"/>
    <n v="0"/>
  </r>
  <r>
    <x v="2"/>
    <x v="1"/>
    <x v="0"/>
    <x v="1"/>
    <x v="59"/>
    <x v="164"/>
    <n v="190"/>
    <n v="0"/>
    <n v="18"/>
    <n v="0"/>
    <n v="208"/>
    <n v="0"/>
    <n v="0"/>
    <n v="0"/>
    <n v="208"/>
    <n v="0"/>
    <n v="0"/>
    <n v="0"/>
    <n v="208"/>
    <n v="0"/>
    <n v="0"/>
    <n v="0"/>
    <n v="0"/>
    <n v="0"/>
  </r>
  <r>
    <x v="2"/>
    <x v="1"/>
    <x v="0"/>
    <x v="13"/>
    <x v="32"/>
    <x v="165"/>
    <n v="24"/>
    <n v="0"/>
    <n v="1.5"/>
    <n v="0"/>
    <n v="25.5"/>
    <n v="0"/>
    <n v="0"/>
    <n v="0"/>
    <n v="25.5"/>
    <n v="0"/>
    <n v="0"/>
    <n v="0"/>
    <n v="25.5"/>
    <n v="0"/>
    <n v="0"/>
    <n v="0"/>
    <n v="0"/>
    <n v="0"/>
  </r>
  <r>
    <x v="2"/>
    <x v="1"/>
    <x v="0"/>
    <x v="15"/>
    <x v="80"/>
    <x v="166"/>
    <n v="6.55"/>
    <n v="0"/>
    <n v="0.40000000000000036"/>
    <n v="0"/>
    <n v="6.95"/>
    <n v="0"/>
    <n v="0"/>
    <n v="0"/>
    <n v="6.95"/>
    <n v="0"/>
    <n v="0"/>
    <n v="0"/>
    <n v="6.95"/>
    <n v="0"/>
    <n v="0"/>
    <n v="0"/>
    <n v="0"/>
    <n v="0"/>
  </r>
  <r>
    <x v="2"/>
    <x v="1"/>
    <x v="0"/>
    <x v="16"/>
    <x v="35"/>
    <x v="167"/>
    <n v="1.05"/>
    <n v="0"/>
    <n v="0"/>
    <n v="0"/>
    <n v="1.05"/>
    <n v="0"/>
    <n v="0"/>
    <n v="0"/>
    <n v="1.05"/>
    <n v="0"/>
    <n v="0"/>
    <n v="0"/>
    <n v="1.05"/>
    <n v="0"/>
    <n v="0"/>
    <n v="0"/>
    <n v="0"/>
    <n v="0"/>
  </r>
  <r>
    <x v="2"/>
    <x v="1"/>
    <x v="0"/>
    <x v="16"/>
    <x v="36"/>
    <x v="168"/>
    <n v="1.05"/>
    <n v="0"/>
    <n v="0"/>
    <n v="0"/>
    <n v="1.05"/>
    <n v="0"/>
    <n v="0"/>
    <n v="0"/>
    <n v="1.05"/>
    <n v="0"/>
    <n v="0"/>
    <n v="0"/>
    <n v="1.05"/>
    <n v="0"/>
    <n v="0"/>
    <n v="0"/>
    <n v="0"/>
    <n v="0"/>
  </r>
  <r>
    <x v="2"/>
    <x v="1"/>
    <x v="0"/>
    <x v="18"/>
    <x v="38"/>
    <x v="169"/>
    <n v="16"/>
    <n v="0"/>
    <n v="0"/>
    <n v="0"/>
    <n v="16"/>
    <n v="0"/>
    <n v="0"/>
    <n v="0"/>
    <n v="16"/>
    <n v="0"/>
    <n v="0"/>
    <n v="0"/>
    <n v="16"/>
    <n v="0"/>
    <n v="0"/>
    <n v="0"/>
    <n v="0"/>
    <n v="0"/>
  </r>
  <r>
    <x v="2"/>
    <x v="1"/>
    <x v="0"/>
    <x v="19"/>
    <x v="39"/>
    <x v="170"/>
    <n v="16"/>
    <n v="0"/>
    <n v="0"/>
    <n v="0"/>
    <n v="16"/>
    <n v="0"/>
    <n v="0"/>
    <n v="0"/>
    <n v="16"/>
    <n v="0"/>
    <n v="0"/>
    <n v="0"/>
    <n v="16"/>
    <n v="0"/>
    <n v="0"/>
    <n v="0"/>
    <n v="0"/>
    <n v="0"/>
  </r>
  <r>
    <x v="0"/>
    <x v="1"/>
    <x v="3"/>
    <x v="0"/>
    <x v="70"/>
    <x v="171"/>
    <n v="260"/>
    <n v="0"/>
    <n v="15"/>
    <n v="0"/>
    <n v="275"/>
    <n v="0"/>
    <n v="0"/>
    <n v="0"/>
    <n v="275"/>
    <n v="0"/>
    <n v="0"/>
    <n v="0"/>
    <n v="275"/>
    <n v="0"/>
    <n v="0"/>
    <n v="0"/>
    <n v="0"/>
    <n v="0"/>
  </r>
  <r>
    <x v="0"/>
    <x v="1"/>
    <x v="3"/>
    <x v="0"/>
    <x v="71"/>
    <x v="172"/>
    <n v="330"/>
    <n v="0"/>
    <n v="20"/>
    <n v="0"/>
    <n v="350"/>
    <n v="0"/>
    <n v="0"/>
    <n v="0"/>
    <n v="350"/>
    <n v="0"/>
    <n v="0"/>
    <n v="0"/>
    <n v="350"/>
    <n v="0"/>
    <n v="0"/>
    <n v="0"/>
    <n v="0"/>
    <n v="0"/>
  </r>
  <r>
    <x v="0"/>
    <x v="1"/>
    <x v="3"/>
    <x v="2"/>
    <x v="9"/>
    <x v="173"/>
    <n v="24"/>
    <n v="0"/>
    <n v="1.5"/>
    <n v="0"/>
    <n v="25.5"/>
    <n v="0"/>
    <n v="0"/>
    <n v="0"/>
    <n v="25.5"/>
    <n v="0"/>
    <n v="0"/>
    <n v="0"/>
    <n v="25.5"/>
    <n v="0"/>
    <n v="0"/>
    <n v="0"/>
    <n v="0"/>
    <n v="0"/>
  </r>
  <r>
    <x v="0"/>
    <x v="1"/>
    <x v="3"/>
    <x v="4"/>
    <x v="82"/>
    <x v="174"/>
    <n v="255"/>
    <n v="1.4"/>
    <n v="15"/>
    <n v="8.0000000000000071E-2"/>
    <n v="270"/>
    <n v="1.48"/>
    <n v="0"/>
    <n v="0"/>
    <n v="270"/>
    <n v="1.48"/>
    <n v="0"/>
    <n v="0"/>
    <n v="270"/>
    <n v="1.48"/>
    <n v="0"/>
    <n v="0"/>
    <n v="0"/>
    <n v="0"/>
  </r>
  <r>
    <x v="0"/>
    <x v="1"/>
    <x v="3"/>
    <x v="4"/>
    <x v="83"/>
    <x v="175"/>
    <n v="145"/>
    <n v="0.67"/>
    <n v="8.5"/>
    <n v="3.9999999999999925E-2"/>
    <n v="153.5"/>
    <n v="0.71"/>
    <n v="0"/>
    <n v="0"/>
    <n v="153.5"/>
    <n v="0.71"/>
    <n v="0"/>
    <n v="0"/>
    <n v="153.5"/>
    <n v="0.71"/>
    <n v="0"/>
    <n v="0"/>
    <n v="0"/>
    <n v="0"/>
  </r>
  <r>
    <x v="0"/>
    <x v="1"/>
    <x v="3"/>
    <x v="6"/>
    <x v="14"/>
    <x v="176"/>
    <n v="1.5"/>
    <n v="9.07"/>
    <n v="0.14999999999999991"/>
    <n v="0"/>
    <n v="1.65"/>
    <n v="9.07"/>
    <n v="0"/>
    <n v="0"/>
    <n v="1.65"/>
    <n v="9.07"/>
    <n v="0"/>
    <n v="0"/>
    <n v="1.65"/>
    <n v="9.07"/>
    <n v="0"/>
    <m/>
    <m/>
    <m/>
  </r>
  <r>
    <x v="0"/>
    <x v="1"/>
    <x v="3"/>
    <x v="10"/>
    <x v="29"/>
    <x v="177"/>
    <n v="0"/>
    <n v="0"/>
    <n v="0"/>
    <n v="0"/>
    <n v="0"/>
    <n v="0"/>
    <n v="0"/>
    <n v="0"/>
    <m/>
    <m/>
    <m/>
    <m/>
    <m/>
    <m/>
    <n v="0"/>
    <m/>
    <m/>
    <m/>
  </r>
  <r>
    <x v="0"/>
    <x v="1"/>
    <x v="3"/>
    <x v="37"/>
    <x v="86"/>
    <x v="178"/>
    <n v="245"/>
    <n v="0"/>
    <n v="15"/>
    <n v="0"/>
    <n v="260"/>
    <n v="0"/>
    <n v="0"/>
    <n v="0"/>
    <n v="260"/>
    <n v="0"/>
    <n v="0"/>
    <n v="0"/>
    <n v="260"/>
    <n v="0"/>
    <n v="0"/>
    <n v="0"/>
    <n v="0"/>
    <n v="0"/>
  </r>
  <r>
    <x v="0"/>
    <x v="1"/>
    <x v="3"/>
    <x v="37"/>
    <x v="87"/>
    <x v="179"/>
    <n v="320"/>
    <n v="0"/>
    <n v="20"/>
    <n v="0"/>
    <n v="340"/>
    <n v="0"/>
    <n v="0"/>
    <n v="0"/>
    <n v="340"/>
    <n v="0"/>
    <n v="0"/>
    <n v="0"/>
    <n v="340"/>
    <n v="0"/>
    <n v="0"/>
    <n v="0"/>
    <n v="0"/>
    <n v="0"/>
  </r>
  <r>
    <x v="0"/>
    <x v="1"/>
    <x v="3"/>
    <x v="38"/>
    <x v="89"/>
    <x v="180"/>
    <n v="245"/>
    <n v="0"/>
    <n v="15"/>
    <n v="0"/>
    <n v="260"/>
    <n v="0"/>
    <n v="0"/>
    <n v="0"/>
    <n v="260"/>
    <n v="0"/>
    <n v="0"/>
    <n v="0"/>
    <n v="260"/>
    <n v="0"/>
    <n v="0"/>
    <n v="0"/>
    <n v="0"/>
    <n v="0"/>
  </r>
  <r>
    <x v="0"/>
    <x v="1"/>
    <x v="3"/>
    <x v="38"/>
    <x v="90"/>
    <x v="181"/>
    <n v="320"/>
    <n v="0"/>
    <n v="20"/>
    <n v="0"/>
    <n v="340"/>
    <n v="0"/>
    <n v="0"/>
    <n v="0"/>
    <n v="340"/>
    <n v="0"/>
    <n v="0"/>
    <n v="0"/>
    <n v="340"/>
    <n v="0"/>
    <n v="0"/>
    <n v="0"/>
    <n v="0"/>
    <n v="0"/>
  </r>
  <r>
    <x v="0"/>
    <x v="1"/>
    <x v="3"/>
    <x v="11"/>
    <x v="30"/>
    <x v="182"/>
    <n v="24"/>
    <n v="0"/>
    <n v="1.5"/>
    <n v="0"/>
    <n v="25.5"/>
    <n v="0"/>
    <n v="0"/>
    <n v="0"/>
    <n v="25.5"/>
    <n v="0"/>
    <n v="0"/>
    <n v="0"/>
    <n v="25.5"/>
    <n v="0"/>
    <n v="0"/>
    <n v="0"/>
    <n v="0"/>
    <n v="0"/>
  </r>
  <r>
    <x v="0"/>
    <x v="1"/>
    <x v="3"/>
    <x v="12"/>
    <x v="31"/>
    <x v="183"/>
    <n v="690"/>
    <n v="0.69"/>
    <n v="0"/>
    <n v="0"/>
    <n v="690"/>
    <n v="0.69"/>
    <n v="0"/>
    <n v="0"/>
    <n v="690"/>
    <n v="0.69"/>
    <n v="0"/>
    <n v="0"/>
    <n v="690"/>
    <n v="0.69"/>
    <n v="0"/>
    <n v="0"/>
    <n v="0"/>
    <n v="0"/>
  </r>
  <r>
    <x v="0"/>
    <x v="1"/>
    <x v="3"/>
    <x v="13"/>
    <x v="32"/>
    <x v="184"/>
    <n v="24"/>
    <n v="0"/>
    <n v="1.5"/>
    <n v="0"/>
    <n v="25.5"/>
    <n v="0"/>
    <n v="0"/>
    <n v="0"/>
    <n v="25.5"/>
    <n v="0"/>
    <n v="0"/>
    <n v="0"/>
    <n v="25.5"/>
    <n v="0"/>
    <n v="0"/>
    <n v="0"/>
    <n v="0"/>
    <n v="0"/>
  </r>
  <r>
    <x v="0"/>
    <x v="1"/>
    <x v="3"/>
    <x v="15"/>
    <x v="80"/>
    <x v="185"/>
    <n v="215"/>
    <n v="0"/>
    <n v="15"/>
    <n v="0"/>
    <n v="230"/>
    <n v="0"/>
    <n v="0"/>
    <n v="0"/>
    <n v="230"/>
    <n v="0"/>
    <n v="0"/>
    <n v="0"/>
    <n v="230"/>
    <n v="0"/>
    <n v="0"/>
    <n v="0"/>
    <n v="0"/>
    <n v="0"/>
  </r>
  <r>
    <x v="0"/>
    <x v="1"/>
    <x v="3"/>
    <x v="16"/>
    <x v="35"/>
    <x v="186"/>
    <n v="1.05"/>
    <n v="0"/>
    <n v="0"/>
    <n v="0"/>
    <n v="1.05"/>
    <n v="0"/>
    <n v="0"/>
    <n v="0"/>
    <n v="1.05"/>
    <n v="0"/>
    <n v="0"/>
    <n v="0"/>
    <n v="1.05"/>
    <n v="0"/>
    <n v="0"/>
    <n v="0"/>
    <n v="0"/>
    <n v="0"/>
  </r>
  <r>
    <x v="0"/>
    <x v="1"/>
    <x v="3"/>
    <x v="16"/>
    <x v="36"/>
    <x v="187"/>
    <n v="1.05"/>
    <n v="0"/>
    <n v="0"/>
    <n v="0"/>
    <n v="1.05"/>
    <n v="0"/>
    <n v="0"/>
    <n v="0"/>
    <n v="1.05"/>
    <n v="0"/>
    <n v="0"/>
    <n v="0"/>
    <n v="1.05"/>
    <n v="0"/>
    <n v="0"/>
    <n v="0"/>
    <n v="0"/>
    <n v="0"/>
  </r>
  <r>
    <x v="0"/>
    <x v="1"/>
    <x v="3"/>
    <x v="18"/>
    <x v="38"/>
    <x v="188"/>
    <n v="210"/>
    <n v="0"/>
    <n v="0"/>
    <n v="0"/>
    <n v="210"/>
    <n v="0"/>
    <n v="0"/>
    <n v="0"/>
    <n v="210"/>
    <n v="0"/>
    <n v="0"/>
    <n v="0"/>
    <n v="210"/>
    <n v="0"/>
    <n v="0"/>
    <n v="0"/>
    <n v="0"/>
    <n v="0"/>
  </r>
  <r>
    <x v="0"/>
    <x v="1"/>
    <x v="3"/>
    <x v="19"/>
    <x v="39"/>
    <x v="189"/>
    <n v="210"/>
    <n v="0"/>
    <n v="0"/>
    <n v="0"/>
    <n v="210"/>
    <n v="0"/>
    <n v="0"/>
    <n v="0"/>
    <n v="210"/>
    <n v="0"/>
    <n v="0"/>
    <n v="0"/>
    <n v="210"/>
    <n v="0"/>
    <n v="0"/>
    <n v="0"/>
    <n v="0"/>
    <n v="0"/>
  </r>
  <r>
    <x v="1"/>
    <x v="1"/>
    <x v="3"/>
    <x v="0"/>
    <x v="70"/>
    <x v="171"/>
    <n v="260"/>
    <n v="0"/>
    <n v="15"/>
    <n v="0"/>
    <n v="275"/>
    <n v="0"/>
    <n v="0"/>
    <n v="0"/>
    <n v="275"/>
    <n v="0"/>
    <n v="0"/>
    <n v="0"/>
    <n v="275"/>
    <n v="0"/>
    <n v="0"/>
    <n v="0"/>
    <n v="0"/>
    <n v="0"/>
  </r>
  <r>
    <x v="1"/>
    <x v="1"/>
    <x v="3"/>
    <x v="0"/>
    <x v="71"/>
    <x v="172"/>
    <n v="330"/>
    <n v="0"/>
    <n v="20"/>
    <n v="0"/>
    <n v="350"/>
    <n v="0"/>
    <n v="0"/>
    <n v="0"/>
    <n v="350"/>
    <n v="0"/>
    <n v="0"/>
    <n v="0"/>
    <n v="350"/>
    <n v="0"/>
    <n v="0"/>
    <n v="0"/>
    <n v="0"/>
    <n v="0"/>
  </r>
  <r>
    <x v="1"/>
    <x v="1"/>
    <x v="3"/>
    <x v="2"/>
    <x v="9"/>
    <x v="173"/>
    <n v="24"/>
    <n v="0"/>
    <n v="1.5"/>
    <n v="0"/>
    <n v="25.5"/>
    <n v="0"/>
    <n v="0"/>
    <n v="0"/>
    <n v="25.5"/>
    <n v="0"/>
    <n v="0"/>
    <n v="0"/>
    <n v="25.5"/>
    <n v="0"/>
    <n v="0"/>
    <n v="0"/>
    <n v="0"/>
    <n v="0"/>
  </r>
  <r>
    <x v="1"/>
    <x v="1"/>
    <x v="3"/>
    <x v="4"/>
    <x v="82"/>
    <x v="174"/>
    <n v="255"/>
    <n v="1.4"/>
    <n v="15"/>
    <n v="8.0000000000000071E-2"/>
    <n v="270"/>
    <n v="1.48"/>
    <n v="0"/>
    <n v="0"/>
    <n v="270"/>
    <n v="1.48"/>
    <n v="0"/>
    <n v="0"/>
    <n v="270"/>
    <n v="1.48"/>
    <n v="0"/>
    <n v="0"/>
    <n v="0"/>
    <n v="0"/>
  </r>
  <r>
    <x v="1"/>
    <x v="1"/>
    <x v="3"/>
    <x v="4"/>
    <x v="83"/>
    <x v="175"/>
    <n v="145"/>
    <n v="0.67"/>
    <n v="8.5"/>
    <n v="3.9999999999999925E-2"/>
    <n v="153.5"/>
    <n v="0.71"/>
    <n v="0"/>
    <n v="0"/>
    <n v="153.5"/>
    <n v="0.71"/>
    <n v="0"/>
    <n v="0"/>
    <n v="153.5"/>
    <n v="0.71"/>
    <n v="0"/>
    <n v="0"/>
    <n v="0"/>
    <n v="0"/>
  </r>
  <r>
    <x v="1"/>
    <x v="1"/>
    <x v="3"/>
    <x v="6"/>
    <x v="14"/>
    <x v="176"/>
    <n v="1.5"/>
    <n v="9.07"/>
    <n v="0.14999999999999991"/>
    <n v="0"/>
    <n v="1.65"/>
    <n v="9.07"/>
    <n v="0"/>
    <n v="0"/>
    <n v="1.65"/>
    <n v="9.07"/>
    <n v="0"/>
    <n v="0"/>
    <n v="1.65"/>
    <n v="9.07"/>
    <n v="0"/>
    <m/>
    <m/>
    <m/>
  </r>
  <r>
    <x v="1"/>
    <x v="1"/>
    <x v="3"/>
    <x v="10"/>
    <x v="29"/>
    <x v="177"/>
    <n v="0"/>
    <n v="0"/>
    <n v="0"/>
    <n v="0"/>
    <n v="0"/>
    <n v="0"/>
    <n v="0"/>
    <n v="0"/>
    <m/>
    <m/>
    <m/>
    <m/>
    <m/>
    <m/>
    <n v="0"/>
    <m/>
    <m/>
    <m/>
  </r>
  <r>
    <x v="1"/>
    <x v="1"/>
    <x v="3"/>
    <x v="37"/>
    <x v="86"/>
    <x v="178"/>
    <n v="245"/>
    <n v="0"/>
    <n v="15"/>
    <n v="0"/>
    <n v="260"/>
    <n v="0"/>
    <n v="0"/>
    <n v="0"/>
    <n v="260"/>
    <n v="0"/>
    <n v="0"/>
    <n v="0"/>
    <n v="260"/>
    <n v="0"/>
    <n v="0"/>
    <n v="0"/>
    <n v="0"/>
    <n v="0"/>
  </r>
  <r>
    <x v="1"/>
    <x v="1"/>
    <x v="3"/>
    <x v="37"/>
    <x v="87"/>
    <x v="179"/>
    <n v="320"/>
    <n v="0"/>
    <n v="20"/>
    <n v="0"/>
    <n v="340"/>
    <n v="0"/>
    <n v="0"/>
    <n v="0"/>
    <n v="340"/>
    <n v="0"/>
    <n v="0"/>
    <n v="0"/>
    <n v="340"/>
    <n v="0"/>
    <n v="0"/>
    <n v="0"/>
    <n v="0"/>
    <n v="0"/>
  </r>
  <r>
    <x v="1"/>
    <x v="1"/>
    <x v="3"/>
    <x v="38"/>
    <x v="89"/>
    <x v="180"/>
    <n v="245"/>
    <n v="0"/>
    <n v="15"/>
    <n v="0"/>
    <n v="260"/>
    <n v="0"/>
    <n v="0"/>
    <n v="0"/>
    <n v="260"/>
    <n v="0"/>
    <n v="0"/>
    <n v="0"/>
    <n v="260"/>
    <n v="0"/>
    <n v="0"/>
    <n v="0"/>
    <n v="0"/>
    <n v="0"/>
  </r>
  <r>
    <x v="1"/>
    <x v="1"/>
    <x v="3"/>
    <x v="38"/>
    <x v="90"/>
    <x v="181"/>
    <n v="320"/>
    <n v="0"/>
    <n v="20"/>
    <n v="0"/>
    <n v="340"/>
    <n v="0"/>
    <n v="0"/>
    <n v="0"/>
    <n v="340"/>
    <n v="0"/>
    <n v="0"/>
    <n v="0"/>
    <n v="340"/>
    <n v="0"/>
    <n v="0"/>
    <n v="0"/>
    <n v="0"/>
    <n v="0"/>
  </r>
  <r>
    <x v="1"/>
    <x v="1"/>
    <x v="3"/>
    <x v="11"/>
    <x v="30"/>
    <x v="182"/>
    <n v="24"/>
    <n v="0"/>
    <n v="1.5"/>
    <n v="0"/>
    <n v="25.5"/>
    <n v="0"/>
    <n v="0"/>
    <n v="0"/>
    <n v="25.5"/>
    <n v="0"/>
    <n v="0"/>
    <n v="0"/>
    <n v="25.5"/>
    <n v="0"/>
    <n v="0"/>
    <n v="0"/>
    <n v="0"/>
    <n v="0"/>
  </r>
  <r>
    <x v="1"/>
    <x v="1"/>
    <x v="3"/>
    <x v="12"/>
    <x v="31"/>
    <x v="183"/>
    <n v="690"/>
    <n v="0.69"/>
    <n v="0"/>
    <n v="0"/>
    <n v="690"/>
    <n v="0.69"/>
    <n v="0"/>
    <n v="0"/>
    <n v="690"/>
    <n v="0.69"/>
    <n v="0"/>
    <n v="0"/>
    <n v="690"/>
    <n v="0.69"/>
    <n v="0"/>
    <n v="0"/>
    <n v="0"/>
    <n v="0"/>
  </r>
  <r>
    <x v="1"/>
    <x v="1"/>
    <x v="3"/>
    <x v="13"/>
    <x v="32"/>
    <x v="184"/>
    <n v="24"/>
    <n v="0"/>
    <n v="1.5"/>
    <n v="0"/>
    <n v="25.5"/>
    <n v="0"/>
    <n v="0"/>
    <n v="0"/>
    <n v="25.5"/>
    <n v="0"/>
    <n v="0"/>
    <n v="0"/>
    <n v="25.5"/>
    <n v="0"/>
    <n v="0"/>
    <n v="0"/>
    <n v="0"/>
    <n v="0"/>
  </r>
  <r>
    <x v="1"/>
    <x v="1"/>
    <x v="3"/>
    <x v="15"/>
    <x v="80"/>
    <x v="185"/>
    <n v="215"/>
    <n v="0"/>
    <n v="15"/>
    <n v="0"/>
    <n v="230"/>
    <n v="0"/>
    <n v="0"/>
    <n v="0"/>
    <n v="230"/>
    <n v="0"/>
    <n v="0"/>
    <n v="0"/>
    <n v="230"/>
    <n v="0"/>
    <n v="0"/>
    <n v="0"/>
    <n v="0"/>
    <n v="0"/>
  </r>
  <r>
    <x v="1"/>
    <x v="1"/>
    <x v="3"/>
    <x v="16"/>
    <x v="35"/>
    <x v="186"/>
    <n v="1.05"/>
    <n v="0"/>
    <n v="0"/>
    <n v="0"/>
    <n v="1.05"/>
    <n v="0"/>
    <n v="0"/>
    <n v="0"/>
    <n v="1.05"/>
    <n v="0"/>
    <n v="0"/>
    <n v="0"/>
    <n v="1.05"/>
    <n v="0"/>
    <n v="0"/>
    <n v="0"/>
    <n v="0"/>
    <n v="0"/>
  </r>
  <r>
    <x v="1"/>
    <x v="1"/>
    <x v="3"/>
    <x v="16"/>
    <x v="36"/>
    <x v="187"/>
    <n v="1.05"/>
    <n v="0"/>
    <n v="0"/>
    <n v="0"/>
    <n v="1.05"/>
    <n v="0"/>
    <n v="0"/>
    <n v="0"/>
    <n v="1.05"/>
    <n v="0"/>
    <n v="0"/>
    <n v="0"/>
    <n v="1.05"/>
    <n v="0"/>
    <n v="0"/>
    <n v="0"/>
    <n v="0"/>
    <n v="0"/>
  </r>
  <r>
    <x v="1"/>
    <x v="1"/>
    <x v="3"/>
    <x v="18"/>
    <x v="38"/>
    <x v="188"/>
    <n v="210"/>
    <n v="0"/>
    <n v="0"/>
    <n v="0"/>
    <n v="210"/>
    <n v="0"/>
    <n v="0"/>
    <n v="0"/>
    <n v="210"/>
    <n v="0"/>
    <n v="0"/>
    <n v="0"/>
    <n v="210"/>
    <n v="0"/>
    <n v="0"/>
    <n v="0"/>
    <n v="0"/>
    <n v="0"/>
  </r>
  <r>
    <x v="1"/>
    <x v="1"/>
    <x v="3"/>
    <x v="19"/>
    <x v="39"/>
    <x v="189"/>
    <n v="210"/>
    <n v="0"/>
    <n v="0"/>
    <n v="0"/>
    <n v="210"/>
    <n v="0"/>
    <n v="0"/>
    <n v="0"/>
    <n v="210"/>
    <n v="0"/>
    <n v="0"/>
    <n v="0"/>
    <n v="210"/>
    <n v="0"/>
    <n v="0"/>
    <n v="0"/>
    <n v="0"/>
    <n v="0"/>
  </r>
  <r>
    <x v="2"/>
    <x v="1"/>
    <x v="3"/>
    <x v="0"/>
    <x v="70"/>
    <x v="171"/>
    <n v="260"/>
    <n v="0"/>
    <n v="15"/>
    <n v="0"/>
    <n v="275"/>
    <n v="0"/>
    <n v="0"/>
    <n v="0"/>
    <n v="275"/>
    <n v="0"/>
    <n v="0"/>
    <n v="0"/>
    <n v="275"/>
    <n v="0"/>
    <n v="0"/>
    <n v="0"/>
    <n v="0"/>
    <n v="0"/>
  </r>
  <r>
    <x v="2"/>
    <x v="1"/>
    <x v="3"/>
    <x v="0"/>
    <x v="71"/>
    <x v="172"/>
    <n v="330"/>
    <n v="0"/>
    <n v="20"/>
    <n v="0"/>
    <n v="350"/>
    <n v="0"/>
    <n v="0"/>
    <n v="0"/>
    <n v="350"/>
    <n v="0"/>
    <n v="0"/>
    <n v="0"/>
    <n v="350"/>
    <n v="0"/>
    <n v="0"/>
    <n v="0"/>
    <n v="0"/>
    <n v="0"/>
  </r>
  <r>
    <x v="2"/>
    <x v="1"/>
    <x v="3"/>
    <x v="2"/>
    <x v="9"/>
    <x v="173"/>
    <n v="24"/>
    <n v="0"/>
    <n v="1.5"/>
    <n v="0"/>
    <n v="25.5"/>
    <n v="0"/>
    <n v="0"/>
    <n v="0"/>
    <n v="25.5"/>
    <n v="0"/>
    <n v="0"/>
    <n v="0"/>
    <n v="25.5"/>
    <n v="0"/>
    <n v="0"/>
    <n v="0"/>
    <n v="0"/>
    <n v="0"/>
  </r>
  <r>
    <x v="2"/>
    <x v="1"/>
    <x v="3"/>
    <x v="4"/>
    <x v="82"/>
    <x v="174"/>
    <n v="255"/>
    <n v="1.4"/>
    <n v="15"/>
    <n v="8.0000000000000071E-2"/>
    <n v="270"/>
    <n v="1.48"/>
    <n v="0"/>
    <n v="0"/>
    <n v="270"/>
    <n v="1.48"/>
    <n v="0"/>
    <n v="0"/>
    <n v="270"/>
    <n v="1.48"/>
    <n v="0"/>
    <n v="0"/>
    <n v="0"/>
    <n v="0"/>
  </r>
  <r>
    <x v="2"/>
    <x v="1"/>
    <x v="3"/>
    <x v="4"/>
    <x v="83"/>
    <x v="175"/>
    <n v="145"/>
    <n v="0.67"/>
    <n v="8.5"/>
    <n v="3.9999999999999925E-2"/>
    <n v="153.5"/>
    <n v="0.71"/>
    <n v="0"/>
    <n v="0"/>
    <n v="153.5"/>
    <n v="0.71"/>
    <n v="0"/>
    <n v="0"/>
    <n v="153.5"/>
    <n v="0.71"/>
    <n v="0"/>
    <n v="0"/>
    <n v="0"/>
    <n v="0"/>
  </r>
  <r>
    <x v="2"/>
    <x v="1"/>
    <x v="3"/>
    <x v="6"/>
    <x v="14"/>
    <x v="176"/>
    <n v="1.5"/>
    <n v="9.07"/>
    <n v="0.14999999999999991"/>
    <n v="0"/>
    <n v="1.65"/>
    <n v="9.07"/>
    <n v="0"/>
    <n v="0"/>
    <n v="1.65"/>
    <n v="9.07"/>
    <n v="0"/>
    <n v="0"/>
    <n v="1.65"/>
    <n v="9.07"/>
    <n v="0"/>
    <m/>
    <m/>
    <m/>
  </r>
  <r>
    <x v="2"/>
    <x v="1"/>
    <x v="3"/>
    <x v="10"/>
    <x v="29"/>
    <x v="177"/>
    <n v="0"/>
    <n v="0"/>
    <n v="0"/>
    <n v="0"/>
    <n v="0"/>
    <n v="0"/>
    <n v="0"/>
    <n v="0"/>
    <m/>
    <m/>
    <m/>
    <m/>
    <m/>
    <m/>
    <n v="0"/>
    <m/>
    <m/>
    <m/>
  </r>
  <r>
    <x v="2"/>
    <x v="1"/>
    <x v="3"/>
    <x v="37"/>
    <x v="86"/>
    <x v="178"/>
    <n v="245"/>
    <n v="0"/>
    <n v="15"/>
    <n v="0"/>
    <n v="260"/>
    <n v="0"/>
    <n v="0"/>
    <n v="0"/>
    <n v="260"/>
    <n v="0"/>
    <n v="0"/>
    <n v="0"/>
    <n v="260"/>
    <n v="0"/>
    <n v="0"/>
    <n v="0"/>
    <n v="0"/>
    <n v="0"/>
  </r>
  <r>
    <x v="2"/>
    <x v="1"/>
    <x v="3"/>
    <x v="37"/>
    <x v="87"/>
    <x v="179"/>
    <n v="320"/>
    <n v="0"/>
    <n v="20"/>
    <n v="0"/>
    <n v="340"/>
    <n v="0"/>
    <n v="0"/>
    <n v="0"/>
    <n v="340"/>
    <n v="0"/>
    <n v="0"/>
    <n v="0"/>
    <n v="340"/>
    <n v="0"/>
    <n v="0"/>
    <n v="0"/>
    <n v="0"/>
    <n v="0"/>
  </r>
  <r>
    <x v="2"/>
    <x v="1"/>
    <x v="3"/>
    <x v="38"/>
    <x v="89"/>
    <x v="180"/>
    <n v="245"/>
    <n v="0"/>
    <n v="15"/>
    <n v="0"/>
    <n v="260"/>
    <n v="0"/>
    <n v="0"/>
    <n v="0"/>
    <n v="260"/>
    <n v="0"/>
    <n v="0"/>
    <n v="0"/>
    <n v="260"/>
    <n v="0"/>
    <n v="0"/>
    <n v="0"/>
    <n v="0"/>
    <n v="0"/>
  </r>
  <r>
    <x v="2"/>
    <x v="1"/>
    <x v="3"/>
    <x v="38"/>
    <x v="90"/>
    <x v="181"/>
    <n v="320"/>
    <n v="0"/>
    <n v="20"/>
    <n v="0"/>
    <n v="340"/>
    <n v="0"/>
    <n v="0"/>
    <n v="0"/>
    <n v="340"/>
    <n v="0"/>
    <n v="0"/>
    <n v="0"/>
    <n v="340"/>
    <n v="0"/>
    <n v="0"/>
    <n v="0"/>
    <n v="0"/>
    <n v="0"/>
  </r>
  <r>
    <x v="2"/>
    <x v="1"/>
    <x v="3"/>
    <x v="11"/>
    <x v="30"/>
    <x v="182"/>
    <n v="24"/>
    <n v="0"/>
    <n v="1.5"/>
    <n v="0"/>
    <n v="25.5"/>
    <n v="0"/>
    <n v="0"/>
    <n v="0"/>
    <n v="25.5"/>
    <n v="0"/>
    <n v="0"/>
    <n v="0"/>
    <n v="25.5"/>
    <n v="0"/>
    <n v="0"/>
    <n v="0"/>
    <n v="0"/>
    <n v="0"/>
  </r>
  <r>
    <x v="2"/>
    <x v="1"/>
    <x v="3"/>
    <x v="12"/>
    <x v="31"/>
    <x v="183"/>
    <n v="690"/>
    <n v="0.69"/>
    <n v="0"/>
    <n v="0"/>
    <n v="690"/>
    <n v="0.69"/>
    <n v="0"/>
    <n v="0"/>
    <n v="690"/>
    <n v="0.69"/>
    <n v="0"/>
    <n v="0"/>
    <n v="690"/>
    <n v="0.69"/>
    <n v="0"/>
    <n v="0"/>
    <n v="0"/>
    <n v="0"/>
  </r>
  <r>
    <x v="2"/>
    <x v="1"/>
    <x v="3"/>
    <x v="13"/>
    <x v="32"/>
    <x v="184"/>
    <n v="24"/>
    <n v="0"/>
    <n v="1.5"/>
    <n v="0"/>
    <n v="25.5"/>
    <n v="0"/>
    <n v="0"/>
    <n v="0"/>
    <n v="25.5"/>
    <n v="0"/>
    <n v="0"/>
    <n v="0"/>
    <n v="25.5"/>
    <n v="0"/>
    <n v="0"/>
    <n v="0"/>
    <n v="0"/>
    <n v="0"/>
  </r>
  <r>
    <x v="2"/>
    <x v="1"/>
    <x v="3"/>
    <x v="15"/>
    <x v="80"/>
    <x v="185"/>
    <n v="215"/>
    <n v="0"/>
    <n v="15"/>
    <n v="0"/>
    <n v="230"/>
    <n v="0"/>
    <n v="0"/>
    <n v="0"/>
    <n v="230"/>
    <n v="0"/>
    <n v="0"/>
    <n v="0"/>
    <n v="230"/>
    <n v="0"/>
    <n v="0"/>
    <n v="0"/>
    <n v="0"/>
    <n v="0"/>
  </r>
  <r>
    <x v="2"/>
    <x v="1"/>
    <x v="3"/>
    <x v="16"/>
    <x v="35"/>
    <x v="186"/>
    <n v="1.05"/>
    <n v="0"/>
    <n v="0"/>
    <n v="0"/>
    <n v="1.05"/>
    <n v="0"/>
    <n v="0"/>
    <n v="0"/>
    <n v="1.05"/>
    <n v="0"/>
    <n v="0"/>
    <n v="0"/>
    <n v="1.05"/>
    <n v="0"/>
    <n v="0"/>
    <n v="0"/>
    <n v="0"/>
    <n v="0"/>
  </r>
  <r>
    <x v="2"/>
    <x v="1"/>
    <x v="3"/>
    <x v="16"/>
    <x v="36"/>
    <x v="187"/>
    <n v="1.05"/>
    <n v="0"/>
    <n v="0"/>
    <n v="0"/>
    <n v="1.05"/>
    <n v="0"/>
    <n v="0"/>
    <n v="0"/>
    <n v="1.05"/>
    <n v="0"/>
    <n v="0"/>
    <n v="0"/>
    <n v="1.05"/>
    <n v="0"/>
    <n v="0"/>
    <n v="0"/>
    <n v="0"/>
    <n v="0"/>
  </r>
  <r>
    <x v="2"/>
    <x v="1"/>
    <x v="3"/>
    <x v="18"/>
    <x v="38"/>
    <x v="188"/>
    <n v="210"/>
    <n v="0"/>
    <n v="0"/>
    <n v="0"/>
    <n v="210"/>
    <n v="0"/>
    <n v="0"/>
    <n v="0"/>
    <n v="210"/>
    <n v="0"/>
    <n v="0"/>
    <n v="0"/>
    <n v="210"/>
    <n v="0"/>
    <n v="0"/>
    <n v="0"/>
    <n v="0"/>
    <n v="0"/>
  </r>
  <r>
    <x v="2"/>
    <x v="1"/>
    <x v="3"/>
    <x v="19"/>
    <x v="39"/>
    <x v="189"/>
    <n v="210"/>
    <n v="0"/>
    <n v="0"/>
    <n v="0"/>
    <n v="210"/>
    <n v="0"/>
    <n v="0"/>
    <n v="0"/>
    <n v="210"/>
    <n v="0"/>
    <n v="0"/>
    <n v="0"/>
    <n v="210"/>
    <n v="0"/>
    <n v="0"/>
    <n v="0"/>
    <n v="0"/>
    <n v="0"/>
  </r>
  <r>
    <x v="0"/>
    <x v="1"/>
    <x v="0"/>
    <x v="39"/>
    <x v="91"/>
    <x v="190"/>
    <n v="2.5"/>
    <n v="0"/>
    <n v="0.14999999999999991"/>
    <n v="0"/>
    <n v="2.65"/>
    <n v="0"/>
    <n v="0"/>
    <n v="0"/>
    <n v="2.65"/>
    <n v="0"/>
    <n v="0"/>
    <n v="0"/>
    <n v="2.65"/>
    <n v="0"/>
    <n v="0"/>
    <n v="0"/>
    <n v="0"/>
    <n v="0"/>
  </r>
  <r>
    <x v="1"/>
    <x v="1"/>
    <x v="0"/>
    <x v="39"/>
    <x v="91"/>
    <x v="190"/>
    <n v="2.5"/>
    <n v="0"/>
    <n v="0.14999999999999991"/>
    <n v="0"/>
    <n v="2.65"/>
    <n v="0"/>
    <n v="0"/>
    <n v="0"/>
    <n v="2.65"/>
    <n v="0"/>
    <n v="0"/>
    <n v="0"/>
    <n v="2.65"/>
    <n v="0"/>
    <n v="0"/>
    <n v="0"/>
    <n v="0"/>
    <n v="0"/>
  </r>
  <r>
    <x v="2"/>
    <x v="1"/>
    <x v="0"/>
    <x v="39"/>
    <x v="91"/>
    <x v="190"/>
    <n v="2.5"/>
    <n v="0"/>
    <n v="0.14999999999999991"/>
    <n v="0"/>
    <n v="2.65"/>
    <n v="0"/>
    <n v="0"/>
    <n v="0"/>
    <n v="2.65"/>
    <n v="0"/>
    <n v="0"/>
    <n v="0"/>
    <n v="2.65"/>
    <n v="0"/>
    <n v="0"/>
    <n v="0"/>
    <n v="0"/>
    <n v="0"/>
  </r>
  <r>
    <x v="0"/>
    <x v="1"/>
    <x v="3"/>
    <x v="39"/>
    <x v="91"/>
    <x v="191"/>
    <n v="2.5"/>
    <n v="0"/>
    <n v="0.14999999999999991"/>
    <n v="0"/>
    <n v="2.65"/>
    <n v="0"/>
    <n v="0"/>
    <n v="0"/>
    <n v="2.65"/>
    <n v="0"/>
    <n v="0"/>
    <n v="0"/>
    <n v="2.65"/>
    <n v="0"/>
    <n v="0"/>
    <n v="0"/>
    <n v="0"/>
    <n v="0"/>
  </r>
  <r>
    <x v="1"/>
    <x v="1"/>
    <x v="3"/>
    <x v="39"/>
    <x v="91"/>
    <x v="191"/>
    <n v="2.5"/>
    <n v="0"/>
    <n v="0.14999999999999991"/>
    <n v="0"/>
    <n v="2.65"/>
    <n v="0"/>
    <n v="0"/>
    <n v="0"/>
    <n v="2.65"/>
    <n v="0"/>
    <n v="0"/>
    <n v="0"/>
    <n v="2.65"/>
    <n v="0"/>
    <n v="0"/>
    <n v="0"/>
    <n v="0"/>
    <n v="0"/>
  </r>
  <r>
    <x v="2"/>
    <x v="1"/>
    <x v="3"/>
    <x v="39"/>
    <x v="91"/>
    <x v="191"/>
    <n v="2.5"/>
    <n v="0"/>
    <n v="0.14999999999999991"/>
    <n v="0"/>
    <n v="2.65"/>
    <n v="0"/>
    <n v="0"/>
    <n v="0"/>
    <n v="2.65"/>
    <n v="0"/>
    <n v="0"/>
    <n v="0"/>
    <n v="2.65"/>
    <n v="0"/>
    <n v="0"/>
    <n v="0"/>
    <n v="0"/>
    <n v="0"/>
  </r>
  <r>
    <x v="0"/>
    <x v="1"/>
    <x v="1"/>
    <x v="39"/>
    <x v="91"/>
    <x v="192"/>
    <n v="2.5"/>
    <m/>
    <n v="0.14999999999999991"/>
    <m/>
    <n v="2.65"/>
    <m/>
    <n v="0"/>
    <n v="0"/>
    <n v="2.65"/>
    <m/>
    <n v="0"/>
    <m/>
    <n v="2.65"/>
    <m/>
    <n v="0"/>
    <n v="0"/>
    <n v="0"/>
    <n v="0"/>
  </r>
  <r>
    <x v="1"/>
    <x v="1"/>
    <x v="1"/>
    <x v="39"/>
    <x v="91"/>
    <x v="192"/>
    <n v="2.5"/>
    <m/>
    <n v="0.14999999999999991"/>
    <m/>
    <n v="2.65"/>
    <m/>
    <n v="0"/>
    <n v="0"/>
    <n v="2.65"/>
    <m/>
    <n v="0"/>
    <m/>
    <n v="2.65"/>
    <m/>
    <n v="0"/>
    <n v="0"/>
    <n v="0"/>
    <n v="0"/>
  </r>
  <r>
    <x v="2"/>
    <x v="1"/>
    <x v="1"/>
    <x v="39"/>
    <x v="91"/>
    <x v="192"/>
    <n v="2.5"/>
    <m/>
    <n v="0.14999999999999991"/>
    <m/>
    <n v="2.65"/>
    <m/>
    <n v="0"/>
    <n v="0"/>
    <n v="2.65"/>
    <m/>
    <n v="0"/>
    <m/>
    <n v="2.65"/>
    <m/>
    <n v="0"/>
    <n v="0"/>
    <n v="0"/>
    <n v="0"/>
  </r>
  <r>
    <x v="0"/>
    <x v="1"/>
    <x v="0"/>
    <x v="40"/>
    <x v="92"/>
    <x v="193"/>
    <n v="4"/>
    <n v="0"/>
    <n v="0"/>
    <n v="0"/>
    <n v="4"/>
    <n v="0"/>
    <n v="0"/>
    <n v="0"/>
    <n v="4"/>
    <m/>
    <n v="0"/>
    <m/>
    <n v="4"/>
    <m/>
    <n v="0"/>
    <n v="0"/>
    <n v="0"/>
    <n v="0"/>
  </r>
  <r>
    <x v="1"/>
    <x v="1"/>
    <x v="0"/>
    <x v="40"/>
    <x v="92"/>
    <x v="193"/>
    <n v="4"/>
    <n v="0"/>
    <n v="0"/>
    <n v="0"/>
    <n v="4"/>
    <n v="0"/>
    <n v="0"/>
    <n v="0"/>
    <n v="4"/>
    <m/>
    <n v="0"/>
    <m/>
    <n v="4"/>
    <m/>
    <n v="0"/>
    <n v="0"/>
    <n v="0"/>
    <n v="0"/>
  </r>
  <r>
    <x v="2"/>
    <x v="1"/>
    <x v="0"/>
    <x v="40"/>
    <x v="92"/>
    <x v="193"/>
    <n v="4"/>
    <n v="0"/>
    <n v="0"/>
    <n v="0"/>
    <n v="4"/>
    <n v="0"/>
    <n v="0"/>
    <n v="0"/>
    <n v="4"/>
    <m/>
    <n v="0"/>
    <m/>
    <n v="4"/>
    <m/>
    <n v="0"/>
    <n v="0"/>
    <n v="0"/>
    <n v="0"/>
  </r>
  <r>
    <x v="0"/>
    <x v="0"/>
    <x v="4"/>
    <x v="41"/>
    <x v="93"/>
    <x v="194"/>
    <n v="19"/>
    <n v="0"/>
    <n v="0"/>
    <n v="0"/>
    <n v="19"/>
    <n v="0"/>
    <n v="0"/>
    <n v="0"/>
    <n v="19"/>
    <m/>
    <n v="0"/>
    <m/>
    <n v="19"/>
    <m/>
    <n v="0"/>
    <n v="0"/>
    <n v="0"/>
    <n v="0"/>
  </r>
  <r>
    <x v="1"/>
    <x v="0"/>
    <x v="4"/>
    <x v="41"/>
    <x v="93"/>
    <x v="194"/>
    <n v="19"/>
    <n v="0"/>
    <n v="0"/>
    <n v="0"/>
    <n v="19"/>
    <n v="0"/>
    <n v="0"/>
    <n v="0"/>
    <n v="19"/>
    <m/>
    <n v="0"/>
    <m/>
    <n v="19"/>
    <m/>
    <n v="0"/>
    <n v="0"/>
    <n v="0"/>
    <n v="0"/>
  </r>
  <r>
    <x v="2"/>
    <x v="0"/>
    <x v="4"/>
    <x v="41"/>
    <x v="93"/>
    <x v="194"/>
    <n v="19"/>
    <n v="0"/>
    <n v="0"/>
    <n v="0"/>
    <n v="19"/>
    <n v="0"/>
    <n v="0"/>
    <n v="0"/>
    <n v="19"/>
    <m/>
    <n v="0"/>
    <m/>
    <n v="19"/>
    <m/>
    <n v="0"/>
    <n v="0"/>
    <n v="0"/>
    <n v="0"/>
  </r>
  <r>
    <x v="0"/>
    <x v="0"/>
    <x v="4"/>
    <x v="41"/>
    <x v="94"/>
    <x v="195"/>
    <n v="9"/>
    <n v="0"/>
    <n v="0"/>
    <n v="0"/>
    <n v="9"/>
    <n v="0"/>
    <n v="0"/>
    <n v="0"/>
    <n v="9"/>
    <m/>
    <n v="0"/>
    <m/>
    <n v="9"/>
    <m/>
    <n v="0"/>
    <n v="0"/>
    <n v="0"/>
    <n v="0"/>
  </r>
  <r>
    <x v="1"/>
    <x v="0"/>
    <x v="4"/>
    <x v="41"/>
    <x v="94"/>
    <x v="195"/>
    <n v="9"/>
    <n v="0"/>
    <n v="0"/>
    <n v="0"/>
    <n v="9"/>
    <n v="0"/>
    <n v="0"/>
    <n v="0"/>
    <n v="9"/>
    <m/>
    <n v="0"/>
    <m/>
    <n v="9"/>
    <m/>
    <n v="0"/>
    <n v="0"/>
    <n v="0"/>
    <n v="0"/>
  </r>
  <r>
    <x v="2"/>
    <x v="0"/>
    <x v="4"/>
    <x v="41"/>
    <x v="94"/>
    <x v="195"/>
    <n v="9"/>
    <n v="0"/>
    <n v="0"/>
    <n v="0"/>
    <n v="9"/>
    <n v="0"/>
    <n v="0"/>
    <n v="0"/>
    <n v="9"/>
    <m/>
    <n v="0"/>
    <m/>
    <n v="9"/>
    <m/>
    <n v="0"/>
    <n v="0"/>
    <n v="0"/>
    <n v="0"/>
  </r>
  <r>
    <x v="0"/>
    <x v="0"/>
    <x v="4"/>
    <x v="41"/>
    <x v="95"/>
    <x v="196"/>
    <n v="15.5"/>
    <n v="0"/>
    <n v="0"/>
    <n v="0"/>
    <n v="15.5"/>
    <n v="0"/>
    <n v="0"/>
    <n v="0"/>
    <n v="15.5"/>
    <m/>
    <n v="0"/>
    <m/>
    <n v="10.5"/>
    <m/>
    <n v="0"/>
    <n v="0"/>
    <n v="0"/>
    <n v="0"/>
  </r>
  <r>
    <x v="1"/>
    <x v="0"/>
    <x v="4"/>
    <x v="41"/>
    <x v="95"/>
    <x v="196"/>
    <n v="15.5"/>
    <n v="0"/>
    <n v="0"/>
    <n v="0"/>
    <n v="15.5"/>
    <n v="0"/>
    <n v="0"/>
    <n v="0"/>
    <n v="15.5"/>
    <m/>
    <n v="0"/>
    <m/>
    <n v="10.5"/>
    <m/>
    <n v="0"/>
    <n v="0"/>
    <n v="0"/>
    <n v="0"/>
  </r>
  <r>
    <x v="2"/>
    <x v="0"/>
    <x v="4"/>
    <x v="41"/>
    <x v="95"/>
    <x v="196"/>
    <n v="15.5"/>
    <n v="0"/>
    <n v="0"/>
    <n v="0"/>
    <n v="15.5"/>
    <n v="0"/>
    <n v="0"/>
    <n v="0"/>
    <n v="15.5"/>
    <m/>
    <n v="0"/>
    <m/>
    <n v="10.5"/>
    <m/>
    <n v="0"/>
    <n v="0"/>
    <n v="0"/>
    <n v="0"/>
  </r>
  <r>
    <x v="0"/>
    <x v="0"/>
    <x v="4"/>
    <x v="41"/>
    <x v="96"/>
    <x v="197"/>
    <n v="15.5"/>
    <n v="0"/>
    <n v="0"/>
    <n v="0"/>
    <n v="15.5"/>
    <n v="0"/>
    <n v="0"/>
    <n v="0"/>
    <n v="15.5"/>
    <m/>
    <n v="0"/>
    <m/>
    <n v="15.5"/>
    <m/>
    <n v="0"/>
    <n v="0"/>
    <n v="0"/>
    <n v="0"/>
  </r>
  <r>
    <x v="1"/>
    <x v="0"/>
    <x v="4"/>
    <x v="41"/>
    <x v="96"/>
    <x v="197"/>
    <n v="15.5"/>
    <n v="0"/>
    <n v="0"/>
    <n v="0"/>
    <n v="15.5"/>
    <n v="0"/>
    <n v="0"/>
    <n v="0"/>
    <n v="15.5"/>
    <m/>
    <n v="0"/>
    <m/>
    <n v="15.5"/>
    <m/>
    <n v="0"/>
    <n v="0"/>
    <n v="0"/>
    <n v="0"/>
  </r>
  <r>
    <x v="2"/>
    <x v="0"/>
    <x v="4"/>
    <x v="41"/>
    <x v="96"/>
    <x v="197"/>
    <n v="15.5"/>
    <n v="0"/>
    <n v="0"/>
    <n v="0"/>
    <n v="15.5"/>
    <n v="0"/>
    <n v="0"/>
    <n v="0"/>
    <n v="15.5"/>
    <m/>
    <n v="0"/>
    <m/>
    <n v="15.5"/>
    <m/>
    <n v="0"/>
    <n v="0"/>
    <n v="0"/>
    <n v="0"/>
  </r>
  <r>
    <x v="0"/>
    <x v="0"/>
    <x v="4"/>
    <x v="41"/>
    <x v="97"/>
    <x v="198"/>
    <n v="10.5"/>
    <n v="0"/>
    <n v="0"/>
    <n v="0"/>
    <n v="10.5"/>
    <n v="0"/>
    <n v="0"/>
    <n v="0"/>
    <n v="10.5"/>
    <m/>
    <n v="0"/>
    <m/>
    <n v="10.5"/>
    <m/>
    <n v="0"/>
    <n v="0"/>
    <n v="0"/>
    <n v="0"/>
  </r>
  <r>
    <x v="1"/>
    <x v="0"/>
    <x v="4"/>
    <x v="41"/>
    <x v="97"/>
    <x v="198"/>
    <n v="10.5"/>
    <n v="0"/>
    <n v="0"/>
    <n v="0"/>
    <n v="10.5"/>
    <n v="0"/>
    <n v="0"/>
    <n v="0"/>
    <n v="10.5"/>
    <m/>
    <n v="0"/>
    <m/>
    <n v="10.5"/>
    <m/>
    <n v="0"/>
    <n v="0"/>
    <n v="0"/>
    <n v="0"/>
  </r>
  <r>
    <x v="2"/>
    <x v="0"/>
    <x v="4"/>
    <x v="41"/>
    <x v="97"/>
    <x v="198"/>
    <n v="10.5"/>
    <n v="0"/>
    <n v="0"/>
    <n v="0"/>
    <n v="10.5"/>
    <n v="0"/>
    <n v="0"/>
    <n v="0"/>
    <n v="10.5"/>
    <m/>
    <n v="0"/>
    <m/>
    <n v="10.5"/>
    <m/>
    <n v="0"/>
    <n v="0"/>
    <n v="0"/>
    <n v="0"/>
  </r>
  <r>
    <x v="0"/>
    <x v="0"/>
    <x v="4"/>
    <x v="41"/>
    <x v="98"/>
    <x v="199"/>
    <n v="17"/>
    <n v="0"/>
    <n v="0"/>
    <n v="0"/>
    <n v="17"/>
    <n v="0"/>
    <n v="0"/>
    <n v="0"/>
    <n v="17"/>
    <m/>
    <n v="0"/>
    <m/>
    <n v="17"/>
    <m/>
    <n v="0"/>
    <n v="0"/>
    <n v="0"/>
    <n v="0"/>
  </r>
  <r>
    <x v="1"/>
    <x v="0"/>
    <x v="4"/>
    <x v="41"/>
    <x v="98"/>
    <x v="199"/>
    <n v="17"/>
    <n v="0"/>
    <n v="0"/>
    <n v="0"/>
    <n v="17"/>
    <n v="0"/>
    <n v="0"/>
    <n v="0"/>
    <n v="17"/>
    <m/>
    <n v="0"/>
    <m/>
    <n v="17"/>
    <m/>
    <n v="0"/>
    <n v="0"/>
    <n v="0"/>
    <n v="0"/>
  </r>
  <r>
    <x v="2"/>
    <x v="0"/>
    <x v="4"/>
    <x v="41"/>
    <x v="98"/>
    <x v="199"/>
    <n v="17"/>
    <n v="0"/>
    <n v="0"/>
    <n v="0"/>
    <n v="17"/>
    <n v="0"/>
    <n v="0"/>
    <n v="0"/>
    <n v="17"/>
    <m/>
    <n v="0"/>
    <m/>
    <n v="17"/>
    <m/>
    <n v="0"/>
    <n v="0"/>
    <n v="0"/>
    <n v="0"/>
  </r>
  <r>
    <x v="0"/>
    <x v="0"/>
    <x v="4"/>
    <x v="41"/>
    <x v="99"/>
    <x v="200"/>
    <n v="17"/>
    <n v="0"/>
    <n v="0"/>
    <n v="0"/>
    <n v="17"/>
    <n v="0"/>
    <n v="0"/>
    <n v="0"/>
    <n v="17"/>
    <m/>
    <n v="0"/>
    <m/>
    <n v="17"/>
    <m/>
    <n v="0"/>
    <n v="0"/>
    <n v="0"/>
    <n v="0"/>
  </r>
  <r>
    <x v="1"/>
    <x v="0"/>
    <x v="4"/>
    <x v="41"/>
    <x v="99"/>
    <x v="200"/>
    <n v="17"/>
    <n v="0"/>
    <n v="0"/>
    <n v="0"/>
    <n v="17"/>
    <n v="0"/>
    <n v="0"/>
    <n v="0"/>
    <n v="17"/>
    <m/>
    <n v="0"/>
    <m/>
    <n v="17"/>
    <m/>
    <n v="0"/>
    <n v="0"/>
    <n v="0"/>
    <n v="0"/>
  </r>
  <r>
    <x v="2"/>
    <x v="0"/>
    <x v="4"/>
    <x v="41"/>
    <x v="99"/>
    <x v="200"/>
    <n v="17"/>
    <n v="0"/>
    <n v="0"/>
    <n v="0"/>
    <n v="17"/>
    <n v="0"/>
    <n v="0"/>
    <n v="0"/>
    <n v="17"/>
    <m/>
    <n v="0"/>
    <m/>
    <n v="17"/>
    <m/>
    <n v="0"/>
    <n v="0"/>
    <n v="0"/>
    <n v="0"/>
  </r>
  <r>
    <x v="0"/>
    <x v="0"/>
    <x v="4"/>
    <x v="41"/>
    <x v="100"/>
    <x v="201"/>
    <n v="14.75"/>
    <n v="0"/>
    <n v="0"/>
    <n v="0"/>
    <n v="14.75"/>
    <n v="0"/>
    <n v="0"/>
    <n v="0"/>
    <n v="14.75"/>
    <m/>
    <n v="0"/>
    <m/>
    <n v="14.75"/>
    <m/>
    <n v="0"/>
    <n v="0"/>
    <n v="0"/>
    <n v="0"/>
  </r>
  <r>
    <x v="1"/>
    <x v="0"/>
    <x v="4"/>
    <x v="41"/>
    <x v="100"/>
    <x v="201"/>
    <n v="14.75"/>
    <n v="0"/>
    <n v="0"/>
    <n v="0"/>
    <n v="14.75"/>
    <n v="0"/>
    <n v="0"/>
    <n v="0"/>
    <n v="14.75"/>
    <m/>
    <n v="0"/>
    <m/>
    <n v="14.75"/>
    <m/>
    <n v="0"/>
    <n v="0"/>
    <n v="0"/>
    <n v="0"/>
  </r>
  <r>
    <x v="2"/>
    <x v="0"/>
    <x v="4"/>
    <x v="41"/>
    <x v="100"/>
    <x v="201"/>
    <n v="14.75"/>
    <n v="0"/>
    <n v="0"/>
    <n v="0"/>
    <n v="14.75"/>
    <n v="0"/>
    <n v="0"/>
    <n v="0"/>
    <n v="14.75"/>
    <m/>
    <n v="0"/>
    <m/>
    <n v="14.75"/>
    <m/>
    <n v="0"/>
    <n v="0"/>
    <n v="0"/>
    <n v="0"/>
  </r>
  <r>
    <x v="0"/>
    <x v="0"/>
    <x v="4"/>
    <x v="41"/>
    <x v="101"/>
    <x v="202"/>
    <n v="21.25"/>
    <n v="0"/>
    <n v="0"/>
    <n v="0"/>
    <n v="21.25"/>
    <n v="0"/>
    <n v="0"/>
    <n v="0"/>
    <n v="21.25"/>
    <m/>
    <n v="0"/>
    <m/>
    <n v="21.25"/>
    <m/>
    <n v="0"/>
    <n v="0"/>
    <n v="0"/>
    <n v="0"/>
  </r>
  <r>
    <x v="1"/>
    <x v="0"/>
    <x v="4"/>
    <x v="41"/>
    <x v="101"/>
    <x v="202"/>
    <n v="21.25"/>
    <n v="0"/>
    <n v="0"/>
    <n v="0"/>
    <n v="21.25"/>
    <n v="0"/>
    <n v="0"/>
    <n v="0"/>
    <n v="21.25"/>
    <m/>
    <n v="0"/>
    <m/>
    <n v="21.25"/>
    <m/>
    <n v="0"/>
    <n v="0"/>
    <n v="0"/>
    <n v="0"/>
  </r>
  <r>
    <x v="2"/>
    <x v="0"/>
    <x v="4"/>
    <x v="41"/>
    <x v="101"/>
    <x v="202"/>
    <n v="21.25"/>
    <n v="0"/>
    <n v="0"/>
    <n v="0"/>
    <n v="21.25"/>
    <n v="0"/>
    <n v="0"/>
    <n v="0"/>
    <n v="21.25"/>
    <m/>
    <n v="0"/>
    <m/>
    <n v="21.25"/>
    <m/>
    <n v="0"/>
    <n v="0"/>
    <n v="0"/>
    <n v="0"/>
  </r>
  <r>
    <x v="0"/>
    <x v="0"/>
    <x v="4"/>
    <x v="41"/>
    <x v="102"/>
    <x v="203"/>
    <n v="21.25"/>
    <n v="0"/>
    <n v="0"/>
    <n v="0"/>
    <n v="21.25"/>
    <n v="0"/>
    <n v="0"/>
    <n v="0"/>
    <n v="21.25"/>
    <m/>
    <n v="0"/>
    <m/>
    <n v="21.25"/>
    <m/>
    <n v="0"/>
    <n v="0"/>
    <n v="0"/>
    <n v="0"/>
  </r>
  <r>
    <x v="1"/>
    <x v="0"/>
    <x v="4"/>
    <x v="41"/>
    <x v="102"/>
    <x v="203"/>
    <n v="21.25"/>
    <n v="0"/>
    <n v="0"/>
    <n v="0"/>
    <n v="21.25"/>
    <n v="0"/>
    <n v="0"/>
    <n v="0"/>
    <n v="21.25"/>
    <m/>
    <n v="0"/>
    <m/>
    <n v="21.25"/>
    <m/>
    <n v="0"/>
    <n v="0"/>
    <n v="0"/>
    <n v="0"/>
  </r>
  <r>
    <x v="2"/>
    <x v="0"/>
    <x v="4"/>
    <x v="41"/>
    <x v="102"/>
    <x v="203"/>
    <n v="21.25"/>
    <n v="0"/>
    <n v="0"/>
    <n v="0"/>
    <n v="21.25"/>
    <n v="0"/>
    <n v="0"/>
    <n v="0"/>
    <n v="21.25"/>
    <m/>
    <n v="0"/>
    <m/>
    <n v="21.25"/>
    <m/>
    <n v="0"/>
    <n v="0"/>
    <n v="0"/>
    <n v="0"/>
  </r>
  <r>
    <x v="0"/>
    <x v="0"/>
    <x v="4"/>
    <x v="41"/>
    <x v="103"/>
    <x v="204"/>
    <n v="16.25"/>
    <n v="0"/>
    <n v="0"/>
    <n v="0"/>
    <n v="16.25"/>
    <n v="0"/>
    <n v="0"/>
    <n v="0"/>
    <n v="16.25"/>
    <m/>
    <n v="0"/>
    <m/>
    <n v="16.25"/>
    <m/>
    <n v="0"/>
    <n v="0"/>
    <n v="0"/>
    <n v="0"/>
  </r>
  <r>
    <x v="1"/>
    <x v="0"/>
    <x v="4"/>
    <x v="41"/>
    <x v="103"/>
    <x v="204"/>
    <n v="16.25"/>
    <n v="0"/>
    <n v="0"/>
    <n v="0"/>
    <n v="16.25"/>
    <n v="0"/>
    <n v="0"/>
    <n v="0"/>
    <n v="16.25"/>
    <m/>
    <n v="0"/>
    <m/>
    <n v="16.25"/>
    <m/>
    <n v="0"/>
    <n v="0"/>
    <n v="0"/>
    <n v="0"/>
  </r>
  <r>
    <x v="2"/>
    <x v="0"/>
    <x v="4"/>
    <x v="41"/>
    <x v="103"/>
    <x v="204"/>
    <n v="16.25"/>
    <n v="0"/>
    <n v="0"/>
    <n v="0"/>
    <n v="16.25"/>
    <n v="0"/>
    <n v="0"/>
    <n v="0"/>
    <n v="16.25"/>
    <m/>
    <n v="0"/>
    <m/>
    <n v="16.25"/>
    <m/>
    <n v="0"/>
    <n v="0"/>
    <n v="0"/>
    <n v="0"/>
  </r>
  <r>
    <x v="0"/>
    <x v="0"/>
    <x v="4"/>
    <x v="41"/>
    <x v="104"/>
    <x v="205"/>
    <n v="22.75"/>
    <n v="0"/>
    <n v="0"/>
    <n v="0"/>
    <n v="22.75"/>
    <n v="0"/>
    <n v="0"/>
    <n v="0"/>
    <n v="22.75"/>
    <m/>
    <n v="0"/>
    <m/>
    <n v="22.75"/>
    <m/>
    <n v="0"/>
    <n v="0"/>
    <n v="0"/>
    <n v="0"/>
  </r>
  <r>
    <x v="1"/>
    <x v="0"/>
    <x v="4"/>
    <x v="41"/>
    <x v="104"/>
    <x v="205"/>
    <n v="22.75"/>
    <n v="0"/>
    <n v="0"/>
    <n v="0"/>
    <n v="22.75"/>
    <n v="0"/>
    <n v="0"/>
    <n v="0"/>
    <n v="22.75"/>
    <m/>
    <n v="0"/>
    <m/>
    <n v="22.75"/>
    <m/>
    <n v="0"/>
    <n v="0"/>
    <n v="0"/>
    <n v="0"/>
  </r>
  <r>
    <x v="2"/>
    <x v="0"/>
    <x v="4"/>
    <x v="41"/>
    <x v="104"/>
    <x v="205"/>
    <n v="22.75"/>
    <n v="0"/>
    <n v="0"/>
    <n v="0"/>
    <n v="22.75"/>
    <n v="0"/>
    <n v="0"/>
    <n v="0"/>
    <n v="22.75"/>
    <m/>
    <n v="0"/>
    <m/>
    <n v="22.75"/>
    <m/>
    <n v="0"/>
    <n v="0"/>
    <n v="0"/>
    <n v="0"/>
  </r>
  <r>
    <x v="0"/>
    <x v="0"/>
    <x v="4"/>
    <x v="41"/>
    <x v="105"/>
    <x v="206"/>
    <n v="22.75"/>
    <n v="0"/>
    <n v="0"/>
    <n v="0"/>
    <n v="22.75"/>
    <n v="0"/>
    <n v="0"/>
    <n v="0"/>
    <n v="22.75"/>
    <m/>
    <n v="0"/>
    <m/>
    <n v="22.75"/>
    <m/>
    <n v="0"/>
    <n v="0"/>
    <n v="0"/>
    <n v="0"/>
  </r>
  <r>
    <x v="1"/>
    <x v="0"/>
    <x v="4"/>
    <x v="41"/>
    <x v="105"/>
    <x v="206"/>
    <n v="22.75"/>
    <n v="0"/>
    <n v="0"/>
    <n v="0"/>
    <n v="22.75"/>
    <n v="0"/>
    <n v="0"/>
    <n v="0"/>
    <n v="22.75"/>
    <m/>
    <n v="0"/>
    <m/>
    <n v="22.75"/>
    <m/>
    <n v="0"/>
    <n v="0"/>
    <n v="0"/>
    <n v="0"/>
  </r>
  <r>
    <x v="2"/>
    <x v="0"/>
    <x v="4"/>
    <x v="41"/>
    <x v="105"/>
    <x v="206"/>
    <n v="22.75"/>
    <n v="0"/>
    <n v="0"/>
    <n v="0"/>
    <n v="22.75"/>
    <n v="0"/>
    <n v="0"/>
    <n v="0"/>
    <n v="22.75"/>
    <m/>
    <n v="0"/>
    <m/>
    <n v="22.75"/>
    <m/>
    <n v="0"/>
    <n v="0"/>
    <n v="0"/>
    <n v="0"/>
  </r>
  <r>
    <x v="0"/>
    <x v="0"/>
    <x v="4"/>
    <x v="41"/>
    <x v="106"/>
    <x v="207"/>
    <n v="5.95"/>
    <n v="0"/>
    <n v="0"/>
    <n v="0"/>
    <n v="5.95"/>
    <n v="0"/>
    <n v="0"/>
    <n v="0"/>
    <n v="5.95"/>
    <m/>
    <n v="0"/>
    <m/>
    <n v="5.95"/>
    <m/>
    <n v="0"/>
    <n v="0"/>
    <n v="0"/>
    <n v="0"/>
  </r>
  <r>
    <x v="1"/>
    <x v="0"/>
    <x v="4"/>
    <x v="41"/>
    <x v="106"/>
    <x v="207"/>
    <n v="5.95"/>
    <n v="0"/>
    <n v="0"/>
    <n v="0"/>
    <n v="5.95"/>
    <n v="0"/>
    <n v="0"/>
    <n v="0"/>
    <n v="5.95"/>
    <m/>
    <n v="0"/>
    <m/>
    <n v="5.95"/>
    <m/>
    <n v="0"/>
    <n v="0"/>
    <n v="0"/>
    <n v="0"/>
  </r>
  <r>
    <x v="2"/>
    <x v="0"/>
    <x v="4"/>
    <x v="41"/>
    <x v="106"/>
    <x v="207"/>
    <n v="5.95"/>
    <n v="0"/>
    <n v="0"/>
    <n v="0"/>
    <n v="5.95"/>
    <n v="0"/>
    <n v="0"/>
    <n v="0"/>
    <n v="5.95"/>
    <m/>
    <n v="0"/>
    <m/>
    <n v="5.95"/>
    <m/>
    <n v="0"/>
    <n v="0"/>
    <n v="0"/>
    <n v="0"/>
  </r>
  <r>
    <x v="0"/>
    <x v="0"/>
    <x v="4"/>
    <x v="41"/>
    <x v="107"/>
    <x v="208"/>
    <n v="6.2"/>
    <n v="0"/>
    <n v="0"/>
    <n v="0"/>
    <n v="6.2"/>
    <n v="0"/>
    <n v="0"/>
    <n v="0"/>
    <n v="6.2"/>
    <m/>
    <n v="0"/>
    <m/>
    <n v="6.2"/>
    <m/>
    <n v="0"/>
    <n v="0"/>
    <n v="0"/>
    <n v="0"/>
  </r>
  <r>
    <x v="1"/>
    <x v="0"/>
    <x v="4"/>
    <x v="41"/>
    <x v="107"/>
    <x v="208"/>
    <n v="6.2"/>
    <n v="0"/>
    <n v="0"/>
    <n v="0"/>
    <n v="6.2"/>
    <n v="0"/>
    <n v="0"/>
    <n v="0"/>
    <n v="6.2"/>
    <m/>
    <n v="0"/>
    <m/>
    <n v="6.2"/>
    <m/>
    <n v="0"/>
    <n v="0"/>
    <n v="0"/>
    <n v="0"/>
  </r>
  <r>
    <x v="2"/>
    <x v="0"/>
    <x v="4"/>
    <x v="41"/>
    <x v="107"/>
    <x v="208"/>
    <n v="6.2"/>
    <n v="0"/>
    <n v="0"/>
    <n v="0"/>
    <n v="6.2"/>
    <n v="0"/>
    <n v="0"/>
    <n v="0"/>
    <n v="6.2"/>
    <m/>
    <n v="0"/>
    <m/>
    <n v="6.2"/>
    <m/>
    <n v="0"/>
    <n v="0"/>
    <n v="0"/>
    <n v="0"/>
  </r>
  <r>
    <x v="0"/>
    <x v="0"/>
    <x v="4"/>
    <x v="41"/>
    <x v="108"/>
    <x v="209"/>
    <n v="8.3000000000000007"/>
    <n v="0"/>
    <n v="0"/>
    <n v="0"/>
    <n v="8.3000000000000007"/>
    <n v="0"/>
    <n v="0"/>
    <n v="0"/>
    <n v="8.3000000000000007"/>
    <m/>
    <n v="0"/>
    <m/>
    <n v="8.3000000000000007"/>
    <m/>
    <n v="0"/>
    <n v="0"/>
    <n v="0"/>
    <n v="0"/>
  </r>
  <r>
    <x v="1"/>
    <x v="0"/>
    <x v="4"/>
    <x v="41"/>
    <x v="108"/>
    <x v="209"/>
    <n v="8.3000000000000007"/>
    <n v="0"/>
    <n v="0"/>
    <n v="0"/>
    <n v="8.3000000000000007"/>
    <n v="0"/>
    <n v="0"/>
    <n v="0"/>
    <n v="8.3000000000000007"/>
    <m/>
    <n v="0"/>
    <m/>
    <n v="8.3000000000000007"/>
    <m/>
    <n v="0"/>
    <n v="0"/>
    <n v="0"/>
    <n v="0"/>
  </r>
  <r>
    <x v="2"/>
    <x v="0"/>
    <x v="4"/>
    <x v="41"/>
    <x v="108"/>
    <x v="209"/>
    <n v="8.3000000000000007"/>
    <n v="0"/>
    <n v="0"/>
    <n v="0"/>
    <n v="8.3000000000000007"/>
    <n v="0"/>
    <n v="0"/>
    <n v="0"/>
    <n v="8.3000000000000007"/>
    <m/>
    <n v="0"/>
    <m/>
    <n v="8.3000000000000007"/>
    <m/>
    <n v="0"/>
    <n v="0"/>
    <n v="0"/>
    <n v="0"/>
  </r>
  <r>
    <x v="0"/>
    <x v="0"/>
    <x v="4"/>
    <x v="41"/>
    <x v="109"/>
    <x v="210"/>
    <n v="15.5"/>
    <n v="0"/>
    <n v="0"/>
    <n v="0"/>
    <n v="15.5"/>
    <n v="0"/>
    <n v="0"/>
    <n v="0"/>
    <n v="15.5"/>
    <m/>
    <n v="0"/>
    <m/>
    <n v="15.5"/>
    <m/>
    <n v="0"/>
    <n v="0"/>
    <n v="0"/>
    <n v="0"/>
  </r>
  <r>
    <x v="1"/>
    <x v="0"/>
    <x v="4"/>
    <x v="41"/>
    <x v="109"/>
    <x v="210"/>
    <n v="15.5"/>
    <n v="0"/>
    <n v="0"/>
    <n v="0"/>
    <n v="15.5"/>
    <n v="0"/>
    <n v="0"/>
    <n v="0"/>
    <n v="15.5"/>
    <m/>
    <n v="0"/>
    <m/>
    <n v="15.5"/>
    <m/>
    <n v="0"/>
    <n v="0"/>
    <n v="0"/>
    <n v="0"/>
  </r>
  <r>
    <x v="2"/>
    <x v="0"/>
    <x v="4"/>
    <x v="41"/>
    <x v="109"/>
    <x v="210"/>
    <n v="15.5"/>
    <n v="0"/>
    <n v="0"/>
    <n v="0"/>
    <n v="15.5"/>
    <n v="0"/>
    <n v="0"/>
    <n v="0"/>
    <n v="15.5"/>
    <m/>
    <n v="0"/>
    <m/>
    <n v="15.5"/>
    <m/>
    <n v="0"/>
    <n v="0"/>
    <n v="0"/>
    <n v="0"/>
  </r>
  <r>
    <x v="0"/>
    <x v="0"/>
    <x v="4"/>
    <x v="41"/>
    <x v="110"/>
    <x v="211"/>
    <n v="12"/>
    <n v="0"/>
    <n v="0"/>
    <n v="0"/>
    <n v="12"/>
    <n v="0"/>
    <n v="0"/>
    <n v="0"/>
    <n v="12"/>
    <m/>
    <n v="0"/>
    <m/>
    <n v="12"/>
    <m/>
    <n v="0"/>
    <n v="0"/>
    <n v="0"/>
    <n v="0"/>
  </r>
  <r>
    <x v="1"/>
    <x v="0"/>
    <x v="4"/>
    <x v="41"/>
    <x v="110"/>
    <x v="211"/>
    <n v="12"/>
    <n v="0"/>
    <n v="0"/>
    <n v="0"/>
    <n v="12"/>
    <n v="0"/>
    <n v="0"/>
    <n v="0"/>
    <n v="12"/>
    <m/>
    <n v="0"/>
    <m/>
    <n v="12"/>
    <m/>
    <n v="0"/>
    <n v="0"/>
    <n v="0"/>
    <n v="0"/>
  </r>
  <r>
    <x v="2"/>
    <x v="0"/>
    <x v="4"/>
    <x v="41"/>
    <x v="110"/>
    <x v="211"/>
    <n v="12"/>
    <n v="0"/>
    <n v="0"/>
    <n v="0"/>
    <n v="12"/>
    <n v="0"/>
    <n v="0"/>
    <n v="0"/>
    <n v="12"/>
    <m/>
    <n v="0"/>
    <m/>
    <n v="12"/>
    <m/>
    <n v="0"/>
    <n v="0"/>
    <n v="0"/>
    <n v="0"/>
  </r>
  <r>
    <x v="0"/>
    <x v="0"/>
    <x v="4"/>
    <x v="41"/>
    <x v="111"/>
    <x v="212"/>
    <n v="12"/>
    <n v="0"/>
    <n v="0"/>
    <n v="0"/>
    <n v="12"/>
    <n v="0"/>
    <n v="0"/>
    <n v="0"/>
    <n v="12"/>
    <m/>
    <n v="0"/>
    <m/>
    <n v="12"/>
    <m/>
    <n v="0"/>
    <n v="0"/>
    <n v="0"/>
    <n v="0"/>
  </r>
  <r>
    <x v="1"/>
    <x v="0"/>
    <x v="4"/>
    <x v="41"/>
    <x v="111"/>
    <x v="212"/>
    <n v="12"/>
    <n v="0"/>
    <n v="0"/>
    <n v="0"/>
    <n v="12"/>
    <n v="0"/>
    <n v="0"/>
    <n v="0"/>
    <n v="12"/>
    <m/>
    <n v="0"/>
    <m/>
    <n v="12"/>
    <m/>
    <n v="0"/>
    <n v="0"/>
    <n v="0"/>
    <n v="0"/>
  </r>
  <r>
    <x v="2"/>
    <x v="0"/>
    <x v="4"/>
    <x v="41"/>
    <x v="111"/>
    <x v="212"/>
    <n v="12"/>
    <n v="0"/>
    <n v="0"/>
    <n v="0"/>
    <n v="12"/>
    <n v="0"/>
    <n v="0"/>
    <n v="0"/>
    <n v="12"/>
    <m/>
    <n v="0"/>
    <m/>
    <n v="12"/>
    <m/>
    <n v="0"/>
    <n v="0"/>
    <n v="0"/>
    <n v="0"/>
  </r>
  <r>
    <x v="0"/>
    <x v="0"/>
    <x v="4"/>
    <x v="41"/>
    <x v="112"/>
    <x v="213"/>
    <n v="7.95"/>
    <n v="0"/>
    <n v="0"/>
    <n v="0"/>
    <n v="7.95"/>
    <n v="0"/>
    <n v="0"/>
    <n v="0"/>
    <n v="7.95"/>
    <m/>
    <n v="0"/>
    <m/>
    <n v="7.95"/>
    <m/>
    <n v="0"/>
    <n v="0"/>
    <n v="0"/>
    <n v="0"/>
  </r>
  <r>
    <x v="1"/>
    <x v="0"/>
    <x v="4"/>
    <x v="41"/>
    <x v="112"/>
    <x v="213"/>
    <n v="7.95"/>
    <n v="0"/>
    <n v="0"/>
    <n v="0"/>
    <n v="7.95"/>
    <n v="0"/>
    <n v="0"/>
    <n v="0"/>
    <n v="7.95"/>
    <m/>
    <n v="0"/>
    <m/>
    <n v="7.95"/>
    <m/>
    <n v="0"/>
    <n v="0"/>
    <n v="0"/>
    <n v="0"/>
  </r>
  <r>
    <x v="2"/>
    <x v="0"/>
    <x v="4"/>
    <x v="41"/>
    <x v="112"/>
    <x v="213"/>
    <n v="7.95"/>
    <n v="0"/>
    <n v="0"/>
    <n v="0"/>
    <n v="7.95"/>
    <n v="0"/>
    <n v="0"/>
    <n v="0"/>
    <n v="7.95"/>
    <m/>
    <n v="0"/>
    <m/>
    <n v="7.95"/>
    <m/>
    <n v="0"/>
    <n v="0"/>
    <n v="0"/>
    <n v="0"/>
  </r>
  <r>
    <x v="0"/>
    <x v="0"/>
    <x v="4"/>
    <x v="41"/>
    <x v="113"/>
    <x v="214"/>
    <n v="7.95"/>
    <n v="0"/>
    <n v="0"/>
    <n v="0"/>
    <n v="7.95"/>
    <n v="0"/>
    <n v="0"/>
    <n v="0"/>
    <n v="7.95"/>
    <m/>
    <n v="0"/>
    <m/>
    <n v="7.95"/>
    <m/>
    <n v="0"/>
    <n v="0"/>
    <n v="0"/>
    <n v="0"/>
  </r>
  <r>
    <x v="1"/>
    <x v="0"/>
    <x v="4"/>
    <x v="41"/>
    <x v="113"/>
    <x v="214"/>
    <n v="7.95"/>
    <n v="0"/>
    <n v="0"/>
    <n v="0"/>
    <n v="7.95"/>
    <n v="0"/>
    <n v="0"/>
    <n v="0"/>
    <n v="7.95"/>
    <m/>
    <n v="0"/>
    <m/>
    <n v="7.95"/>
    <m/>
    <n v="0"/>
    <n v="0"/>
    <n v="0"/>
    <n v="0"/>
  </r>
  <r>
    <x v="2"/>
    <x v="0"/>
    <x v="4"/>
    <x v="41"/>
    <x v="113"/>
    <x v="214"/>
    <n v="7.95"/>
    <n v="0"/>
    <n v="0"/>
    <n v="0"/>
    <n v="7.95"/>
    <n v="0"/>
    <n v="0"/>
    <n v="0"/>
    <n v="7.95"/>
    <m/>
    <n v="0"/>
    <m/>
    <n v="7.95"/>
    <m/>
    <n v="0"/>
    <n v="0"/>
    <n v="0"/>
    <n v="0"/>
  </r>
  <r>
    <x v="0"/>
    <x v="0"/>
    <x v="4"/>
    <x v="41"/>
    <x v="114"/>
    <x v="215"/>
    <n v="0"/>
    <n v="0"/>
    <n v="0"/>
    <n v="0"/>
    <n v="0"/>
    <n v="0"/>
    <n v="0"/>
    <n v="0"/>
    <n v="0"/>
    <m/>
    <n v="0"/>
    <m/>
    <n v="0"/>
    <m/>
    <n v="0"/>
    <n v="0"/>
    <n v="0"/>
    <n v="0"/>
  </r>
  <r>
    <x v="1"/>
    <x v="0"/>
    <x v="4"/>
    <x v="41"/>
    <x v="114"/>
    <x v="215"/>
    <n v="0"/>
    <n v="0"/>
    <n v="0"/>
    <n v="0"/>
    <n v="0"/>
    <n v="0"/>
    <n v="0"/>
    <n v="0"/>
    <n v="0"/>
    <m/>
    <n v="0"/>
    <m/>
    <n v="0"/>
    <m/>
    <n v="0"/>
    <n v="0"/>
    <n v="0"/>
    <n v="0"/>
  </r>
  <r>
    <x v="2"/>
    <x v="0"/>
    <x v="4"/>
    <x v="41"/>
    <x v="114"/>
    <x v="215"/>
    <n v="0"/>
    <n v="0"/>
    <n v="0"/>
    <n v="0"/>
    <n v="0"/>
    <n v="0"/>
    <n v="0"/>
    <n v="0"/>
    <n v="0"/>
    <m/>
    <n v="0"/>
    <m/>
    <n v="0"/>
    <m/>
    <n v="0"/>
    <n v="0"/>
    <n v="0"/>
    <n v="0"/>
  </r>
  <r>
    <x v="0"/>
    <x v="1"/>
    <x v="0"/>
    <x v="42"/>
    <x v="115"/>
    <x v="216"/>
    <n v="3.5"/>
    <m/>
    <n v="0"/>
    <m/>
    <n v="3.5"/>
    <m/>
    <n v="0"/>
    <n v="0"/>
    <n v="3.5"/>
    <m/>
    <n v="0"/>
    <m/>
    <n v="3.5"/>
    <m/>
    <n v="0"/>
    <n v="0"/>
    <n v="0"/>
    <n v="0"/>
  </r>
  <r>
    <x v="0"/>
    <x v="1"/>
    <x v="0"/>
    <x v="42"/>
    <x v="116"/>
    <x v="217"/>
    <n v="0"/>
    <m/>
    <n v="0"/>
    <m/>
    <n v="0"/>
    <m/>
    <n v="0"/>
    <n v="0"/>
    <n v="0"/>
    <m/>
    <n v="0"/>
    <m/>
    <n v="0"/>
    <m/>
    <n v="0"/>
    <n v="0"/>
    <n v="0"/>
    <n v="0"/>
  </r>
  <r>
    <x v="0"/>
    <x v="1"/>
    <x v="0"/>
    <x v="42"/>
    <x v="117"/>
    <x v="218"/>
    <n v="51"/>
    <m/>
    <n v="0"/>
    <m/>
    <n v="51"/>
    <m/>
    <n v="0"/>
    <n v="0"/>
    <n v="51"/>
    <m/>
    <n v="0"/>
    <m/>
    <n v="51"/>
    <m/>
    <n v="0"/>
    <n v="0"/>
    <n v="0"/>
    <n v="0"/>
  </r>
  <r>
    <x v="0"/>
    <x v="1"/>
    <x v="0"/>
    <x v="42"/>
    <x v="118"/>
    <x v="219"/>
    <n v="90"/>
    <m/>
    <n v="0"/>
    <m/>
    <n v="90"/>
    <m/>
    <n v="0"/>
    <n v="0"/>
    <n v="90"/>
    <m/>
    <n v="0"/>
    <m/>
    <n v="90"/>
    <m/>
    <n v="0"/>
    <n v="0"/>
    <n v="0"/>
    <n v="0"/>
  </r>
  <r>
    <x v="0"/>
    <x v="1"/>
    <x v="0"/>
    <x v="42"/>
    <x v="119"/>
    <x v="220"/>
    <n v="0"/>
    <m/>
    <n v="0"/>
    <m/>
    <n v="0"/>
    <m/>
    <n v="0"/>
    <n v="0"/>
    <n v="0"/>
    <m/>
    <n v="0"/>
    <m/>
    <n v="0"/>
    <m/>
    <n v="0"/>
    <n v="0"/>
    <n v="0"/>
    <n v="0"/>
  </r>
  <r>
    <x v="0"/>
    <x v="1"/>
    <x v="0"/>
    <x v="42"/>
    <x v="120"/>
    <x v="221"/>
    <n v="2.1"/>
    <m/>
    <n v="0"/>
    <m/>
    <n v="2.1"/>
    <m/>
    <n v="0"/>
    <n v="0"/>
    <n v="2.1"/>
    <m/>
    <n v="0"/>
    <m/>
    <n v="2.1"/>
    <m/>
    <n v="0"/>
    <n v="0"/>
    <n v="0"/>
    <n v="0"/>
  </r>
  <r>
    <x v="0"/>
    <x v="1"/>
    <x v="0"/>
    <x v="42"/>
    <x v="121"/>
    <x v="222"/>
    <n v="53"/>
    <m/>
    <n v="0"/>
    <m/>
    <n v="53"/>
    <m/>
    <n v="0"/>
    <n v="0"/>
    <n v="53"/>
    <m/>
    <n v="0"/>
    <m/>
    <n v="53"/>
    <m/>
    <n v="0"/>
    <n v="0"/>
    <n v="0"/>
    <n v="0"/>
  </r>
  <r>
    <x v="0"/>
    <x v="1"/>
    <x v="0"/>
    <x v="42"/>
    <x v="122"/>
    <x v="223"/>
    <n v="27"/>
    <m/>
    <n v="0"/>
    <m/>
    <n v="27"/>
    <m/>
    <n v="0"/>
    <n v="0"/>
    <n v="27"/>
    <m/>
    <n v="0"/>
    <m/>
    <n v="27"/>
    <m/>
    <n v="0"/>
    <n v="0"/>
    <n v="0"/>
    <n v="0"/>
  </r>
  <r>
    <x v="0"/>
    <x v="1"/>
    <x v="0"/>
    <x v="42"/>
    <x v="123"/>
    <x v="224"/>
    <n v="0"/>
    <m/>
    <n v="0"/>
    <m/>
    <n v="0"/>
    <m/>
    <n v="0"/>
    <n v="0"/>
    <n v="0"/>
    <m/>
    <n v="0"/>
    <m/>
    <n v="0"/>
    <m/>
    <n v="0"/>
    <n v="0"/>
    <n v="0"/>
    <n v="0"/>
  </r>
  <r>
    <x v="0"/>
    <x v="1"/>
    <x v="0"/>
    <x v="42"/>
    <x v="124"/>
    <x v="225"/>
    <n v="13.5"/>
    <m/>
    <n v="0"/>
    <m/>
    <n v="13.5"/>
    <m/>
    <n v="0"/>
    <n v="0"/>
    <n v="13.5"/>
    <m/>
    <n v="0"/>
    <m/>
    <n v="13.5"/>
    <m/>
    <n v="0"/>
    <n v="0"/>
    <n v="0"/>
    <n v="0"/>
  </r>
  <r>
    <x v="0"/>
    <x v="1"/>
    <x v="0"/>
    <x v="42"/>
    <x v="125"/>
    <x v="226"/>
    <n v="0"/>
    <m/>
    <n v="0"/>
    <m/>
    <n v="0"/>
    <m/>
    <n v="0"/>
    <n v="0"/>
    <n v="0"/>
    <m/>
    <n v="0"/>
    <m/>
    <n v="0"/>
    <m/>
    <n v="0"/>
    <n v="0"/>
    <n v="0"/>
    <n v="0"/>
  </r>
  <r>
    <x v="0"/>
    <x v="1"/>
    <x v="0"/>
    <x v="42"/>
    <x v="126"/>
    <x v="227"/>
    <n v="150"/>
    <m/>
    <n v="0"/>
    <m/>
    <n v="150"/>
    <m/>
    <n v="0"/>
    <n v="0"/>
    <n v="150"/>
    <m/>
    <n v="0"/>
    <m/>
    <n v="150"/>
    <m/>
    <n v="0"/>
    <n v="0"/>
    <n v="0"/>
    <n v="0"/>
  </r>
  <r>
    <x v="0"/>
    <x v="1"/>
    <x v="0"/>
    <x v="42"/>
    <x v="127"/>
    <x v="228"/>
    <n v="74"/>
    <m/>
    <n v="0"/>
    <m/>
    <n v="74"/>
    <m/>
    <n v="0"/>
    <n v="0"/>
    <n v="74"/>
    <m/>
    <n v="0"/>
    <m/>
    <n v="74"/>
    <m/>
    <n v="0"/>
    <n v="0"/>
    <n v="0"/>
    <n v="0"/>
  </r>
  <r>
    <x v="0"/>
    <x v="1"/>
    <x v="0"/>
    <x v="42"/>
    <x v="128"/>
    <x v="229"/>
    <n v="0"/>
    <m/>
    <n v="0"/>
    <m/>
    <n v="0"/>
    <m/>
    <n v="0"/>
    <n v="0"/>
    <n v="0"/>
    <m/>
    <n v="0"/>
    <m/>
    <n v="0"/>
    <m/>
    <n v="0"/>
    <n v="0"/>
    <n v="0"/>
    <n v="0"/>
  </r>
  <r>
    <x v="0"/>
    <x v="1"/>
    <x v="0"/>
    <x v="42"/>
    <x v="129"/>
    <x v="230"/>
    <n v="27.5"/>
    <m/>
    <n v="0"/>
    <m/>
    <n v="27.5"/>
    <m/>
    <n v="0"/>
    <n v="0"/>
    <n v="27.5"/>
    <m/>
    <n v="0"/>
    <m/>
    <n v="27.5"/>
    <m/>
    <n v="0"/>
    <n v="0"/>
    <n v="0"/>
    <n v="0"/>
  </r>
  <r>
    <x v="0"/>
    <x v="1"/>
    <x v="0"/>
    <x v="43"/>
    <x v="130"/>
    <x v="231"/>
    <n v="55"/>
    <m/>
    <n v="0"/>
    <m/>
    <n v="55"/>
    <m/>
    <n v="0"/>
    <n v="0"/>
    <n v="55"/>
    <m/>
    <n v="0"/>
    <m/>
    <n v="55"/>
    <m/>
    <n v="0"/>
    <n v="0"/>
    <n v="0"/>
    <n v="0"/>
  </r>
  <r>
    <x v="0"/>
    <x v="0"/>
    <x v="0"/>
    <x v="44"/>
    <x v="131"/>
    <x v="232"/>
    <n v="13"/>
    <m/>
    <n v="0"/>
    <m/>
    <n v="13"/>
    <m/>
    <n v="0"/>
    <n v="0"/>
    <n v="13"/>
    <m/>
    <n v="0"/>
    <m/>
    <n v="13"/>
    <m/>
    <n v="0"/>
    <n v="0"/>
    <n v="0"/>
    <n v="0"/>
  </r>
  <r>
    <x v="0"/>
    <x v="1"/>
    <x v="1"/>
    <x v="42"/>
    <x v="132"/>
    <x v="233"/>
    <n v="3.5"/>
    <m/>
    <n v="0"/>
    <m/>
    <n v="3.5"/>
    <m/>
    <n v="0"/>
    <n v="0"/>
    <n v="3.5"/>
    <m/>
    <n v="0"/>
    <m/>
    <n v="3.5"/>
    <m/>
    <n v="0"/>
    <n v="0"/>
    <n v="0"/>
    <n v="0"/>
  </r>
  <r>
    <x v="0"/>
    <x v="1"/>
    <x v="1"/>
    <x v="42"/>
    <x v="133"/>
    <x v="234"/>
    <n v="0"/>
    <m/>
    <n v="0"/>
    <m/>
    <n v="0"/>
    <m/>
    <n v="0"/>
    <n v="0"/>
    <n v="0"/>
    <m/>
    <n v="0"/>
    <m/>
    <n v="0"/>
    <m/>
    <n v="0"/>
    <n v="0"/>
    <n v="0"/>
    <n v="0"/>
  </r>
  <r>
    <x v="0"/>
    <x v="1"/>
    <x v="1"/>
    <x v="42"/>
    <x v="134"/>
    <x v="235"/>
    <n v="0"/>
    <m/>
    <n v="0"/>
    <m/>
    <n v="0"/>
    <m/>
    <n v="0"/>
    <n v="0"/>
    <n v="0"/>
    <m/>
    <n v="0"/>
    <m/>
    <n v="0"/>
    <m/>
    <n v="0"/>
    <n v="0"/>
    <n v="0"/>
    <n v="0"/>
  </r>
  <r>
    <x v="0"/>
    <x v="1"/>
    <x v="1"/>
    <x v="42"/>
    <x v="135"/>
    <x v="236"/>
    <n v="2"/>
    <m/>
    <n v="0"/>
    <m/>
    <n v="2"/>
    <m/>
    <n v="0"/>
    <n v="0"/>
    <n v="2"/>
    <m/>
    <n v="0"/>
    <m/>
    <n v="2"/>
    <m/>
    <n v="0"/>
    <n v="0"/>
    <n v="0"/>
    <n v="0"/>
  </r>
  <r>
    <x v="0"/>
    <x v="1"/>
    <x v="1"/>
    <x v="42"/>
    <x v="136"/>
    <x v="237"/>
    <n v="0"/>
    <m/>
    <n v="0"/>
    <m/>
    <n v="0"/>
    <m/>
    <n v="0"/>
    <n v="0"/>
    <n v="0"/>
    <m/>
    <n v="0"/>
    <m/>
    <n v="0"/>
    <m/>
    <n v="0"/>
    <n v="0"/>
    <n v="0"/>
    <n v="0"/>
  </r>
  <r>
    <x v="0"/>
    <x v="1"/>
    <x v="1"/>
    <x v="42"/>
    <x v="137"/>
    <x v="238"/>
    <n v="27.5"/>
    <m/>
    <n v="0"/>
    <m/>
    <n v="27.5"/>
    <m/>
    <n v="0"/>
    <n v="0"/>
    <n v="27.5"/>
    <m/>
    <n v="0"/>
    <m/>
    <n v="27.5"/>
    <m/>
    <n v="0"/>
    <n v="0"/>
    <n v="0"/>
    <n v="0"/>
  </r>
  <r>
    <x v="0"/>
    <x v="1"/>
    <x v="1"/>
    <x v="42"/>
    <x v="138"/>
    <x v="239"/>
    <n v="20"/>
    <m/>
    <n v="0"/>
    <m/>
    <n v="20"/>
    <m/>
    <n v="0"/>
    <n v="0"/>
    <n v="20"/>
    <m/>
    <n v="0"/>
    <m/>
    <n v="20"/>
    <m/>
    <n v="0"/>
    <n v="0"/>
    <n v="0"/>
    <n v="0"/>
  </r>
  <r>
    <x v="0"/>
    <x v="1"/>
    <x v="1"/>
    <x v="42"/>
    <x v="139"/>
    <x v="240"/>
    <n v="0"/>
    <m/>
    <n v="0"/>
    <m/>
    <n v="0"/>
    <m/>
    <n v="0"/>
    <n v="0"/>
    <n v="0"/>
    <m/>
    <n v="0"/>
    <m/>
    <n v="0"/>
    <m/>
    <n v="0"/>
    <n v="0"/>
    <n v="0"/>
    <n v="0"/>
  </r>
  <r>
    <x v="0"/>
    <x v="1"/>
    <x v="1"/>
    <x v="42"/>
    <x v="140"/>
    <x v="241"/>
    <n v="0"/>
    <m/>
    <n v="0"/>
    <m/>
    <n v="0"/>
    <m/>
    <n v="0"/>
    <n v="0"/>
    <n v="0"/>
    <m/>
    <n v="0"/>
    <m/>
    <n v="0"/>
    <m/>
    <n v="0"/>
    <n v="0"/>
    <n v="0"/>
    <n v="0"/>
  </r>
  <r>
    <x v="0"/>
    <x v="1"/>
    <x v="1"/>
    <x v="42"/>
    <x v="141"/>
    <x v="242"/>
    <n v="0"/>
    <m/>
    <n v="0"/>
    <m/>
    <n v="0"/>
    <m/>
    <n v="0"/>
    <n v="0"/>
    <n v="0"/>
    <m/>
    <n v="0"/>
    <m/>
    <n v="0"/>
    <m/>
    <n v="0"/>
    <n v="0"/>
    <n v="0"/>
    <n v="0"/>
  </r>
  <r>
    <x v="0"/>
    <x v="1"/>
    <x v="1"/>
    <x v="42"/>
    <x v="142"/>
    <x v="243"/>
    <n v="5.3"/>
    <m/>
    <n v="0"/>
    <m/>
    <n v="5.3"/>
    <m/>
    <n v="0"/>
    <n v="0"/>
    <n v="5.3"/>
    <m/>
    <n v="0"/>
    <m/>
    <n v="5.3"/>
    <m/>
    <n v="0"/>
    <n v="0"/>
    <n v="0"/>
    <n v="0"/>
  </r>
  <r>
    <x v="0"/>
    <x v="1"/>
    <x v="1"/>
    <x v="42"/>
    <x v="143"/>
    <x v="244"/>
    <n v="0"/>
    <m/>
    <n v="0"/>
    <m/>
    <n v="0"/>
    <m/>
    <n v="0"/>
    <n v="0"/>
    <n v="0"/>
    <m/>
    <n v="0"/>
    <m/>
    <n v="0"/>
    <m/>
    <n v="0"/>
    <n v="0"/>
    <n v="0"/>
    <n v="0"/>
  </r>
  <r>
    <x v="0"/>
    <x v="1"/>
    <x v="1"/>
    <x v="42"/>
    <x v="144"/>
    <x v="245"/>
    <n v="0"/>
    <m/>
    <n v="0"/>
    <m/>
    <n v="0"/>
    <m/>
    <n v="0"/>
    <n v="0"/>
    <n v="0"/>
    <m/>
    <n v="0"/>
    <m/>
    <n v="0"/>
    <m/>
    <n v="0"/>
    <n v="0"/>
    <n v="0"/>
    <n v="0"/>
  </r>
  <r>
    <x v="0"/>
    <x v="1"/>
    <x v="1"/>
    <x v="42"/>
    <x v="145"/>
    <x v="246"/>
    <n v="120"/>
    <m/>
    <n v="0"/>
    <m/>
    <n v="120"/>
    <m/>
    <n v="0"/>
    <n v="0"/>
    <n v="120"/>
    <m/>
    <n v="0"/>
    <m/>
    <n v="120"/>
    <m/>
    <n v="0"/>
    <n v="0"/>
    <n v="0"/>
    <n v="0"/>
  </r>
  <r>
    <x v="0"/>
    <x v="1"/>
    <x v="1"/>
    <x v="42"/>
    <x v="146"/>
    <x v="247"/>
    <n v="16.5"/>
    <m/>
    <n v="0"/>
    <m/>
    <n v="16.5"/>
    <m/>
    <n v="0"/>
    <n v="0"/>
    <n v="16.5"/>
    <m/>
    <n v="0"/>
    <m/>
    <n v="16.5"/>
    <m/>
    <n v="0"/>
    <n v="0"/>
    <n v="0"/>
    <n v="0"/>
  </r>
  <r>
    <x v="0"/>
    <x v="1"/>
    <x v="1"/>
    <x v="42"/>
    <x v="147"/>
    <x v="248"/>
    <n v="0"/>
    <m/>
    <n v="0"/>
    <m/>
    <n v="0"/>
    <m/>
    <n v="0"/>
    <n v="0"/>
    <n v="0"/>
    <m/>
    <n v="0"/>
    <m/>
    <n v="0"/>
    <m/>
    <n v="0"/>
    <n v="0"/>
    <n v="0"/>
    <n v="0"/>
  </r>
  <r>
    <x v="1"/>
    <x v="1"/>
    <x v="0"/>
    <x v="42"/>
    <x v="115"/>
    <x v="216"/>
    <n v="3.5"/>
    <m/>
    <n v="0"/>
    <m/>
    <n v="3.5"/>
    <m/>
    <n v="0"/>
    <n v="0"/>
    <n v="3.5"/>
    <m/>
    <n v="0"/>
    <m/>
    <n v="3.5"/>
    <m/>
    <n v="0"/>
    <n v="0"/>
    <n v="0"/>
    <n v="0"/>
  </r>
  <r>
    <x v="1"/>
    <x v="1"/>
    <x v="0"/>
    <x v="42"/>
    <x v="116"/>
    <x v="217"/>
    <n v="0"/>
    <m/>
    <n v="0"/>
    <m/>
    <n v="0"/>
    <m/>
    <n v="0"/>
    <n v="0"/>
    <n v="0"/>
    <m/>
    <n v="0"/>
    <m/>
    <n v="0"/>
    <m/>
    <n v="0"/>
    <n v="0"/>
    <n v="0"/>
    <n v="0"/>
  </r>
  <r>
    <x v="1"/>
    <x v="1"/>
    <x v="0"/>
    <x v="42"/>
    <x v="117"/>
    <x v="218"/>
    <n v="51"/>
    <m/>
    <n v="0"/>
    <m/>
    <n v="51"/>
    <m/>
    <n v="0"/>
    <n v="0"/>
    <n v="51"/>
    <m/>
    <n v="0"/>
    <m/>
    <n v="51"/>
    <m/>
    <n v="0"/>
    <n v="0"/>
    <n v="0"/>
    <n v="0"/>
  </r>
  <r>
    <x v="1"/>
    <x v="1"/>
    <x v="0"/>
    <x v="42"/>
    <x v="118"/>
    <x v="219"/>
    <n v="90"/>
    <m/>
    <n v="0"/>
    <m/>
    <n v="90"/>
    <m/>
    <n v="0"/>
    <n v="0"/>
    <n v="90"/>
    <m/>
    <n v="0"/>
    <m/>
    <n v="90"/>
    <m/>
    <n v="0"/>
    <n v="0"/>
    <n v="0"/>
    <n v="0"/>
  </r>
  <r>
    <x v="1"/>
    <x v="1"/>
    <x v="0"/>
    <x v="42"/>
    <x v="119"/>
    <x v="220"/>
    <n v="0"/>
    <m/>
    <n v="0"/>
    <m/>
    <n v="0"/>
    <m/>
    <n v="0"/>
    <n v="0"/>
    <n v="0"/>
    <m/>
    <n v="0"/>
    <m/>
    <n v="0"/>
    <m/>
    <n v="0"/>
    <n v="0"/>
    <n v="0"/>
    <n v="0"/>
  </r>
  <r>
    <x v="1"/>
    <x v="1"/>
    <x v="0"/>
    <x v="42"/>
    <x v="120"/>
    <x v="221"/>
    <n v="2.1"/>
    <m/>
    <n v="0"/>
    <m/>
    <n v="2.1"/>
    <m/>
    <n v="0"/>
    <n v="0"/>
    <n v="2.1"/>
    <m/>
    <n v="0"/>
    <m/>
    <n v="2.1"/>
    <m/>
    <n v="0"/>
    <n v="0"/>
    <n v="0"/>
    <n v="0"/>
  </r>
  <r>
    <x v="1"/>
    <x v="1"/>
    <x v="0"/>
    <x v="42"/>
    <x v="121"/>
    <x v="222"/>
    <n v="53"/>
    <m/>
    <n v="0"/>
    <m/>
    <n v="53"/>
    <m/>
    <n v="0"/>
    <n v="0"/>
    <n v="53"/>
    <m/>
    <n v="0"/>
    <m/>
    <n v="53"/>
    <m/>
    <n v="0"/>
    <n v="0"/>
    <n v="0"/>
    <n v="0"/>
  </r>
  <r>
    <x v="1"/>
    <x v="1"/>
    <x v="0"/>
    <x v="42"/>
    <x v="122"/>
    <x v="223"/>
    <n v="27"/>
    <m/>
    <n v="0"/>
    <m/>
    <n v="27"/>
    <m/>
    <n v="0"/>
    <n v="0"/>
    <n v="27"/>
    <m/>
    <n v="0"/>
    <m/>
    <n v="27"/>
    <m/>
    <n v="0"/>
    <n v="0"/>
    <n v="0"/>
    <n v="0"/>
  </r>
  <r>
    <x v="1"/>
    <x v="1"/>
    <x v="0"/>
    <x v="42"/>
    <x v="123"/>
    <x v="224"/>
    <n v="0"/>
    <m/>
    <n v="0"/>
    <m/>
    <n v="0"/>
    <m/>
    <n v="0"/>
    <n v="0"/>
    <n v="0"/>
    <m/>
    <n v="0"/>
    <m/>
    <n v="0"/>
    <m/>
    <n v="0"/>
    <n v="0"/>
    <n v="0"/>
    <n v="0"/>
  </r>
  <r>
    <x v="1"/>
    <x v="1"/>
    <x v="0"/>
    <x v="42"/>
    <x v="124"/>
    <x v="225"/>
    <n v="13.5"/>
    <m/>
    <n v="0"/>
    <m/>
    <n v="13.5"/>
    <m/>
    <n v="0"/>
    <n v="0"/>
    <n v="13.5"/>
    <m/>
    <n v="0"/>
    <m/>
    <n v="13.5"/>
    <m/>
    <n v="0"/>
    <n v="0"/>
    <n v="0"/>
    <n v="0"/>
  </r>
  <r>
    <x v="1"/>
    <x v="1"/>
    <x v="0"/>
    <x v="42"/>
    <x v="125"/>
    <x v="226"/>
    <n v="0"/>
    <m/>
    <n v="0"/>
    <m/>
    <n v="0"/>
    <m/>
    <n v="0"/>
    <n v="0"/>
    <n v="0"/>
    <m/>
    <n v="0"/>
    <m/>
    <n v="0"/>
    <m/>
    <n v="0"/>
    <n v="0"/>
    <n v="0"/>
    <n v="0"/>
  </r>
  <r>
    <x v="1"/>
    <x v="1"/>
    <x v="0"/>
    <x v="42"/>
    <x v="126"/>
    <x v="227"/>
    <n v="150"/>
    <m/>
    <n v="0"/>
    <m/>
    <n v="150"/>
    <m/>
    <n v="0"/>
    <n v="0"/>
    <n v="150"/>
    <m/>
    <n v="0"/>
    <m/>
    <n v="150"/>
    <m/>
    <n v="0"/>
    <n v="0"/>
    <n v="0"/>
    <n v="0"/>
  </r>
  <r>
    <x v="1"/>
    <x v="1"/>
    <x v="0"/>
    <x v="42"/>
    <x v="127"/>
    <x v="228"/>
    <n v="74"/>
    <m/>
    <n v="0"/>
    <m/>
    <n v="74"/>
    <m/>
    <n v="0"/>
    <n v="0"/>
    <n v="74"/>
    <m/>
    <n v="0"/>
    <m/>
    <n v="74"/>
    <m/>
    <n v="0"/>
    <n v="0"/>
    <n v="0"/>
    <n v="0"/>
  </r>
  <r>
    <x v="1"/>
    <x v="1"/>
    <x v="0"/>
    <x v="42"/>
    <x v="128"/>
    <x v="229"/>
    <n v="0"/>
    <m/>
    <n v="0"/>
    <m/>
    <n v="0"/>
    <m/>
    <n v="0"/>
    <n v="0"/>
    <n v="0"/>
    <m/>
    <n v="0"/>
    <m/>
    <n v="0"/>
    <m/>
    <n v="0"/>
    <n v="0"/>
    <n v="0"/>
    <n v="0"/>
  </r>
  <r>
    <x v="1"/>
    <x v="1"/>
    <x v="0"/>
    <x v="42"/>
    <x v="129"/>
    <x v="230"/>
    <n v="27.5"/>
    <m/>
    <n v="0"/>
    <m/>
    <n v="27.5"/>
    <m/>
    <n v="0"/>
    <n v="0"/>
    <n v="27.5"/>
    <m/>
    <n v="0"/>
    <m/>
    <n v="27.5"/>
    <m/>
    <n v="0"/>
    <n v="0"/>
    <n v="0"/>
    <n v="0"/>
  </r>
  <r>
    <x v="1"/>
    <x v="1"/>
    <x v="0"/>
    <x v="43"/>
    <x v="130"/>
    <x v="231"/>
    <n v="55"/>
    <m/>
    <n v="0"/>
    <m/>
    <n v="55"/>
    <m/>
    <n v="0"/>
    <n v="0"/>
    <n v="55"/>
    <m/>
    <n v="0"/>
    <m/>
    <n v="55"/>
    <m/>
    <n v="0"/>
    <n v="0"/>
    <n v="0"/>
    <n v="0"/>
  </r>
  <r>
    <x v="1"/>
    <x v="0"/>
    <x v="0"/>
    <x v="44"/>
    <x v="131"/>
    <x v="232"/>
    <n v="13"/>
    <m/>
    <n v="0"/>
    <m/>
    <n v="13"/>
    <m/>
    <n v="0"/>
    <n v="0"/>
    <n v="13"/>
    <m/>
    <n v="0"/>
    <m/>
    <n v="13"/>
    <m/>
    <n v="0"/>
    <n v="0"/>
    <n v="0"/>
    <n v="0"/>
  </r>
  <r>
    <x v="1"/>
    <x v="1"/>
    <x v="1"/>
    <x v="42"/>
    <x v="132"/>
    <x v="233"/>
    <n v="3.5"/>
    <m/>
    <n v="0"/>
    <m/>
    <n v="3.5"/>
    <m/>
    <n v="0"/>
    <n v="0"/>
    <n v="3.5"/>
    <m/>
    <n v="0"/>
    <m/>
    <n v="3.5"/>
    <m/>
    <n v="0"/>
    <n v="0"/>
    <n v="0"/>
    <n v="0"/>
  </r>
  <r>
    <x v="1"/>
    <x v="1"/>
    <x v="1"/>
    <x v="42"/>
    <x v="133"/>
    <x v="234"/>
    <n v="0"/>
    <m/>
    <n v="0"/>
    <m/>
    <n v="0"/>
    <m/>
    <n v="0"/>
    <n v="0"/>
    <n v="0"/>
    <m/>
    <n v="0"/>
    <m/>
    <n v="0"/>
    <m/>
    <n v="0"/>
    <n v="0"/>
    <n v="0"/>
    <n v="0"/>
  </r>
  <r>
    <x v="1"/>
    <x v="1"/>
    <x v="1"/>
    <x v="42"/>
    <x v="134"/>
    <x v="235"/>
    <n v="0"/>
    <m/>
    <n v="0"/>
    <m/>
    <n v="0"/>
    <m/>
    <n v="0"/>
    <n v="0"/>
    <n v="0"/>
    <m/>
    <n v="0"/>
    <m/>
    <n v="0"/>
    <m/>
    <n v="0"/>
    <n v="0"/>
    <n v="0"/>
    <n v="0"/>
  </r>
  <r>
    <x v="1"/>
    <x v="1"/>
    <x v="1"/>
    <x v="42"/>
    <x v="135"/>
    <x v="236"/>
    <n v="2"/>
    <m/>
    <n v="0"/>
    <m/>
    <n v="2"/>
    <m/>
    <n v="0"/>
    <n v="0"/>
    <n v="2"/>
    <m/>
    <n v="0"/>
    <m/>
    <n v="2"/>
    <m/>
    <n v="0"/>
    <n v="0"/>
    <n v="0"/>
    <n v="0"/>
  </r>
  <r>
    <x v="1"/>
    <x v="1"/>
    <x v="1"/>
    <x v="42"/>
    <x v="136"/>
    <x v="237"/>
    <n v="0"/>
    <m/>
    <n v="0"/>
    <m/>
    <n v="0"/>
    <m/>
    <n v="0"/>
    <n v="0"/>
    <n v="0"/>
    <m/>
    <n v="0"/>
    <m/>
    <n v="0"/>
    <m/>
    <n v="0"/>
    <n v="0"/>
    <n v="0"/>
    <n v="0"/>
  </r>
  <r>
    <x v="1"/>
    <x v="1"/>
    <x v="1"/>
    <x v="42"/>
    <x v="137"/>
    <x v="238"/>
    <n v="27.5"/>
    <m/>
    <n v="0"/>
    <m/>
    <n v="27.5"/>
    <m/>
    <n v="0"/>
    <n v="0"/>
    <n v="27.5"/>
    <m/>
    <n v="0"/>
    <m/>
    <n v="27.5"/>
    <m/>
    <n v="0"/>
    <n v="0"/>
    <n v="0"/>
    <n v="0"/>
  </r>
  <r>
    <x v="1"/>
    <x v="1"/>
    <x v="1"/>
    <x v="42"/>
    <x v="138"/>
    <x v="239"/>
    <n v="20"/>
    <m/>
    <n v="0"/>
    <m/>
    <n v="20"/>
    <m/>
    <n v="0"/>
    <n v="0"/>
    <n v="20"/>
    <m/>
    <n v="0"/>
    <m/>
    <n v="20"/>
    <m/>
    <n v="0"/>
    <n v="0"/>
    <n v="0"/>
    <n v="0"/>
  </r>
  <r>
    <x v="1"/>
    <x v="1"/>
    <x v="1"/>
    <x v="42"/>
    <x v="139"/>
    <x v="240"/>
    <n v="0"/>
    <m/>
    <n v="0"/>
    <m/>
    <n v="0"/>
    <m/>
    <n v="0"/>
    <n v="0"/>
    <n v="0"/>
    <m/>
    <n v="0"/>
    <m/>
    <n v="0"/>
    <m/>
    <n v="0"/>
    <n v="0"/>
    <n v="0"/>
    <n v="0"/>
  </r>
  <r>
    <x v="1"/>
    <x v="1"/>
    <x v="1"/>
    <x v="42"/>
    <x v="140"/>
    <x v="241"/>
    <n v="0"/>
    <m/>
    <n v="0"/>
    <m/>
    <n v="0"/>
    <m/>
    <n v="0"/>
    <n v="0"/>
    <n v="0"/>
    <m/>
    <n v="0"/>
    <m/>
    <n v="0"/>
    <m/>
    <n v="0"/>
    <n v="0"/>
    <n v="0"/>
    <n v="0"/>
  </r>
  <r>
    <x v="1"/>
    <x v="1"/>
    <x v="1"/>
    <x v="42"/>
    <x v="141"/>
    <x v="242"/>
    <n v="0"/>
    <m/>
    <n v="0"/>
    <m/>
    <n v="0"/>
    <m/>
    <n v="0"/>
    <n v="0"/>
    <n v="0"/>
    <m/>
    <n v="0"/>
    <m/>
    <n v="0"/>
    <m/>
    <n v="0"/>
    <n v="0"/>
    <n v="0"/>
    <n v="0"/>
  </r>
  <r>
    <x v="1"/>
    <x v="1"/>
    <x v="1"/>
    <x v="42"/>
    <x v="142"/>
    <x v="243"/>
    <n v="5.3"/>
    <m/>
    <n v="0"/>
    <m/>
    <n v="5.3"/>
    <m/>
    <n v="0"/>
    <n v="0"/>
    <n v="5.3"/>
    <m/>
    <n v="0"/>
    <m/>
    <n v="5.3"/>
    <m/>
    <n v="0"/>
    <n v="0"/>
    <n v="0"/>
    <n v="0"/>
  </r>
  <r>
    <x v="1"/>
    <x v="1"/>
    <x v="1"/>
    <x v="42"/>
    <x v="143"/>
    <x v="244"/>
    <n v="0"/>
    <m/>
    <n v="0"/>
    <m/>
    <n v="0"/>
    <m/>
    <n v="0"/>
    <n v="0"/>
    <n v="0"/>
    <m/>
    <n v="0"/>
    <m/>
    <n v="0"/>
    <m/>
    <n v="0"/>
    <n v="0"/>
    <n v="0"/>
    <n v="0"/>
  </r>
  <r>
    <x v="1"/>
    <x v="1"/>
    <x v="1"/>
    <x v="42"/>
    <x v="144"/>
    <x v="245"/>
    <n v="0"/>
    <m/>
    <n v="0"/>
    <m/>
    <n v="0"/>
    <m/>
    <n v="0"/>
    <n v="0"/>
    <n v="0"/>
    <m/>
    <n v="0"/>
    <m/>
    <n v="0"/>
    <m/>
    <n v="0"/>
    <n v="0"/>
    <n v="0"/>
    <n v="0"/>
  </r>
  <r>
    <x v="1"/>
    <x v="1"/>
    <x v="1"/>
    <x v="42"/>
    <x v="145"/>
    <x v="246"/>
    <n v="120"/>
    <m/>
    <n v="0"/>
    <m/>
    <n v="120"/>
    <m/>
    <n v="0"/>
    <n v="0"/>
    <n v="120"/>
    <m/>
    <n v="0"/>
    <m/>
    <n v="120"/>
    <m/>
    <n v="0"/>
    <n v="0"/>
    <n v="0"/>
    <n v="0"/>
  </r>
  <r>
    <x v="1"/>
    <x v="1"/>
    <x v="1"/>
    <x v="42"/>
    <x v="146"/>
    <x v="247"/>
    <n v="16.5"/>
    <m/>
    <n v="0"/>
    <m/>
    <n v="16.5"/>
    <m/>
    <n v="0"/>
    <n v="0"/>
    <n v="16.5"/>
    <m/>
    <n v="0"/>
    <m/>
    <n v="16.5"/>
    <m/>
    <n v="0"/>
    <n v="0"/>
    <n v="0"/>
    <n v="0"/>
  </r>
  <r>
    <x v="1"/>
    <x v="1"/>
    <x v="1"/>
    <x v="42"/>
    <x v="147"/>
    <x v="248"/>
    <n v="0"/>
    <m/>
    <n v="0"/>
    <m/>
    <n v="0"/>
    <m/>
    <n v="0"/>
    <n v="0"/>
    <n v="0"/>
    <m/>
    <n v="0"/>
    <m/>
    <n v="0"/>
    <m/>
    <n v="0"/>
    <n v="0"/>
    <n v="0"/>
    <n v="0"/>
  </r>
  <r>
    <x v="2"/>
    <x v="1"/>
    <x v="0"/>
    <x v="42"/>
    <x v="115"/>
    <x v="216"/>
    <n v="3.5"/>
    <m/>
    <n v="0"/>
    <m/>
    <n v="3.5"/>
    <m/>
    <n v="0"/>
    <n v="0"/>
    <n v="3.5"/>
    <m/>
    <n v="0"/>
    <m/>
    <n v="3.5"/>
    <m/>
    <n v="0"/>
    <n v="0"/>
    <n v="0"/>
    <n v="0"/>
  </r>
  <r>
    <x v="2"/>
    <x v="1"/>
    <x v="0"/>
    <x v="42"/>
    <x v="116"/>
    <x v="217"/>
    <n v="0"/>
    <m/>
    <n v="0"/>
    <m/>
    <n v="0"/>
    <m/>
    <n v="0"/>
    <n v="0"/>
    <n v="0"/>
    <m/>
    <n v="0"/>
    <m/>
    <n v="0"/>
    <m/>
    <n v="0"/>
    <n v="0"/>
    <n v="0"/>
    <n v="0"/>
  </r>
  <r>
    <x v="2"/>
    <x v="1"/>
    <x v="0"/>
    <x v="42"/>
    <x v="117"/>
    <x v="218"/>
    <n v="51"/>
    <m/>
    <n v="0"/>
    <m/>
    <n v="51"/>
    <m/>
    <n v="0"/>
    <n v="0"/>
    <n v="51"/>
    <m/>
    <n v="0"/>
    <m/>
    <n v="51"/>
    <m/>
    <n v="0"/>
    <n v="0"/>
    <n v="0"/>
    <n v="0"/>
  </r>
  <r>
    <x v="2"/>
    <x v="1"/>
    <x v="0"/>
    <x v="42"/>
    <x v="118"/>
    <x v="219"/>
    <n v="90"/>
    <m/>
    <n v="0"/>
    <m/>
    <n v="90"/>
    <m/>
    <n v="0"/>
    <n v="0"/>
    <n v="90"/>
    <m/>
    <n v="0"/>
    <m/>
    <n v="90"/>
    <m/>
    <n v="0"/>
    <n v="0"/>
    <n v="0"/>
    <n v="0"/>
  </r>
  <r>
    <x v="2"/>
    <x v="1"/>
    <x v="0"/>
    <x v="42"/>
    <x v="119"/>
    <x v="220"/>
    <n v="0"/>
    <m/>
    <n v="0"/>
    <m/>
    <n v="0"/>
    <m/>
    <n v="0"/>
    <n v="0"/>
    <n v="0"/>
    <m/>
    <n v="0"/>
    <m/>
    <n v="0"/>
    <m/>
    <n v="0"/>
    <n v="0"/>
    <n v="0"/>
    <n v="0"/>
  </r>
  <r>
    <x v="2"/>
    <x v="1"/>
    <x v="0"/>
    <x v="42"/>
    <x v="120"/>
    <x v="221"/>
    <n v="2.1"/>
    <m/>
    <n v="0"/>
    <m/>
    <n v="2.1"/>
    <m/>
    <n v="0"/>
    <n v="0"/>
    <n v="2.1"/>
    <m/>
    <n v="0"/>
    <m/>
    <n v="2.1"/>
    <m/>
    <n v="0"/>
    <n v="0"/>
    <n v="0"/>
    <n v="0"/>
  </r>
  <r>
    <x v="2"/>
    <x v="1"/>
    <x v="0"/>
    <x v="42"/>
    <x v="121"/>
    <x v="222"/>
    <n v="53"/>
    <m/>
    <n v="0"/>
    <m/>
    <n v="53"/>
    <m/>
    <n v="0"/>
    <n v="0"/>
    <n v="53"/>
    <m/>
    <n v="0"/>
    <m/>
    <n v="53"/>
    <m/>
    <n v="0"/>
    <n v="0"/>
    <n v="0"/>
    <n v="0"/>
  </r>
  <r>
    <x v="2"/>
    <x v="1"/>
    <x v="0"/>
    <x v="42"/>
    <x v="122"/>
    <x v="223"/>
    <n v="27"/>
    <m/>
    <n v="0"/>
    <m/>
    <n v="27"/>
    <m/>
    <n v="0"/>
    <n v="0"/>
    <n v="27"/>
    <m/>
    <n v="0"/>
    <m/>
    <n v="27"/>
    <m/>
    <n v="0"/>
    <n v="0"/>
    <n v="0"/>
    <n v="0"/>
  </r>
  <r>
    <x v="2"/>
    <x v="1"/>
    <x v="0"/>
    <x v="42"/>
    <x v="123"/>
    <x v="224"/>
    <n v="0"/>
    <m/>
    <n v="0"/>
    <m/>
    <n v="0"/>
    <m/>
    <n v="0"/>
    <n v="0"/>
    <n v="0"/>
    <m/>
    <n v="0"/>
    <m/>
    <n v="0"/>
    <m/>
    <n v="0"/>
    <n v="0"/>
    <n v="0"/>
    <n v="0"/>
  </r>
  <r>
    <x v="2"/>
    <x v="1"/>
    <x v="0"/>
    <x v="42"/>
    <x v="124"/>
    <x v="225"/>
    <n v="13.5"/>
    <m/>
    <n v="0"/>
    <m/>
    <n v="13.5"/>
    <m/>
    <n v="0"/>
    <n v="0"/>
    <n v="13.5"/>
    <m/>
    <n v="0"/>
    <m/>
    <n v="13.5"/>
    <m/>
    <n v="0"/>
    <n v="0"/>
    <n v="0"/>
    <n v="0"/>
  </r>
  <r>
    <x v="2"/>
    <x v="1"/>
    <x v="0"/>
    <x v="42"/>
    <x v="125"/>
    <x v="226"/>
    <n v="0"/>
    <m/>
    <n v="0"/>
    <m/>
    <n v="0"/>
    <m/>
    <n v="0"/>
    <n v="0"/>
    <n v="0"/>
    <m/>
    <n v="0"/>
    <m/>
    <n v="0"/>
    <m/>
    <n v="0"/>
    <n v="0"/>
    <n v="0"/>
    <n v="0"/>
  </r>
  <r>
    <x v="2"/>
    <x v="1"/>
    <x v="0"/>
    <x v="42"/>
    <x v="126"/>
    <x v="227"/>
    <n v="150"/>
    <m/>
    <n v="0"/>
    <m/>
    <n v="150"/>
    <m/>
    <n v="0"/>
    <n v="0"/>
    <n v="150"/>
    <m/>
    <n v="0"/>
    <m/>
    <n v="150"/>
    <m/>
    <n v="0"/>
    <n v="0"/>
    <n v="0"/>
    <n v="0"/>
  </r>
  <r>
    <x v="2"/>
    <x v="1"/>
    <x v="0"/>
    <x v="42"/>
    <x v="127"/>
    <x v="228"/>
    <n v="74"/>
    <m/>
    <n v="0"/>
    <m/>
    <n v="74"/>
    <m/>
    <n v="0"/>
    <n v="0"/>
    <n v="74"/>
    <m/>
    <n v="0"/>
    <m/>
    <n v="74"/>
    <m/>
    <n v="0"/>
    <n v="0"/>
    <n v="0"/>
    <n v="0"/>
  </r>
  <r>
    <x v="2"/>
    <x v="1"/>
    <x v="0"/>
    <x v="42"/>
    <x v="128"/>
    <x v="229"/>
    <n v="0"/>
    <m/>
    <n v="0"/>
    <m/>
    <n v="0"/>
    <m/>
    <n v="0"/>
    <n v="0"/>
    <n v="0"/>
    <m/>
    <n v="0"/>
    <m/>
    <n v="0"/>
    <m/>
    <n v="0"/>
    <n v="0"/>
    <n v="0"/>
    <n v="0"/>
  </r>
  <r>
    <x v="2"/>
    <x v="1"/>
    <x v="0"/>
    <x v="42"/>
    <x v="129"/>
    <x v="230"/>
    <n v="27.5"/>
    <m/>
    <n v="0"/>
    <m/>
    <n v="27.5"/>
    <m/>
    <n v="0"/>
    <n v="0"/>
    <n v="27.5"/>
    <m/>
    <n v="0"/>
    <m/>
    <n v="27.5"/>
    <m/>
    <n v="0"/>
    <n v="0"/>
    <n v="0"/>
    <n v="0"/>
  </r>
  <r>
    <x v="2"/>
    <x v="1"/>
    <x v="0"/>
    <x v="43"/>
    <x v="130"/>
    <x v="231"/>
    <n v="55"/>
    <m/>
    <n v="0"/>
    <m/>
    <n v="55"/>
    <m/>
    <n v="0"/>
    <n v="0"/>
    <n v="55"/>
    <m/>
    <n v="0"/>
    <m/>
    <n v="55"/>
    <m/>
    <n v="0"/>
    <n v="0"/>
    <n v="0"/>
    <n v="0"/>
  </r>
  <r>
    <x v="2"/>
    <x v="0"/>
    <x v="0"/>
    <x v="44"/>
    <x v="131"/>
    <x v="232"/>
    <n v="13"/>
    <m/>
    <n v="0"/>
    <m/>
    <n v="13"/>
    <m/>
    <n v="0"/>
    <n v="0"/>
    <n v="13"/>
    <m/>
    <n v="0"/>
    <m/>
    <n v="13"/>
    <m/>
    <n v="0"/>
    <n v="0"/>
    <n v="0"/>
    <n v="0"/>
  </r>
  <r>
    <x v="2"/>
    <x v="1"/>
    <x v="1"/>
    <x v="42"/>
    <x v="132"/>
    <x v="233"/>
    <n v="3.5"/>
    <m/>
    <n v="0"/>
    <m/>
    <n v="3.5"/>
    <m/>
    <n v="0"/>
    <n v="0"/>
    <n v="3.5"/>
    <m/>
    <n v="0"/>
    <m/>
    <n v="3.5"/>
    <m/>
    <n v="0"/>
    <n v="0"/>
    <n v="0"/>
    <n v="0"/>
  </r>
  <r>
    <x v="2"/>
    <x v="1"/>
    <x v="1"/>
    <x v="42"/>
    <x v="133"/>
    <x v="234"/>
    <n v="0"/>
    <m/>
    <n v="0"/>
    <m/>
    <n v="0"/>
    <m/>
    <n v="0"/>
    <n v="0"/>
    <n v="0"/>
    <m/>
    <n v="0"/>
    <m/>
    <n v="0"/>
    <m/>
    <n v="0"/>
    <n v="0"/>
    <n v="0"/>
    <n v="0"/>
  </r>
  <r>
    <x v="2"/>
    <x v="1"/>
    <x v="1"/>
    <x v="42"/>
    <x v="134"/>
    <x v="235"/>
    <n v="0"/>
    <m/>
    <n v="0"/>
    <m/>
    <n v="0"/>
    <m/>
    <n v="0"/>
    <n v="0"/>
    <n v="0"/>
    <m/>
    <n v="0"/>
    <m/>
    <n v="0"/>
    <m/>
    <n v="0"/>
    <n v="0"/>
    <n v="0"/>
    <n v="0"/>
  </r>
  <r>
    <x v="2"/>
    <x v="1"/>
    <x v="1"/>
    <x v="42"/>
    <x v="135"/>
    <x v="236"/>
    <n v="2"/>
    <m/>
    <n v="0"/>
    <m/>
    <n v="2"/>
    <m/>
    <n v="0"/>
    <n v="0"/>
    <n v="2"/>
    <m/>
    <n v="0"/>
    <m/>
    <n v="2"/>
    <m/>
    <n v="0"/>
    <n v="0"/>
    <n v="0"/>
    <n v="0"/>
  </r>
  <r>
    <x v="2"/>
    <x v="1"/>
    <x v="1"/>
    <x v="42"/>
    <x v="136"/>
    <x v="237"/>
    <n v="0"/>
    <m/>
    <n v="0"/>
    <m/>
    <n v="0"/>
    <m/>
    <n v="0"/>
    <n v="0"/>
    <n v="0"/>
    <m/>
    <n v="0"/>
    <m/>
    <n v="0"/>
    <m/>
    <n v="0"/>
    <n v="0"/>
    <n v="0"/>
    <n v="0"/>
  </r>
  <r>
    <x v="2"/>
    <x v="1"/>
    <x v="1"/>
    <x v="42"/>
    <x v="137"/>
    <x v="238"/>
    <n v="27.5"/>
    <m/>
    <n v="0"/>
    <m/>
    <n v="27.5"/>
    <m/>
    <n v="0"/>
    <n v="0"/>
    <n v="27.5"/>
    <m/>
    <n v="0"/>
    <m/>
    <n v="27.5"/>
    <m/>
    <n v="0"/>
    <n v="0"/>
    <n v="0"/>
    <n v="0"/>
  </r>
  <r>
    <x v="2"/>
    <x v="1"/>
    <x v="1"/>
    <x v="42"/>
    <x v="138"/>
    <x v="239"/>
    <n v="20"/>
    <m/>
    <n v="0"/>
    <m/>
    <n v="20"/>
    <m/>
    <n v="0"/>
    <n v="0"/>
    <n v="20"/>
    <m/>
    <n v="0"/>
    <m/>
    <n v="20"/>
    <m/>
    <n v="0"/>
    <n v="0"/>
    <n v="0"/>
    <n v="0"/>
  </r>
  <r>
    <x v="2"/>
    <x v="1"/>
    <x v="1"/>
    <x v="42"/>
    <x v="139"/>
    <x v="240"/>
    <n v="0"/>
    <m/>
    <n v="0"/>
    <m/>
    <n v="0"/>
    <m/>
    <n v="0"/>
    <n v="0"/>
    <n v="0"/>
    <m/>
    <n v="0"/>
    <m/>
    <n v="0"/>
    <m/>
    <n v="0"/>
    <n v="0"/>
    <n v="0"/>
    <n v="0"/>
  </r>
  <r>
    <x v="2"/>
    <x v="1"/>
    <x v="1"/>
    <x v="42"/>
    <x v="140"/>
    <x v="241"/>
    <n v="0"/>
    <m/>
    <n v="0"/>
    <m/>
    <n v="0"/>
    <m/>
    <n v="0"/>
    <n v="0"/>
    <n v="0"/>
    <m/>
    <n v="0"/>
    <m/>
    <n v="0"/>
    <m/>
    <n v="0"/>
    <n v="0"/>
    <n v="0"/>
    <n v="0"/>
  </r>
  <r>
    <x v="2"/>
    <x v="1"/>
    <x v="1"/>
    <x v="42"/>
    <x v="141"/>
    <x v="242"/>
    <n v="0"/>
    <m/>
    <n v="0"/>
    <m/>
    <n v="0"/>
    <m/>
    <n v="0"/>
    <n v="0"/>
    <n v="0"/>
    <m/>
    <n v="0"/>
    <m/>
    <n v="0"/>
    <m/>
    <n v="0"/>
    <n v="0"/>
    <n v="0"/>
    <n v="0"/>
  </r>
  <r>
    <x v="2"/>
    <x v="1"/>
    <x v="1"/>
    <x v="42"/>
    <x v="142"/>
    <x v="243"/>
    <n v="5.3"/>
    <m/>
    <n v="0"/>
    <m/>
    <n v="5.3"/>
    <m/>
    <n v="0"/>
    <n v="0"/>
    <n v="5.3"/>
    <m/>
    <n v="0"/>
    <m/>
    <n v="5.3"/>
    <m/>
    <n v="0"/>
    <n v="0"/>
    <n v="0"/>
    <n v="0"/>
  </r>
  <r>
    <x v="2"/>
    <x v="1"/>
    <x v="1"/>
    <x v="42"/>
    <x v="143"/>
    <x v="244"/>
    <n v="0"/>
    <m/>
    <n v="0"/>
    <m/>
    <n v="0"/>
    <m/>
    <n v="0"/>
    <n v="0"/>
    <n v="0"/>
    <m/>
    <n v="0"/>
    <m/>
    <n v="0"/>
    <m/>
    <n v="0"/>
    <n v="0"/>
    <n v="0"/>
    <n v="0"/>
  </r>
  <r>
    <x v="2"/>
    <x v="1"/>
    <x v="1"/>
    <x v="42"/>
    <x v="144"/>
    <x v="245"/>
    <n v="0"/>
    <m/>
    <n v="0"/>
    <m/>
    <n v="0"/>
    <m/>
    <n v="0"/>
    <n v="0"/>
    <n v="0"/>
    <m/>
    <n v="0"/>
    <m/>
    <n v="0"/>
    <m/>
    <n v="0"/>
    <n v="0"/>
    <n v="0"/>
    <n v="0"/>
  </r>
  <r>
    <x v="2"/>
    <x v="1"/>
    <x v="1"/>
    <x v="42"/>
    <x v="145"/>
    <x v="246"/>
    <n v="120"/>
    <m/>
    <n v="0"/>
    <m/>
    <n v="120"/>
    <m/>
    <n v="0"/>
    <n v="0"/>
    <n v="120"/>
    <m/>
    <n v="0"/>
    <m/>
    <n v="120"/>
    <m/>
    <n v="0"/>
    <n v="0"/>
    <n v="0"/>
    <n v="0"/>
  </r>
  <r>
    <x v="2"/>
    <x v="1"/>
    <x v="1"/>
    <x v="42"/>
    <x v="146"/>
    <x v="247"/>
    <n v="16.5"/>
    <m/>
    <n v="0"/>
    <m/>
    <n v="16.5"/>
    <m/>
    <n v="0"/>
    <n v="0"/>
    <n v="16.5"/>
    <m/>
    <n v="0"/>
    <m/>
    <n v="16.5"/>
    <m/>
    <n v="0"/>
    <n v="0"/>
    <n v="0"/>
    <n v="0"/>
  </r>
  <r>
    <x v="2"/>
    <x v="1"/>
    <x v="1"/>
    <x v="42"/>
    <x v="147"/>
    <x v="248"/>
    <n v="0"/>
    <m/>
    <n v="0"/>
    <m/>
    <n v="0"/>
    <m/>
    <n v="0"/>
    <n v="0"/>
    <n v="0"/>
    <m/>
    <n v="0"/>
    <m/>
    <n v="0"/>
    <m/>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AAE1A7-F7E0-44C7-AF30-166C53CD0728}" name="PivotTable4" cacheId="167" applyNumberFormats="0" applyBorderFormats="0" applyFontFormats="0" applyPatternFormats="0" applyAlignmentFormats="0" applyWidthHeightFormats="1" dataCaption="Values" updatedVersion="8" minRefreshableVersion="3" useAutoFormatting="1" colGrandTotals="0" itemPrintTitles="1" createdVersion="7" indent="0" outline="1" outlineData="1" multipleFieldFilters="0" rowHeaderCaption="OpCo">
  <location ref="B4:E10" firstHeaderRow="0" firstDataRow="1" firstDataCol="1" rowPageCount="1" colPageCount="1"/>
  <pivotFields count="24">
    <pivotField axis="axisPage" showAll="0">
      <items count="4">
        <item x="0"/>
        <item x="1"/>
        <item x="2"/>
        <item t="default"/>
      </items>
    </pivotField>
    <pivotField showAll="0"/>
    <pivotField axis="axisRow" showAll="0">
      <items count="6">
        <item sd="0" x="0"/>
        <item sd="0" x="3"/>
        <item sd="0" x="1"/>
        <item sd="0" x="2"/>
        <item x="4"/>
        <item t="default"/>
      </items>
    </pivotField>
    <pivotField showAll="0" defaultSubtotal="0"/>
    <pivotField showAll="0" defaultSubtotal="0"/>
    <pivotField showAll="0"/>
    <pivotField showAll="0"/>
    <pivotField showAll="0"/>
    <pivotField showAll="0"/>
    <pivotField showAll="0"/>
    <pivotField numFmtId="164" showAll="0"/>
    <pivotField showAll="0"/>
    <pivotField numFmtId="10" showAll="0"/>
    <pivotField numFmtId="10" showAll="0"/>
    <pivotField showAll="0"/>
    <pivotField showAll="0"/>
    <pivotField numFmtId="164" showAll="0"/>
    <pivotField showAll="0"/>
    <pivotField showAll="0"/>
    <pivotField showAll="0"/>
    <pivotField numFmtId="166" showAll="0"/>
    <pivotField dataField="1" showAll="0"/>
    <pivotField dataField="1" numFmtId="164" showAll="0"/>
    <pivotField dataField="1" showAll="0"/>
  </pivotFields>
  <rowFields count="1">
    <field x="2"/>
  </rowFields>
  <rowItems count="6">
    <i>
      <x/>
    </i>
    <i>
      <x v="1"/>
    </i>
    <i>
      <x v="2"/>
    </i>
    <i>
      <x v="3"/>
    </i>
    <i>
      <x v="4"/>
    </i>
    <i t="grand">
      <x/>
    </i>
  </rowItems>
  <colFields count="1">
    <field x="-2"/>
  </colFields>
  <colItems count="3">
    <i>
      <x/>
    </i>
    <i i="1">
      <x v="1"/>
    </i>
    <i i="2">
      <x v="2"/>
    </i>
  </colItems>
  <pageFields count="1">
    <pageField fld="0" item="0" hier="-1"/>
  </pageFields>
  <dataFields count="3">
    <dataField name="Est Discount 1 Net Spend" fld="21" baseField="0" baseItem="0"/>
    <dataField name="Est Discount 2 Net Spend" fld="23" baseField="0" baseItem="0"/>
    <dataField name="Est Impact" fld="22" baseField="0" baseItem="0"/>
  </dataFields>
  <formats count="25">
    <format dxfId="614">
      <pivotArea outline="0" collapsedLevelsAreSubtotals="1" fieldPosition="0"/>
    </format>
    <format dxfId="613">
      <pivotArea field="2" type="button" dataOnly="0" labelOnly="1" outline="0" axis="axisRow" fieldPosition="0"/>
    </format>
    <format dxfId="612">
      <pivotArea dataOnly="0" labelOnly="1" outline="0" fieldPosition="0">
        <references count="1">
          <reference field="4294967294" count="1">
            <x v="2"/>
          </reference>
        </references>
      </pivotArea>
    </format>
    <format dxfId="611">
      <pivotArea field="2" type="button" dataOnly="0" labelOnly="1" outline="0" axis="axisRow" fieldPosition="0"/>
    </format>
    <format dxfId="610">
      <pivotArea dataOnly="0" labelOnly="1" outline="0" fieldPosition="0">
        <references count="1">
          <reference field="4294967294" count="1">
            <x v="2"/>
          </reference>
        </references>
      </pivotArea>
    </format>
    <format dxfId="609">
      <pivotArea field="2" type="button" dataOnly="0" labelOnly="1" outline="0" axis="axisRow" fieldPosition="0"/>
    </format>
    <format dxfId="608">
      <pivotArea dataOnly="0" labelOnly="1" outline="0" fieldPosition="0">
        <references count="1">
          <reference field="4294967294" count="1">
            <x v="2"/>
          </reference>
        </references>
      </pivotArea>
    </format>
    <format dxfId="607">
      <pivotArea type="all" dataOnly="0" outline="0" fieldPosition="0"/>
    </format>
    <format dxfId="606">
      <pivotArea outline="0" collapsedLevelsAreSubtotals="1" fieldPosition="0"/>
    </format>
    <format dxfId="605">
      <pivotArea field="2" type="button" dataOnly="0" labelOnly="1" outline="0" axis="axisRow" fieldPosition="0"/>
    </format>
    <format dxfId="604">
      <pivotArea dataOnly="0" labelOnly="1" fieldPosition="0">
        <references count="1">
          <reference field="2" count="0"/>
        </references>
      </pivotArea>
    </format>
    <format dxfId="603">
      <pivotArea dataOnly="0" labelOnly="1" outline="0" fieldPosition="0">
        <references count="1">
          <reference field="4294967294" count="1">
            <x v="2"/>
          </reference>
        </references>
      </pivotArea>
    </format>
    <format dxfId="602">
      <pivotArea type="all" dataOnly="0" outline="0" fieldPosition="0"/>
    </format>
    <format dxfId="601">
      <pivotArea outline="0" collapsedLevelsAreSubtotals="1" fieldPosition="0"/>
    </format>
    <format dxfId="600">
      <pivotArea dataOnly="0" labelOnly="1" fieldPosition="0">
        <references count="1">
          <reference field="2" count="0"/>
        </references>
      </pivotArea>
    </format>
    <format dxfId="599">
      <pivotArea field="2" type="button" dataOnly="0" labelOnly="1" outline="0" axis="axisRow" fieldPosition="0"/>
    </format>
    <format dxfId="598">
      <pivotArea dataOnly="0" labelOnly="1" outline="0" fieldPosition="0">
        <references count="1">
          <reference field="4294967294" count="1">
            <x v="2"/>
          </reference>
        </references>
      </pivotArea>
    </format>
    <format dxfId="597">
      <pivotArea type="all" dataOnly="0" outline="0" fieldPosition="0"/>
    </format>
    <format dxfId="596">
      <pivotArea outline="0" collapsedLevelsAreSubtotals="1" fieldPosition="0"/>
    </format>
    <format dxfId="595">
      <pivotArea field="2" type="button" dataOnly="0" labelOnly="1" outline="0" axis="axisRow" fieldPosition="0"/>
    </format>
    <format dxfId="594">
      <pivotArea dataOnly="0" labelOnly="1" fieldPosition="0">
        <references count="1">
          <reference field="2" count="0"/>
        </references>
      </pivotArea>
    </format>
    <format dxfId="593">
      <pivotArea dataOnly="0" labelOnly="1" outline="0" fieldPosition="0">
        <references count="1">
          <reference field="4294967294" count="1">
            <x v="2"/>
          </reference>
        </references>
      </pivotArea>
    </format>
    <format dxfId="592">
      <pivotArea dataOnly="0" labelOnly="1" outline="0" fieldPosition="0">
        <references count="1">
          <reference field="4294967294" count="1">
            <x v="2"/>
          </reference>
        </references>
      </pivotArea>
    </format>
    <format dxfId="591">
      <pivotArea dataOnly="0" labelOnly="1" outline="0" fieldPosition="0">
        <references count="1">
          <reference field="4294967294" count="2">
            <x v="0"/>
            <x v="1"/>
          </reference>
        </references>
      </pivotArea>
    </format>
    <format dxfId="59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36758D-91EE-4DF1-9740-B47B635D6FC7}" name="PivotTable3" cacheId="167"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location ref="A3:K252" firstHeaderRow="0" firstDataRow="1" firstDataCol="1" rowPageCount="1" colPageCount="1"/>
  <pivotFields count="24">
    <pivotField axis="axisPage" showAll="0">
      <items count="4">
        <item x="0"/>
        <item x="1"/>
        <item x="2"/>
        <item t="default"/>
      </items>
    </pivotField>
    <pivotField showAll="0" sortType="descending" defaultSubtotal="0">
      <autoSortScope>
        <pivotArea dataOnly="0" outline="0" fieldPosition="0">
          <references count="1">
            <reference field="4294967294" count="1" selected="0">
              <x v="6"/>
            </reference>
          </references>
        </pivotArea>
      </autoSortScope>
    </pivotField>
    <pivotField showAll="0" sortType="descending" defaultSubtotal="0">
      <items count="5">
        <item x="0"/>
        <item x="3"/>
        <item x="1"/>
        <item x="2"/>
        <item x="4"/>
      </items>
      <autoSortScope>
        <pivotArea dataOnly="0" outline="0" fieldPosition="0">
          <references count="1">
            <reference field="4294967294" count="1" selected="0">
              <x v="6"/>
            </reference>
          </references>
        </pivotArea>
      </autoSortScope>
    </pivotField>
    <pivotField showAll="0" sortType="descending" defaultSubtotal="0">
      <autoSortScope>
        <pivotArea dataOnly="0" outline="0" fieldPosition="0">
          <references count="1">
            <reference field="4294967294" count="1" selected="0">
              <x v="6"/>
            </reference>
          </references>
        </pivotArea>
      </autoSortScope>
    </pivotField>
    <pivotField showAll="0" sortType="descending" defaultSubtotal="0">
      <autoSortScope>
        <pivotArea dataOnly="0" outline="0" fieldPosition="0">
          <references count="1">
            <reference field="4294967294" count="1" selected="0">
              <x v="6"/>
            </reference>
          </references>
        </pivotArea>
      </autoSortScope>
    </pivotField>
    <pivotField axis="axisRow" showAll="0" sortType="descending">
      <items count="250">
        <item x="113"/>
        <item x="111"/>
        <item x="112"/>
        <item x="114"/>
        <item x="110"/>
        <item x="115"/>
        <item x="116"/>
        <item x="117"/>
        <item x="28"/>
        <item x="29"/>
        <item x="30"/>
        <item x="31"/>
        <item x="12"/>
        <item x="13"/>
        <item x="14"/>
        <item x="15"/>
        <item x="20"/>
        <item x="21"/>
        <item x="22"/>
        <item x="23"/>
        <item x="16"/>
        <item x="17"/>
        <item x="18"/>
        <item x="19"/>
        <item x="32"/>
        <item x="33"/>
        <item x="34"/>
        <item x="35"/>
        <item x="147"/>
        <item x="152"/>
        <item x="144"/>
        <item x="145"/>
        <item x="146"/>
        <item x="151"/>
        <item x="148"/>
        <item x="150"/>
        <item x="149"/>
        <item x="153"/>
        <item x="155"/>
        <item x="154"/>
        <item x="156"/>
        <item x="157"/>
        <item x="158"/>
        <item x="159"/>
        <item x="160"/>
        <item x="161"/>
        <item x="162"/>
        <item x="163"/>
        <item x="165"/>
        <item x="166"/>
        <item x="167"/>
        <item x="168"/>
        <item x="169"/>
        <item x="170"/>
        <item x="173"/>
        <item x="171"/>
        <item x="172"/>
        <item x="176"/>
        <item x="174"/>
        <item x="175"/>
        <item x="177"/>
        <item x="182"/>
        <item x="183"/>
        <item x="178"/>
        <item x="179"/>
        <item x="180"/>
        <item x="181"/>
        <item x="184"/>
        <item x="185"/>
        <item x="186"/>
        <item x="187"/>
        <item x="188"/>
        <item x="189"/>
        <item x="103"/>
        <item x="67"/>
        <item x="68"/>
        <item x="69"/>
        <item x="164"/>
        <item x="0"/>
        <item x="1"/>
        <item x="2"/>
        <item x="3"/>
        <item x="4"/>
        <item x="5"/>
        <item x="6"/>
        <item x="7"/>
        <item x="8"/>
        <item x="9"/>
        <item x="10"/>
        <item x="11"/>
        <item x="24"/>
        <item x="25"/>
        <item x="26"/>
        <item x="27"/>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6"/>
        <item x="107"/>
        <item x="108"/>
        <item x="109"/>
        <item x="118"/>
        <item x="119"/>
        <item x="120"/>
        <item x="121"/>
        <item x="122"/>
        <item x="123"/>
        <item x="124"/>
        <item x="125"/>
        <item x="126"/>
        <item x="127"/>
        <item x="128"/>
        <item x="129"/>
        <item x="130"/>
        <item x="131"/>
        <item x="132"/>
        <item x="133"/>
        <item x="134"/>
        <item x="135"/>
        <item x="136"/>
        <item x="137"/>
        <item x="138"/>
        <item x="139"/>
        <item x="140"/>
        <item x="141"/>
        <item x="142"/>
        <item x="143"/>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t="default"/>
      </items>
      <autoSortScope>
        <pivotArea dataOnly="0" outline="0" fieldPosition="0">
          <references count="1">
            <reference field="4294967294" count="1" selected="0">
              <x v="6"/>
            </reference>
          </references>
        </pivotArea>
      </autoSortScope>
    </pivotField>
    <pivotField showAll="0"/>
    <pivotField showAll="0"/>
    <pivotField showAll="0"/>
    <pivotField showAll="0"/>
    <pivotField dataField="1" numFmtId="164" showAll="0"/>
    <pivotField showAll="0"/>
    <pivotField dataField="1" numFmtId="10" showAll="0"/>
    <pivotField dataField="1" numFmtId="10" showAll="0"/>
    <pivotField dataField="1" showAll="0"/>
    <pivotField showAll="0"/>
    <pivotField dataField="1" numFmtId="164" showAll="0"/>
    <pivotField showAll="0"/>
    <pivotField dataField="1" showAll="0"/>
    <pivotField showAll="0"/>
    <pivotField dataField="1" numFmtId="166" showAll="0"/>
    <pivotField dataField="1" showAll="0"/>
    <pivotField dataField="1" numFmtId="164" showAll="0"/>
    <pivotField dataField="1" showAll="0"/>
  </pivotFields>
  <rowFields count="1">
    <field x="5"/>
  </rowFields>
  <rowItems count="249">
    <i>
      <x v="127"/>
    </i>
    <i>
      <x v="191"/>
    </i>
    <i>
      <x v="159"/>
    </i>
    <i>
      <x v="1"/>
    </i>
    <i>
      <x v="223"/>
    </i>
    <i>
      <x v="2"/>
    </i>
    <i>
      <x v="143"/>
    </i>
    <i>
      <x v="3"/>
    </i>
    <i>
      <x v="175"/>
    </i>
    <i>
      <x v="4"/>
    </i>
    <i>
      <x v="207"/>
    </i>
    <i>
      <x v="5"/>
    </i>
    <i>
      <x v="239"/>
    </i>
    <i>
      <x v="6"/>
    </i>
    <i>
      <x v="135"/>
    </i>
    <i>
      <x v="7"/>
    </i>
    <i>
      <x v="151"/>
    </i>
    <i>
      <x v="8"/>
    </i>
    <i>
      <x v="167"/>
    </i>
    <i>
      <x v="9"/>
    </i>
    <i>
      <x v="183"/>
    </i>
    <i>
      <x v="10"/>
    </i>
    <i>
      <x v="199"/>
    </i>
    <i>
      <x v="11"/>
    </i>
    <i>
      <x v="215"/>
    </i>
    <i>
      <x v="12"/>
    </i>
    <i>
      <x v="231"/>
    </i>
    <i>
      <x v="13"/>
    </i>
    <i>
      <x v="247"/>
    </i>
    <i>
      <x v="14"/>
    </i>
    <i>
      <x v="131"/>
    </i>
    <i>
      <x v="15"/>
    </i>
    <i>
      <x v="139"/>
    </i>
    <i>
      <x v="16"/>
    </i>
    <i>
      <x v="147"/>
    </i>
    <i>
      <x v="17"/>
    </i>
    <i>
      <x v="155"/>
    </i>
    <i>
      <x v="18"/>
    </i>
    <i>
      <x v="163"/>
    </i>
    <i>
      <x v="19"/>
    </i>
    <i>
      <x v="171"/>
    </i>
    <i>
      <x v="20"/>
    </i>
    <i>
      <x v="179"/>
    </i>
    <i>
      <x v="21"/>
    </i>
    <i>
      <x v="187"/>
    </i>
    <i>
      <x v="22"/>
    </i>
    <i>
      <x v="195"/>
    </i>
    <i>
      <x v="23"/>
    </i>
    <i>
      <x v="203"/>
    </i>
    <i>
      <x v="24"/>
    </i>
    <i>
      <x v="211"/>
    </i>
    <i>
      <x v="25"/>
    </i>
    <i>
      <x v="219"/>
    </i>
    <i>
      <x v="26"/>
    </i>
    <i>
      <x v="227"/>
    </i>
    <i>
      <x v="27"/>
    </i>
    <i>
      <x v="235"/>
    </i>
    <i>
      <x v="28"/>
    </i>
    <i>
      <x v="243"/>
    </i>
    <i>
      <x v="29"/>
    </i>
    <i>
      <x v="125"/>
    </i>
    <i>
      <x v="30"/>
    </i>
    <i>
      <x v="129"/>
    </i>
    <i>
      <x v="31"/>
    </i>
    <i>
      <x v="133"/>
    </i>
    <i>
      <x v="32"/>
    </i>
    <i>
      <x v="137"/>
    </i>
    <i>
      <x v="33"/>
    </i>
    <i>
      <x v="141"/>
    </i>
    <i>
      <x v="34"/>
    </i>
    <i>
      <x v="145"/>
    </i>
    <i>
      <x v="35"/>
    </i>
    <i>
      <x v="149"/>
    </i>
    <i>
      <x v="36"/>
    </i>
    <i>
      <x v="153"/>
    </i>
    <i>
      <x v="37"/>
    </i>
    <i>
      <x v="157"/>
    </i>
    <i>
      <x v="38"/>
    </i>
    <i>
      <x v="161"/>
    </i>
    <i>
      <x v="39"/>
    </i>
    <i>
      <x v="165"/>
    </i>
    <i>
      <x v="40"/>
    </i>
    <i>
      <x v="169"/>
    </i>
    <i>
      <x v="41"/>
    </i>
    <i>
      <x v="173"/>
    </i>
    <i>
      <x v="42"/>
    </i>
    <i>
      <x v="177"/>
    </i>
    <i>
      <x v="43"/>
    </i>
    <i>
      <x v="181"/>
    </i>
    <i>
      <x v="44"/>
    </i>
    <i>
      <x v="185"/>
    </i>
    <i>
      <x v="45"/>
    </i>
    <i>
      <x v="189"/>
    </i>
    <i>
      <x v="46"/>
    </i>
    <i>
      <x v="193"/>
    </i>
    <i>
      <x v="47"/>
    </i>
    <i>
      <x v="197"/>
    </i>
    <i>
      <x v="48"/>
    </i>
    <i>
      <x v="201"/>
    </i>
    <i>
      <x v="49"/>
    </i>
    <i>
      <x v="205"/>
    </i>
    <i>
      <x v="50"/>
    </i>
    <i>
      <x v="209"/>
    </i>
    <i>
      <x v="51"/>
    </i>
    <i>
      <x v="213"/>
    </i>
    <i>
      <x v="52"/>
    </i>
    <i>
      <x v="217"/>
    </i>
    <i>
      <x v="53"/>
    </i>
    <i>
      <x v="221"/>
    </i>
    <i>
      <x v="54"/>
    </i>
    <i>
      <x v="225"/>
    </i>
    <i>
      <x v="55"/>
    </i>
    <i>
      <x v="229"/>
    </i>
    <i>
      <x v="56"/>
    </i>
    <i>
      <x v="233"/>
    </i>
    <i>
      <x v="57"/>
    </i>
    <i>
      <x v="237"/>
    </i>
    <i>
      <x v="58"/>
    </i>
    <i>
      <x v="241"/>
    </i>
    <i>
      <x v="59"/>
    </i>
    <i>
      <x v="245"/>
    </i>
    <i>
      <x v="60"/>
    </i>
    <i>
      <x/>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162"/>
    </i>
    <i>
      <x v="80"/>
    </i>
    <i>
      <x v="164"/>
    </i>
    <i>
      <x v="81"/>
    </i>
    <i>
      <x v="166"/>
    </i>
    <i>
      <x v="82"/>
    </i>
    <i>
      <x v="168"/>
    </i>
    <i>
      <x v="83"/>
    </i>
    <i>
      <x v="170"/>
    </i>
    <i>
      <x v="84"/>
    </i>
    <i>
      <x v="172"/>
    </i>
    <i>
      <x v="85"/>
    </i>
    <i>
      <x v="174"/>
    </i>
    <i>
      <x v="86"/>
    </i>
    <i>
      <x v="176"/>
    </i>
    <i>
      <x v="87"/>
    </i>
    <i>
      <x v="178"/>
    </i>
    <i>
      <x v="88"/>
    </i>
    <i>
      <x v="180"/>
    </i>
    <i>
      <x v="89"/>
    </i>
    <i>
      <x v="182"/>
    </i>
    <i>
      <x v="90"/>
    </i>
    <i>
      <x v="184"/>
    </i>
    <i>
      <x v="91"/>
    </i>
    <i>
      <x v="186"/>
    </i>
    <i>
      <x v="92"/>
    </i>
    <i>
      <x v="188"/>
    </i>
    <i>
      <x v="93"/>
    </i>
    <i>
      <x v="190"/>
    </i>
    <i>
      <x v="94"/>
    </i>
    <i>
      <x v="192"/>
    </i>
    <i>
      <x v="95"/>
    </i>
    <i>
      <x v="194"/>
    </i>
    <i>
      <x v="96"/>
    </i>
    <i>
      <x v="196"/>
    </i>
    <i>
      <x v="97"/>
    </i>
    <i>
      <x v="198"/>
    </i>
    <i>
      <x v="98"/>
    </i>
    <i>
      <x v="200"/>
    </i>
    <i>
      <x v="99"/>
    </i>
    <i>
      <x v="202"/>
    </i>
    <i>
      <x v="100"/>
    </i>
    <i>
      <x v="204"/>
    </i>
    <i>
      <x v="101"/>
    </i>
    <i>
      <x v="206"/>
    </i>
    <i>
      <x v="102"/>
    </i>
    <i>
      <x v="208"/>
    </i>
    <i>
      <x v="103"/>
    </i>
    <i>
      <x v="210"/>
    </i>
    <i>
      <x v="104"/>
    </i>
    <i>
      <x v="212"/>
    </i>
    <i>
      <x v="105"/>
    </i>
    <i>
      <x v="214"/>
    </i>
    <i>
      <x v="106"/>
    </i>
    <i>
      <x v="216"/>
    </i>
    <i>
      <x v="107"/>
    </i>
    <i>
      <x v="218"/>
    </i>
    <i>
      <x v="108"/>
    </i>
    <i>
      <x v="220"/>
    </i>
    <i>
      <x v="109"/>
    </i>
    <i>
      <x v="222"/>
    </i>
    <i>
      <x v="110"/>
    </i>
    <i>
      <x v="224"/>
    </i>
    <i>
      <x v="111"/>
    </i>
    <i>
      <x v="226"/>
    </i>
    <i>
      <x v="112"/>
    </i>
    <i>
      <x v="228"/>
    </i>
    <i>
      <x v="113"/>
    </i>
    <i>
      <x v="230"/>
    </i>
    <i>
      <x v="114"/>
    </i>
    <i>
      <x v="232"/>
    </i>
    <i>
      <x v="115"/>
    </i>
    <i>
      <x v="234"/>
    </i>
    <i>
      <x v="116"/>
    </i>
    <i>
      <x v="236"/>
    </i>
    <i>
      <x v="117"/>
    </i>
    <i>
      <x v="238"/>
    </i>
    <i>
      <x v="118"/>
    </i>
    <i>
      <x v="240"/>
    </i>
    <i>
      <x v="119"/>
    </i>
    <i>
      <x v="242"/>
    </i>
    <i>
      <x v="120"/>
    </i>
    <i>
      <x v="244"/>
    </i>
    <i>
      <x v="121"/>
    </i>
    <i>
      <x v="246"/>
    </i>
    <i>
      <x v="122"/>
    </i>
    <i>
      <x v="248"/>
    </i>
    <i>
      <x v="123"/>
    </i>
    <i>
      <x v="124"/>
    </i>
  </rowItems>
  <colFields count="1">
    <field x="-2"/>
  </colFields>
  <colItems count="10">
    <i>
      <x/>
    </i>
    <i i="1">
      <x v="1"/>
    </i>
    <i i="2">
      <x v="2"/>
    </i>
    <i i="3">
      <x v="3"/>
    </i>
    <i i="4">
      <x v="4"/>
    </i>
    <i i="5">
      <x v="5"/>
    </i>
    <i i="6">
      <x v="6"/>
    </i>
    <i i="7">
      <x v="7"/>
    </i>
    <i i="8">
      <x v="8"/>
    </i>
    <i i="9">
      <x v="9"/>
    </i>
  </colItems>
  <pageFields count="1">
    <pageField fld="0" item="0" hier="-1"/>
  </pageFields>
  <dataFields count="10">
    <dataField name="2026 List " fld="10" baseField="5" baseItem="127" numFmtId="164"/>
    <dataField name="Discount 1" fld="12" baseField="0" baseItem="0" numFmtId="10"/>
    <dataField name="Discount 2" fld="13" baseField="0" baseItem="0" numFmtId="10"/>
    <dataField name="Discount 1 Net Rate" fld="14" baseField="0" baseItem="0" numFmtId="164"/>
    <dataField name="Net Change" fld="16" subtotal="average" baseField="4" baseItem="29" numFmtId="164"/>
    <dataField name="Discount 2 Net Rate" fld="18" baseField="0" baseItem="0" numFmtId="164"/>
    <dataField name="Occurrences " fld="20" baseField="0" baseItem="0" numFmtId="166"/>
    <dataField name="Discount 1 Net Spend" fld="21" baseField="0" baseItem="0" numFmtId="168"/>
    <dataField name="Net Spend Change " fld="22" baseField="0" baseItem="0" numFmtId="168"/>
    <dataField name="Discount 2 Net Spend" fld="23" baseField="0" baseItem="0" numFmtId="168"/>
  </dataFields>
  <formats count="12">
    <format dxfId="589">
      <pivotArea outline="0" collapsedLevelsAreSubtotals="1" fieldPosition="0">
        <references count="1">
          <reference field="4294967294" count="1" selected="0">
            <x v="6"/>
          </reference>
        </references>
      </pivotArea>
    </format>
    <format dxfId="588">
      <pivotArea type="all" dataOnly="0" outline="0" fieldPosition="0"/>
    </format>
    <format dxfId="587">
      <pivotArea outline="0" collapsedLevelsAreSubtotals="1" fieldPosition="0"/>
    </format>
    <format dxfId="586">
      <pivotArea field="2" type="button" dataOnly="0" labelOnly="1" outline="0"/>
    </format>
    <format dxfId="585">
      <pivotArea dataOnly="0" labelOnly="1" outline="0" fieldPosition="0">
        <references count="1">
          <reference field="4294967294" count="3">
            <x v="4"/>
            <x v="6"/>
            <x v="8"/>
          </reference>
        </references>
      </pivotArea>
    </format>
    <format dxfId="584">
      <pivotArea outline="0" collapsedLevelsAreSubtotals="1" fieldPosition="0">
        <references count="1">
          <reference field="4294967294" count="1" selected="0">
            <x v="6"/>
          </reference>
        </references>
      </pivotArea>
    </format>
    <format dxfId="583">
      <pivotArea dataOnly="0" labelOnly="1" outline="0" fieldPosition="0">
        <references count="1">
          <reference field="4294967294" count="3">
            <x v="4"/>
            <x v="6"/>
            <x v="8"/>
          </reference>
        </references>
      </pivotArea>
    </format>
    <format dxfId="582">
      <pivotArea dataOnly="0" labelOnly="1" outline="0" fieldPosition="0">
        <references count="1">
          <reference field="4294967294" count="1">
            <x v="4"/>
          </reference>
        </references>
      </pivotArea>
    </format>
    <format dxfId="581">
      <pivotArea outline="0" collapsedLevelsAreSubtotals="1" fieldPosition="0">
        <references count="1">
          <reference field="4294967294" count="2" selected="0">
            <x v="1"/>
            <x v="2"/>
          </reference>
        </references>
      </pivotArea>
    </format>
    <format dxfId="580">
      <pivotArea dataOnly="0" labelOnly="1" outline="0" fieldPosition="0">
        <references count="1">
          <reference field="4294967294" count="2">
            <x v="1"/>
            <x v="2"/>
          </reference>
        </references>
      </pivotArea>
    </format>
    <format dxfId="579">
      <pivotArea outline="0" collapsedLevelsAreSubtotals="1" fieldPosition="0">
        <references count="1">
          <reference field="4294967294" count="3" selected="0">
            <x v="3"/>
            <x v="4"/>
            <x v="5"/>
          </reference>
        </references>
      </pivotArea>
    </format>
    <format dxfId="578">
      <pivotArea outline="0" collapsedLevelsAreSubtotals="1" fieldPosition="0">
        <references count="1">
          <reference field="4294967294" count="3" selected="0">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08B413-1F16-48E2-AF67-FB56F441F3E9}" name="PivotTable3" cacheId="167"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location ref="A3:K372" firstHeaderRow="0" firstDataRow="1" firstDataCol="1" rowPageCount="1" colPageCount="1"/>
  <pivotFields count="24">
    <pivotField axis="axisPage" showAll="0">
      <items count="4">
        <item x="0"/>
        <item x="1"/>
        <item x="2"/>
        <item t="default"/>
      </items>
    </pivotField>
    <pivotField axis="axisRow" showAll="0" sortType="descending" defaultSubtotal="0">
      <items count="2">
        <item x="0"/>
        <item x="1"/>
      </items>
      <autoSortScope>
        <pivotArea dataOnly="0" outline="0" fieldPosition="0">
          <references count="1">
            <reference field="4294967294" count="1" selected="0">
              <x v="6"/>
            </reference>
          </references>
        </pivotArea>
      </autoSortScope>
    </pivotField>
    <pivotField axis="axisRow" showAll="0" sortType="descending" defaultSubtotal="0">
      <items count="5">
        <item x="0"/>
        <item x="3"/>
        <item x="1"/>
        <item x="2"/>
        <item x="4"/>
      </items>
      <autoSortScope>
        <pivotArea dataOnly="0" outline="0" fieldPosition="0">
          <references count="1">
            <reference field="4294967294" count="1" selected="0">
              <x v="6"/>
            </reference>
          </references>
        </pivotArea>
      </autoSortScope>
    </pivotField>
    <pivotField axis="axisRow" showAll="0" sortType="descending" defaultSubtotal="0">
      <items count="45">
        <item x="0"/>
        <item sd="0" x="2"/>
        <item sd="0" x="20"/>
        <item sd="0" x="21"/>
        <item sd="0" x="3"/>
        <item x="22"/>
        <item x="4"/>
        <item sd="0" x="6"/>
        <item sd="0" x="25"/>
        <item x="7"/>
        <item sd="0" x="28"/>
        <item x="8"/>
        <item sd="0" x="5"/>
        <item sd="0" x="44"/>
        <item sd="0" x="9"/>
        <item sd="0" x="29"/>
        <item sd="0" x="30"/>
        <item sd="0" x="31"/>
        <item sd="0" x="10"/>
        <item sd="0" x="23"/>
        <item sd="0" x="32"/>
        <item sd="0" x="33"/>
        <item sd="0" x="34"/>
        <item sd="0" x="35"/>
        <item sd="0" x="11"/>
        <item sd="0" x="26"/>
        <item sd="0" x="12"/>
        <item x="37"/>
        <item x="38"/>
        <item sd="0" x="27"/>
        <item sd="0" x="13"/>
        <item sd="0" x="14"/>
        <item x="15"/>
        <item sd="0" x="36"/>
        <item x="16"/>
        <item sd="0" x="17"/>
        <item sd="0" x="18"/>
        <item sd="0" x="19"/>
        <item sd="0" x="24"/>
        <item x="1"/>
        <item x="39"/>
        <item x="40"/>
        <item x="41"/>
        <item x="42"/>
        <item x="43"/>
      </items>
      <autoSortScope>
        <pivotArea dataOnly="0" outline="0" fieldPosition="0">
          <references count="1">
            <reference field="4294967294" count="1" selected="0">
              <x v="6"/>
            </reference>
          </references>
        </pivotArea>
      </autoSortScope>
    </pivotField>
    <pivotField axis="axisRow" showAll="0" sortType="descending" defaultSubtotal="0">
      <items count="148">
        <item sd="0" x="11"/>
        <item x="9"/>
        <item sd="0" x="25"/>
        <item sd="0" x="40"/>
        <item sd="0" x="70"/>
        <item sd="0" x="71"/>
        <item sd="0" x="42"/>
        <item sd="0" x="41"/>
        <item x="43"/>
        <item x="45"/>
        <item x="46"/>
        <item x="47"/>
        <item x="44"/>
        <item sd="0" x="52"/>
        <item sd="0" x="50"/>
        <item sd="0" x="51"/>
        <item x="10"/>
        <item sd="0" x="66"/>
        <item sd="0" x="21"/>
        <item sd="0" x="22"/>
        <item sd="0" x="15"/>
        <item sd="0" x="64"/>
        <item sd="0" x="65"/>
        <item sd="0" x="16"/>
        <item sd="0" x="19"/>
        <item sd="0" x="67"/>
        <item sd="0" x="23"/>
        <item sd="0" x="24"/>
        <item sd="0" x="56"/>
        <item sd="0" x="57"/>
        <item sd="0" x="55"/>
        <item sd="0" x="53"/>
        <item sd="0" x="54"/>
        <item sd="0" x="17"/>
        <item sd="0" x="20"/>
        <item sd="0" x="18"/>
        <item x="14"/>
        <item x="63"/>
        <item x="72"/>
        <item sd="0" x="82"/>
        <item sd="0" x="84"/>
        <item sd="0" x="83"/>
        <item sd="0" x="26"/>
        <item x="13"/>
        <item x="0"/>
        <item x="2"/>
        <item x="1"/>
        <item x="28"/>
        <item x="73"/>
        <item x="74"/>
        <item x="75"/>
        <item x="29"/>
        <item x="3"/>
        <item x="5"/>
        <item x="4"/>
        <item x="58"/>
        <item x="8"/>
        <item sd="0" x="12"/>
        <item sd="0" x="27"/>
        <item x="76"/>
        <item x="77"/>
        <item x="78"/>
        <item x="79"/>
        <item x="30"/>
        <item x="68"/>
        <item x="31"/>
        <item sd="0" x="92"/>
        <item sd="0" x="85"/>
        <item sd="0" x="86"/>
        <item sd="0" x="87"/>
        <item sd="0" x="88"/>
        <item sd="0" x="89"/>
        <item sd="0" x="90"/>
        <item x="69"/>
        <item x="32"/>
        <item x="33"/>
        <item sd="0" x="80"/>
        <item x="81"/>
        <item sd="0" x="35"/>
        <item sd="0" x="36"/>
        <item x="37"/>
        <item x="38"/>
        <item sd="0" x="39"/>
        <item x="62"/>
        <item x="48"/>
        <item x="49"/>
        <item x="6"/>
        <item x="7"/>
        <item sd="0" x="60"/>
        <item sd="0" x="61"/>
        <item sd="0" x="34"/>
        <item x="59"/>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s>
      <autoSortScope>
        <pivotArea dataOnly="0" outline="0" fieldPosition="0">
          <references count="1">
            <reference field="4294967294" count="1" selected="0">
              <x v="6"/>
            </reference>
          </references>
        </pivotArea>
      </autoSortScope>
    </pivotField>
    <pivotField axis="axisRow" showAll="0">
      <items count="250">
        <item x="113"/>
        <item x="111"/>
        <item x="112"/>
        <item x="114"/>
        <item x="110"/>
        <item x="115"/>
        <item x="116"/>
        <item x="117"/>
        <item x="28"/>
        <item x="29"/>
        <item x="30"/>
        <item x="31"/>
        <item x="12"/>
        <item x="13"/>
        <item x="14"/>
        <item x="15"/>
        <item x="20"/>
        <item x="21"/>
        <item x="22"/>
        <item x="23"/>
        <item x="16"/>
        <item x="17"/>
        <item x="18"/>
        <item x="19"/>
        <item x="32"/>
        <item x="33"/>
        <item x="34"/>
        <item x="35"/>
        <item x="147"/>
        <item x="152"/>
        <item x="144"/>
        <item x="145"/>
        <item x="146"/>
        <item x="151"/>
        <item x="148"/>
        <item x="150"/>
        <item x="149"/>
        <item x="153"/>
        <item x="155"/>
        <item x="154"/>
        <item x="156"/>
        <item x="157"/>
        <item x="158"/>
        <item x="159"/>
        <item x="160"/>
        <item x="161"/>
        <item x="162"/>
        <item x="163"/>
        <item x="165"/>
        <item x="166"/>
        <item x="167"/>
        <item x="168"/>
        <item x="169"/>
        <item x="170"/>
        <item x="173"/>
        <item x="171"/>
        <item x="172"/>
        <item x="176"/>
        <item x="174"/>
        <item x="175"/>
        <item x="177"/>
        <item x="182"/>
        <item x="183"/>
        <item x="178"/>
        <item x="179"/>
        <item x="180"/>
        <item x="181"/>
        <item x="184"/>
        <item x="185"/>
        <item x="186"/>
        <item x="187"/>
        <item x="188"/>
        <item x="189"/>
        <item x="103"/>
        <item x="67"/>
        <item x="68"/>
        <item x="69"/>
        <item x="164"/>
        <item x="0"/>
        <item x="1"/>
        <item x="2"/>
        <item x="3"/>
        <item x="4"/>
        <item x="5"/>
        <item x="6"/>
        <item x="7"/>
        <item x="8"/>
        <item x="9"/>
        <item x="10"/>
        <item x="11"/>
        <item x="24"/>
        <item x="25"/>
        <item x="26"/>
        <item x="27"/>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6"/>
        <item x="107"/>
        <item x="108"/>
        <item x="109"/>
        <item x="118"/>
        <item x="119"/>
        <item x="120"/>
        <item x="121"/>
        <item x="122"/>
        <item x="123"/>
        <item x="124"/>
        <item x="125"/>
        <item x="126"/>
        <item x="127"/>
        <item x="128"/>
        <item x="129"/>
        <item x="130"/>
        <item x="131"/>
        <item x="132"/>
        <item x="133"/>
        <item x="134"/>
        <item x="135"/>
        <item x="136"/>
        <item x="137"/>
        <item x="138"/>
        <item x="139"/>
        <item x="140"/>
        <item x="141"/>
        <item x="142"/>
        <item x="143"/>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t="default"/>
      </items>
    </pivotField>
    <pivotField showAll="0"/>
    <pivotField showAll="0"/>
    <pivotField showAll="0"/>
    <pivotField showAll="0"/>
    <pivotField dataField="1" numFmtId="164" showAll="0"/>
    <pivotField showAll="0"/>
    <pivotField dataField="1" numFmtId="10" showAll="0"/>
    <pivotField dataField="1" numFmtId="10" showAll="0"/>
    <pivotField dataField="1" showAll="0"/>
    <pivotField showAll="0"/>
    <pivotField dataField="1" numFmtId="164" showAll="0"/>
    <pivotField showAll="0"/>
    <pivotField dataField="1" showAll="0"/>
    <pivotField showAll="0"/>
    <pivotField dataField="1" numFmtId="166" showAll="0"/>
    <pivotField dataField="1" showAll="0"/>
    <pivotField dataField="1" numFmtId="164" showAll="0"/>
    <pivotField dataField="1" showAll="0"/>
  </pivotFields>
  <rowFields count="5">
    <field x="2"/>
    <field x="1"/>
    <field x="3"/>
    <field x="4"/>
    <field x="5"/>
  </rowFields>
  <rowItems count="369">
    <i>
      <x v="3"/>
    </i>
    <i r="1">
      <x/>
    </i>
    <i r="2">
      <x v="25"/>
    </i>
    <i r="2">
      <x v="8"/>
    </i>
    <i r="2">
      <x v="29"/>
    </i>
    <i r="2">
      <x v="9"/>
    </i>
    <i r="3">
      <x v="25"/>
    </i>
    <i r="3">
      <x v="22"/>
    </i>
    <i r="3">
      <x v="17"/>
    </i>
    <i r="3">
      <x v="21"/>
    </i>
    <i r="2">
      <x v="18"/>
    </i>
    <i>
      <x/>
    </i>
    <i r="1">
      <x v="1"/>
    </i>
    <i r="2">
      <x v="39"/>
    </i>
    <i r="3">
      <x v="91"/>
    </i>
    <i r="4">
      <x v="77"/>
    </i>
    <i r="2">
      <x v="32"/>
    </i>
    <i r="3">
      <x v="76"/>
    </i>
    <i r="2">
      <x v="44"/>
    </i>
    <i r="3">
      <x v="130"/>
    </i>
    <i r="4">
      <x v="231"/>
    </i>
    <i r="2">
      <x v="1"/>
    </i>
    <i r="2">
      <x v="36"/>
    </i>
    <i r="2">
      <x v="6"/>
    </i>
    <i r="3">
      <x v="39"/>
    </i>
    <i r="3">
      <x v="41"/>
    </i>
    <i r="3">
      <x v="40"/>
    </i>
    <i r="2">
      <x v="41"/>
    </i>
    <i r="3">
      <x v="66"/>
    </i>
    <i r="2">
      <x v="7"/>
    </i>
    <i r="2">
      <x v="30"/>
    </i>
    <i r="2">
      <x v="11"/>
    </i>
    <i r="3">
      <x v="2"/>
    </i>
    <i r="3">
      <x v="58"/>
    </i>
    <i r="3">
      <x v="42"/>
    </i>
    <i r="2">
      <x v="34"/>
    </i>
    <i r="3">
      <x v="79"/>
    </i>
    <i r="3">
      <x v="78"/>
    </i>
    <i r="2">
      <x v="18"/>
    </i>
    <i r="2">
      <x v="37"/>
    </i>
    <i r="2">
      <x v="24"/>
    </i>
    <i r="2">
      <x v="40"/>
    </i>
    <i r="3">
      <x v="92"/>
    </i>
    <i r="4">
      <x v="190"/>
    </i>
    <i r="2">
      <x v="26"/>
    </i>
    <i r="2">
      <x v="43"/>
    </i>
    <i r="3">
      <x v="115"/>
    </i>
    <i r="4">
      <x v="216"/>
    </i>
    <i r="3">
      <x v="126"/>
    </i>
    <i r="4">
      <x v="227"/>
    </i>
    <i r="3">
      <x v="124"/>
    </i>
    <i r="4">
      <x v="225"/>
    </i>
    <i r="3">
      <x v="116"/>
    </i>
    <i r="4">
      <x v="217"/>
    </i>
    <i r="3">
      <x v="128"/>
    </i>
    <i r="4">
      <x v="229"/>
    </i>
    <i r="3">
      <x v="117"/>
    </i>
    <i r="4">
      <x v="218"/>
    </i>
    <i r="3">
      <x v="123"/>
    </i>
    <i r="4">
      <x v="224"/>
    </i>
    <i r="3">
      <x v="118"/>
    </i>
    <i r="4">
      <x v="219"/>
    </i>
    <i r="3">
      <x v="125"/>
    </i>
    <i r="4">
      <x v="226"/>
    </i>
    <i r="3">
      <x v="119"/>
    </i>
    <i r="4">
      <x v="220"/>
    </i>
    <i r="3">
      <x v="127"/>
    </i>
    <i r="4">
      <x v="228"/>
    </i>
    <i r="3">
      <x v="120"/>
    </i>
    <i r="4">
      <x v="221"/>
    </i>
    <i r="3">
      <x v="129"/>
    </i>
    <i r="4">
      <x v="230"/>
    </i>
    <i r="3">
      <x v="121"/>
    </i>
    <i r="4">
      <x v="222"/>
    </i>
    <i r="3">
      <x v="122"/>
    </i>
    <i r="4">
      <x v="223"/>
    </i>
    <i r="2">
      <x v="27"/>
    </i>
    <i r="3">
      <x v="67"/>
    </i>
    <i r="3">
      <x v="69"/>
    </i>
    <i r="3">
      <x v="68"/>
    </i>
    <i r="2">
      <x/>
    </i>
    <i r="3">
      <x v="3"/>
    </i>
    <i r="3">
      <x v="7"/>
    </i>
    <i r="3">
      <x v="6"/>
    </i>
    <i r="2">
      <x v="28"/>
    </i>
    <i r="3">
      <x v="70"/>
    </i>
    <i r="3">
      <x v="72"/>
    </i>
    <i r="3">
      <x v="71"/>
    </i>
    <i r="1">
      <x/>
    </i>
    <i r="2">
      <x v="32"/>
    </i>
    <i r="3">
      <x v="90"/>
    </i>
    <i r="2">
      <x v="24"/>
    </i>
    <i r="2">
      <x v="37"/>
    </i>
    <i r="2">
      <x v="1"/>
    </i>
    <i r="2">
      <x v="30"/>
    </i>
    <i r="2">
      <x v="4"/>
    </i>
    <i r="2">
      <x v="35"/>
    </i>
    <i r="2">
      <x v="6"/>
    </i>
    <i r="3">
      <x v="57"/>
    </i>
    <i r="3">
      <x/>
    </i>
    <i r="2">
      <x/>
    </i>
    <i r="3">
      <x v="44"/>
    </i>
    <i r="4">
      <x v="78"/>
    </i>
    <i r="4">
      <x v="79"/>
    </i>
    <i r="4">
      <x v="80"/>
    </i>
    <i r="4">
      <x v="81"/>
    </i>
    <i r="3">
      <x v="46"/>
    </i>
    <i r="4">
      <x v="82"/>
    </i>
    <i r="4">
      <x v="83"/>
    </i>
    <i r="4">
      <x v="84"/>
    </i>
    <i r="4">
      <x v="85"/>
    </i>
    <i r="3">
      <x v="45"/>
    </i>
    <i r="4">
      <x v="86"/>
    </i>
    <i r="4">
      <x v="87"/>
    </i>
    <i r="4">
      <x v="88"/>
    </i>
    <i r="4">
      <x v="89"/>
    </i>
    <i r="2">
      <x v="7"/>
    </i>
    <i r="2">
      <x v="26"/>
    </i>
    <i r="2">
      <x v="9"/>
    </i>
    <i r="3">
      <x v="33"/>
    </i>
    <i r="3">
      <x v="26"/>
    </i>
    <i r="3">
      <x v="35"/>
    </i>
    <i r="3">
      <x v="19"/>
    </i>
    <i r="3">
      <x v="27"/>
    </i>
    <i r="3">
      <x v="20"/>
    </i>
    <i r="3">
      <x v="34"/>
    </i>
    <i r="3">
      <x v="23"/>
    </i>
    <i r="3">
      <x v="18"/>
    </i>
    <i r="3">
      <x v="24"/>
    </i>
    <i r="2">
      <x v="31"/>
    </i>
    <i r="2">
      <x v="11"/>
    </i>
    <i r="3">
      <x v="2"/>
    </i>
    <i r="3">
      <x v="58"/>
    </i>
    <i r="3">
      <x v="42"/>
    </i>
    <i r="2">
      <x v="34"/>
    </i>
    <i r="3">
      <x v="79"/>
    </i>
    <i r="3">
      <x v="78"/>
    </i>
    <i r="2">
      <x v="12"/>
    </i>
    <i r="2">
      <x v="36"/>
    </i>
    <i r="2">
      <x v="13"/>
    </i>
    <i r="2">
      <x v="39"/>
    </i>
    <i r="3">
      <x v="86"/>
    </i>
    <i r="4">
      <x v="90"/>
    </i>
    <i r="4">
      <x v="91"/>
    </i>
    <i r="4">
      <x v="92"/>
    </i>
    <i r="4">
      <x v="93"/>
    </i>
    <i r="2">
      <x v="14"/>
    </i>
    <i r="2">
      <x v="18"/>
    </i>
    <i>
      <x v="4"/>
    </i>
    <i r="1">
      <x/>
    </i>
    <i r="2">
      <x v="42"/>
    </i>
    <i r="3">
      <x v="108"/>
    </i>
    <i r="4">
      <x v="209"/>
    </i>
    <i r="3">
      <x v="104"/>
    </i>
    <i r="4">
      <x v="205"/>
    </i>
    <i r="3">
      <x v="112"/>
    </i>
    <i r="4">
      <x v="213"/>
    </i>
    <i r="3">
      <x v="94"/>
    </i>
    <i r="4">
      <x v="195"/>
    </i>
    <i r="3">
      <x v="106"/>
    </i>
    <i r="4">
      <x v="207"/>
    </i>
    <i r="3">
      <x v="95"/>
    </i>
    <i r="4">
      <x v="196"/>
    </i>
    <i r="3">
      <x v="110"/>
    </i>
    <i r="4">
      <x v="211"/>
    </i>
    <i r="3">
      <x v="96"/>
    </i>
    <i r="4">
      <x v="197"/>
    </i>
    <i r="3">
      <x v="114"/>
    </i>
    <i r="4">
      <x v="215"/>
    </i>
    <i r="3">
      <x v="97"/>
    </i>
    <i r="4">
      <x v="198"/>
    </i>
    <i r="3">
      <x v="105"/>
    </i>
    <i r="4">
      <x v="206"/>
    </i>
    <i r="3">
      <x v="98"/>
    </i>
    <i r="4">
      <x v="199"/>
    </i>
    <i r="3">
      <x v="107"/>
    </i>
    <i r="4">
      <x v="208"/>
    </i>
    <i r="3">
      <x v="99"/>
    </i>
    <i r="4">
      <x v="200"/>
    </i>
    <i r="3">
      <x v="109"/>
    </i>
    <i r="4">
      <x v="210"/>
    </i>
    <i r="3">
      <x v="100"/>
    </i>
    <i r="4">
      <x v="201"/>
    </i>
    <i r="3">
      <x v="111"/>
    </i>
    <i r="4">
      <x v="212"/>
    </i>
    <i r="3">
      <x v="101"/>
    </i>
    <i r="4">
      <x v="202"/>
    </i>
    <i r="3">
      <x v="113"/>
    </i>
    <i r="4">
      <x v="214"/>
    </i>
    <i r="3">
      <x v="102"/>
    </i>
    <i r="4">
      <x v="203"/>
    </i>
    <i r="3">
      <x v="93"/>
    </i>
    <i r="4">
      <x v="194"/>
    </i>
    <i r="3">
      <x v="103"/>
    </i>
    <i r="4">
      <x v="204"/>
    </i>
    <i>
      <x v="1"/>
    </i>
    <i r="1">
      <x v="1"/>
    </i>
    <i r="2">
      <x/>
    </i>
    <i r="3">
      <x v="5"/>
    </i>
    <i r="3">
      <x v="4"/>
    </i>
    <i r="2">
      <x v="34"/>
    </i>
    <i r="3">
      <x v="79"/>
    </i>
    <i r="3">
      <x v="78"/>
    </i>
    <i r="2">
      <x v="30"/>
    </i>
    <i r="2">
      <x v="1"/>
    </i>
    <i r="2">
      <x v="37"/>
    </i>
    <i r="2">
      <x v="6"/>
    </i>
    <i r="3">
      <x v="41"/>
    </i>
    <i r="3">
      <x v="39"/>
    </i>
    <i r="2">
      <x v="28"/>
    </i>
    <i r="3">
      <x v="72"/>
    </i>
    <i r="3">
      <x v="71"/>
    </i>
    <i r="2">
      <x v="7"/>
    </i>
    <i r="2">
      <x v="32"/>
    </i>
    <i r="3">
      <x v="76"/>
    </i>
    <i r="2">
      <x v="18"/>
    </i>
    <i r="2">
      <x v="36"/>
    </i>
    <i r="2">
      <x v="24"/>
    </i>
    <i r="2">
      <x v="40"/>
    </i>
    <i r="3">
      <x v="92"/>
    </i>
    <i r="4">
      <x v="191"/>
    </i>
    <i r="2">
      <x v="26"/>
    </i>
    <i r="2">
      <x v="27"/>
    </i>
    <i r="3">
      <x v="69"/>
    </i>
    <i r="3">
      <x v="68"/>
    </i>
    <i r="1">
      <x/>
    </i>
    <i r="2">
      <x v="26"/>
    </i>
    <i r="2">
      <x/>
    </i>
    <i r="3">
      <x v="5"/>
    </i>
    <i r="3">
      <x v="4"/>
    </i>
    <i r="2">
      <x v="33"/>
    </i>
    <i r="2">
      <x v="1"/>
    </i>
    <i r="2">
      <x v="23"/>
    </i>
    <i r="2">
      <x v="4"/>
    </i>
    <i r="2">
      <x v="31"/>
    </i>
    <i r="2">
      <x v="6"/>
    </i>
    <i r="3">
      <x v="57"/>
    </i>
    <i r="3">
      <x/>
    </i>
    <i r="2">
      <x v="36"/>
    </i>
    <i r="2">
      <x v="7"/>
    </i>
    <i r="2">
      <x v="22"/>
    </i>
    <i r="2">
      <x v="10"/>
    </i>
    <i r="2">
      <x v="24"/>
    </i>
    <i r="2">
      <x v="15"/>
    </i>
    <i r="2">
      <x v="30"/>
    </i>
    <i r="2">
      <x v="16"/>
    </i>
    <i r="2">
      <x v="32"/>
    </i>
    <i r="3">
      <x v="76"/>
    </i>
    <i r="2">
      <x v="17"/>
    </i>
    <i r="2">
      <x v="34"/>
    </i>
    <i r="3">
      <x v="79"/>
    </i>
    <i r="3">
      <x v="78"/>
    </i>
    <i r="2">
      <x v="18"/>
    </i>
    <i r="2">
      <x v="37"/>
    </i>
    <i r="2">
      <x v="20"/>
    </i>
    <i r="2">
      <x v="21"/>
    </i>
    <i>
      <x v="2"/>
    </i>
    <i r="1">
      <x v="1"/>
    </i>
    <i r="2">
      <x v="43"/>
    </i>
    <i r="3">
      <x v="147"/>
    </i>
    <i r="4">
      <x v="248"/>
    </i>
    <i r="3">
      <x v="143"/>
    </i>
    <i r="4">
      <x v="244"/>
    </i>
    <i r="3">
      <x v="141"/>
    </i>
    <i r="4">
      <x v="242"/>
    </i>
    <i r="3">
      <x v="133"/>
    </i>
    <i r="4">
      <x v="234"/>
    </i>
    <i r="3">
      <x v="145"/>
    </i>
    <i r="4">
      <x v="246"/>
    </i>
    <i r="3">
      <x v="134"/>
    </i>
    <i r="4">
      <x v="235"/>
    </i>
    <i r="3">
      <x v="140"/>
    </i>
    <i r="4">
      <x v="241"/>
    </i>
    <i r="3">
      <x v="135"/>
    </i>
    <i r="4">
      <x v="236"/>
    </i>
    <i r="3">
      <x v="142"/>
    </i>
    <i r="4">
      <x v="243"/>
    </i>
    <i r="3">
      <x v="136"/>
    </i>
    <i r="4">
      <x v="237"/>
    </i>
    <i r="3">
      <x v="144"/>
    </i>
    <i r="4">
      <x v="245"/>
    </i>
    <i r="3">
      <x v="137"/>
    </i>
    <i r="4">
      <x v="238"/>
    </i>
    <i r="3">
      <x v="146"/>
    </i>
    <i r="4">
      <x v="247"/>
    </i>
    <i r="3">
      <x v="138"/>
    </i>
    <i r="4">
      <x v="239"/>
    </i>
    <i r="3">
      <x v="132"/>
    </i>
    <i r="4">
      <x v="233"/>
    </i>
    <i r="3">
      <x v="139"/>
    </i>
    <i r="4">
      <x v="240"/>
    </i>
    <i r="2">
      <x v="40"/>
    </i>
    <i r="3">
      <x v="92"/>
    </i>
    <i r="4">
      <x v="192"/>
    </i>
    <i r="2">
      <x/>
    </i>
    <i r="3">
      <x v="3"/>
    </i>
    <i r="3">
      <x v="7"/>
    </i>
    <i r="3">
      <x v="6"/>
    </i>
    <i r="2">
      <x v="39"/>
    </i>
    <i r="3">
      <x v="91"/>
    </i>
    <i r="4">
      <x v="73"/>
    </i>
    <i r="1">
      <x/>
    </i>
    <i r="2">
      <x v="38"/>
    </i>
    <i r="2">
      <x v="24"/>
    </i>
    <i r="2">
      <x v="18"/>
    </i>
    <i r="2">
      <x v="1"/>
    </i>
    <i r="2">
      <x v="32"/>
    </i>
    <i r="3">
      <x v="89"/>
    </i>
    <i r="3">
      <x v="88"/>
    </i>
    <i r="2">
      <x v="2"/>
    </i>
    <i r="2">
      <x/>
    </i>
    <i r="3">
      <x v="52"/>
    </i>
    <i r="4">
      <x v="12"/>
    </i>
    <i r="4">
      <x v="13"/>
    </i>
    <i r="4">
      <x v="14"/>
    </i>
    <i r="4">
      <x v="15"/>
    </i>
    <i r="3">
      <x v="54"/>
    </i>
    <i r="4">
      <x v="20"/>
    </i>
    <i r="4">
      <x v="21"/>
    </i>
    <i r="4">
      <x v="22"/>
    </i>
    <i r="4">
      <x v="23"/>
    </i>
    <i r="3">
      <x v="53"/>
    </i>
    <i r="4">
      <x v="16"/>
    </i>
    <i r="4">
      <x v="17"/>
    </i>
    <i r="4">
      <x v="18"/>
    </i>
    <i r="4">
      <x v="19"/>
    </i>
    <i r="2">
      <x v="3"/>
    </i>
    <i r="2">
      <x v="19"/>
    </i>
    <i r="2">
      <x v="4"/>
    </i>
    <i r="2">
      <x v="30"/>
    </i>
    <i r="2">
      <x v="5"/>
    </i>
    <i r="3">
      <x v="13"/>
    </i>
    <i r="3">
      <x v="15"/>
    </i>
    <i r="3">
      <x v="14"/>
    </i>
    <i r="2">
      <x v="34"/>
    </i>
    <i r="3">
      <x v="79"/>
    </i>
    <i r="3">
      <x v="78"/>
    </i>
    <i r="2">
      <x v="7"/>
    </i>
    <i r="2">
      <x v="39"/>
    </i>
    <i r="3">
      <x v="87"/>
    </i>
    <i r="4">
      <x v="8"/>
    </i>
    <i r="4">
      <x v="9"/>
    </i>
    <i r="4">
      <x v="10"/>
    </i>
    <i r="4">
      <x v="11"/>
    </i>
    <i r="3">
      <x v="56"/>
    </i>
    <i r="4">
      <x v="24"/>
    </i>
    <i r="4">
      <x v="25"/>
    </i>
    <i r="4">
      <x v="26"/>
    </i>
    <i r="4">
      <x v="27"/>
    </i>
    <i r="2">
      <x v="9"/>
    </i>
    <i r="3">
      <x v="18"/>
    </i>
    <i r="3">
      <x v="32"/>
    </i>
    <i r="3">
      <x v="30"/>
    </i>
    <i r="3">
      <x v="19"/>
    </i>
    <i r="3">
      <x v="34"/>
    </i>
    <i r="3">
      <x v="20"/>
    </i>
    <i r="3">
      <x v="29"/>
    </i>
    <i r="3">
      <x v="23"/>
    </i>
    <i r="3">
      <x v="31"/>
    </i>
    <i r="3">
      <x v="24"/>
    </i>
    <i r="3">
      <x v="33"/>
    </i>
    <i r="3">
      <x v="26"/>
    </i>
    <i r="3">
      <x v="35"/>
    </i>
    <i r="3">
      <x v="27"/>
    </i>
    <i r="3">
      <x v="28"/>
    </i>
    <i r="2">
      <x v="11"/>
    </i>
    <i r="3">
      <x v="2"/>
    </i>
    <i r="3">
      <x v="58"/>
    </i>
    <i r="3">
      <x v="42"/>
    </i>
  </rowItems>
  <colFields count="1">
    <field x="-2"/>
  </colFields>
  <colItems count="10">
    <i>
      <x/>
    </i>
    <i i="1">
      <x v="1"/>
    </i>
    <i i="2">
      <x v="2"/>
    </i>
    <i i="3">
      <x v="3"/>
    </i>
    <i i="4">
      <x v="4"/>
    </i>
    <i i="5">
      <x v="5"/>
    </i>
    <i i="6">
      <x v="6"/>
    </i>
    <i i="7">
      <x v="7"/>
    </i>
    <i i="8">
      <x v="8"/>
    </i>
    <i i="9">
      <x v="9"/>
    </i>
  </colItems>
  <pageFields count="1">
    <pageField fld="0" item="0" hier="-1"/>
  </pageFields>
  <dataFields count="10">
    <dataField name="2026 List " fld="10" baseField="2" baseItem="3" numFmtId="164"/>
    <dataField name="Discount 1" fld="12" baseField="0" baseItem="0" numFmtId="10"/>
    <dataField name="Discount 2" fld="13" baseField="0" baseItem="0" numFmtId="10"/>
    <dataField name="Discount 1 Net Rate" fld="14" baseField="0" baseItem="0" numFmtId="164"/>
    <dataField name="Net Change" fld="16" subtotal="average" baseField="4" baseItem="29" numFmtId="164"/>
    <dataField name="Discount 2 Net Rate" fld="18" baseField="0" baseItem="0" numFmtId="164"/>
    <dataField name="Occurrences " fld="20" baseField="0" baseItem="0" numFmtId="166"/>
    <dataField name="Discount 1 Net Spend" fld="21" baseField="0" baseItem="0" numFmtId="168"/>
    <dataField name="Net Spend Change " fld="22" baseField="0" baseItem="0" numFmtId="168"/>
    <dataField name="Discount 2 Net Spend" fld="23" baseField="0" baseItem="0" numFmtId="168"/>
  </dataFields>
  <formats count="285">
    <format dxfId="577">
      <pivotArea outline="0" collapsedLevelsAreSubtotals="1" fieldPosition="0">
        <references count="1">
          <reference field="4294967294" count="1" selected="0">
            <x v="6"/>
          </reference>
        </references>
      </pivotArea>
    </format>
    <format dxfId="576">
      <pivotArea collapsedLevelsAreSubtotals="1" fieldPosition="0">
        <references count="4">
          <reference field="4294967294" count="1" selected="0">
            <x v="4"/>
          </reference>
          <reference field="1" count="1" selected="0">
            <x v="0"/>
          </reference>
          <reference field="2" count="1" selected="0">
            <x v="2"/>
          </reference>
          <reference field="3" count="1">
            <x v="18"/>
          </reference>
        </references>
      </pivotArea>
    </format>
    <format dxfId="575">
      <pivotArea collapsedLevelsAreSubtotals="1" fieldPosition="0">
        <references count="4">
          <reference field="4294967294" count="1" selected="0">
            <x v="4"/>
          </reference>
          <reference field="1" count="1" selected="0">
            <x v="0"/>
          </reference>
          <reference field="2" count="1" selected="0">
            <x v="2"/>
          </reference>
          <reference field="3" count="1">
            <x v="32"/>
          </reference>
        </references>
      </pivotArea>
    </format>
    <format dxfId="574">
      <pivotArea type="all" dataOnly="0" outline="0" fieldPosition="0"/>
    </format>
    <format dxfId="573">
      <pivotArea outline="0" collapsedLevelsAreSubtotals="1" fieldPosition="0"/>
    </format>
    <format dxfId="572">
      <pivotArea field="2" type="button" dataOnly="0" labelOnly="1" outline="0" axis="axisRow" fieldPosition="0"/>
    </format>
    <format dxfId="571">
      <pivotArea dataOnly="0" labelOnly="1" fieldPosition="0">
        <references count="1">
          <reference field="2" count="0"/>
        </references>
      </pivotArea>
    </format>
    <format dxfId="570">
      <pivotArea dataOnly="0" labelOnly="1" fieldPosition="0">
        <references count="2">
          <reference field="1" count="0"/>
          <reference field="2" count="1" selected="0">
            <x v="2"/>
          </reference>
        </references>
      </pivotArea>
    </format>
    <format dxfId="569">
      <pivotArea dataOnly="0" labelOnly="1" fieldPosition="0">
        <references count="2">
          <reference field="1" count="0"/>
          <reference field="2" count="1" selected="0">
            <x v="0"/>
          </reference>
        </references>
      </pivotArea>
    </format>
    <format dxfId="568">
      <pivotArea dataOnly="0" labelOnly="1" fieldPosition="0">
        <references count="2">
          <reference field="1" count="1">
            <x v="0"/>
          </reference>
          <reference field="2" count="1" selected="0">
            <x v="3"/>
          </reference>
        </references>
      </pivotArea>
    </format>
    <format dxfId="567">
      <pivotArea dataOnly="0" labelOnly="1" fieldPosition="0">
        <references count="2">
          <reference field="1" count="0"/>
          <reference field="2" count="1" selected="0">
            <x v="1"/>
          </reference>
        </references>
      </pivotArea>
    </format>
    <format dxfId="566">
      <pivotArea dataOnly="0" labelOnly="1" fieldPosition="0">
        <references count="3">
          <reference field="1" count="1" selected="0">
            <x v="0"/>
          </reference>
          <reference field="2" count="1" selected="0">
            <x v="2"/>
          </reference>
          <reference field="3" count="17">
            <x v="0"/>
            <x v="1"/>
            <x v="2"/>
            <x v="3"/>
            <x v="4"/>
            <x v="5"/>
            <x v="7"/>
            <x v="9"/>
            <x v="11"/>
            <x v="18"/>
            <x v="19"/>
            <x v="24"/>
            <x v="30"/>
            <x v="32"/>
            <x v="34"/>
            <x v="38"/>
            <x v="39"/>
          </reference>
        </references>
      </pivotArea>
    </format>
    <format dxfId="565">
      <pivotArea dataOnly="0" labelOnly="1" fieldPosition="0">
        <references count="3">
          <reference field="1" count="1" selected="0">
            <x v="1"/>
          </reference>
          <reference field="2" count="1" selected="0">
            <x v="2"/>
          </reference>
          <reference field="3" count="2">
            <x v="0"/>
            <x v="39"/>
          </reference>
        </references>
      </pivotArea>
    </format>
    <format dxfId="564">
      <pivotArea dataOnly="0" labelOnly="1" fieldPosition="0">
        <references count="3">
          <reference field="1" count="1" selected="0">
            <x v="0"/>
          </reference>
          <reference field="2" count="1" selected="0">
            <x v="0"/>
          </reference>
          <reference field="3" count="20">
            <x v="0"/>
            <x v="1"/>
            <x v="4"/>
            <x v="6"/>
            <x v="7"/>
            <x v="9"/>
            <x v="11"/>
            <x v="12"/>
            <x v="14"/>
            <x v="18"/>
            <x v="24"/>
            <x v="26"/>
            <x v="30"/>
            <x v="31"/>
            <x v="32"/>
            <x v="34"/>
            <x v="35"/>
            <x v="36"/>
            <x v="37"/>
            <x v="39"/>
          </reference>
        </references>
      </pivotArea>
    </format>
    <format dxfId="563">
      <pivotArea dataOnly="0" labelOnly="1" fieldPosition="0">
        <references count="3">
          <reference field="1" count="1" selected="0">
            <x v="1"/>
          </reference>
          <reference field="2" count="1" selected="0">
            <x v="0"/>
          </reference>
          <reference field="3" count="17">
            <x v="0"/>
            <x v="1"/>
            <x v="6"/>
            <x v="7"/>
            <x v="11"/>
            <x v="13"/>
            <x v="18"/>
            <x v="24"/>
            <x v="26"/>
            <x v="27"/>
            <x v="28"/>
            <x v="30"/>
            <x v="32"/>
            <x v="34"/>
            <x v="36"/>
            <x v="37"/>
            <x v="39"/>
          </reference>
        </references>
      </pivotArea>
    </format>
    <format dxfId="562">
      <pivotArea dataOnly="0" labelOnly="1" fieldPosition="0">
        <references count="3">
          <reference field="1" count="1" selected="0">
            <x v="0"/>
          </reference>
          <reference field="2" count="1" selected="0">
            <x v="3"/>
          </reference>
          <reference field="3" count="5">
            <x v="8"/>
            <x v="9"/>
            <x v="18"/>
            <x v="25"/>
            <x v="29"/>
          </reference>
        </references>
      </pivotArea>
    </format>
    <format dxfId="561">
      <pivotArea dataOnly="0" labelOnly="1" fieldPosition="0">
        <references count="3">
          <reference field="1" count="1" selected="0">
            <x v="1"/>
          </reference>
          <reference field="2" count="1" selected="0">
            <x v="1"/>
          </reference>
          <reference field="3" count="14">
            <x v="0"/>
            <x v="1"/>
            <x v="6"/>
            <x v="7"/>
            <x v="18"/>
            <x v="24"/>
            <x v="26"/>
            <x v="27"/>
            <x v="28"/>
            <x v="30"/>
            <x v="32"/>
            <x v="34"/>
            <x v="36"/>
            <x v="37"/>
          </reference>
        </references>
      </pivotArea>
    </format>
    <format dxfId="560">
      <pivotArea dataOnly="0" labelOnly="1" fieldPosition="0">
        <references count="3">
          <reference field="1" count="1" selected="0">
            <x v="0"/>
          </reference>
          <reference field="2" count="1" selected="0">
            <x v="1"/>
          </reference>
          <reference field="3" count="23">
            <x v="0"/>
            <x v="1"/>
            <x v="4"/>
            <x v="6"/>
            <x v="7"/>
            <x v="10"/>
            <x v="15"/>
            <x v="16"/>
            <x v="17"/>
            <x v="18"/>
            <x v="20"/>
            <x v="21"/>
            <x v="22"/>
            <x v="23"/>
            <x v="24"/>
            <x v="26"/>
            <x v="30"/>
            <x v="31"/>
            <x v="32"/>
            <x v="33"/>
            <x v="34"/>
            <x v="36"/>
            <x v="37"/>
          </reference>
        </references>
      </pivotArea>
    </format>
    <format dxfId="559">
      <pivotArea dataOnly="0" labelOnly="1" fieldPosition="0">
        <references count="4">
          <reference field="1" count="1" selected="0">
            <x v="0"/>
          </reference>
          <reference field="2" count="1" selected="0">
            <x v="2"/>
          </reference>
          <reference field="3" count="1" selected="0">
            <x v="32"/>
          </reference>
          <reference field="4" count="2">
            <x v="88"/>
            <x v="89"/>
          </reference>
        </references>
      </pivotArea>
    </format>
    <format dxfId="558">
      <pivotArea dataOnly="0" labelOnly="1" fieldPosition="0">
        <references count="4">
          <reference field="1" count="1" selected="0">
            <x v="0"/>
          </reference>
          <reference field="2" count="1" selected="0">
            <x v="2"/>
          </reference>
          <reference field="3" count="1" selected="0">
            <x v="9"/>
          </reference>
          <reference field="4" count="15">
            <x v="18"/>
            <x v="19"/>
            <x v="20"/>
            <x v="23"/>
            <x v="24"/>
            <x v="26"/>
            <x v="27"/>
            <x v="28"/>
            <x v="29"/>
            <x v="30"/>
            <x v="31"/>
            <x v="32"/>
            <x v="33"/>
            <x v="34"/>
            <x v="35"/>
          </reference>
        </references>
      </pivotArea>
    </format>
    <format dxfId="557">
      <pivotArea dataOnly="0" labelOnly="1" fieldPosition="0">
        <references count="4">
          <reference field="1" count="1" selected="0">
            <x v="0"/>
          </reference>
          <reference field="2" count="1" selected="0">
            <x v="2"/>
          </reference>
          <reference field="3" count="1" selected="0">
            <x v="0"/>
          </reference>
          <reference field="4" count="3">
            <x v="52"/>
            <x v="53"/>
            <x v="54"/>
          </reference>
        </references>
      </pivotArea>
    </format>
    <format dxfId="556">
      <pivotArea dataOnly="0" labelOnly="1" fieldPosition="0">
        <references count="4">
          <reference field="1" count="1" selected="0">
            <x v="0"/>
          </reference>
          <reference field="2" count="1" selected="0">
            <x v="2"/>
          </reference>
          <reference field="3" count="1" selected="0">
            <x v="39"/>
          </reference>
          <reference field="4" count="2">
            <x v="56"/>
            <x v="87"/>
          </reference>
        </references>
      </pivotArea>
    </format>
    <format dxfId="555">
      <pivotArea dataOnly="0" labelOnly="1" fieldPosition="0">
        <references count="4">
          <reference field="1" count="1" selected="0">
            <x v="0"/>
          </reference>
          <reference field="2" count="1" selected="0">
            <x v="2"/>
          </reference>
          <reference field="3" count="1" selected="0">
            <x v="11"/>
          </reference>
          <reference field="4" count="3">
            <x v="2"/>
            <x v="42"/>
            <x v="58"/>
          </reference>
        </references>
      </pivotArea>
    </format>
    <format dxfId="554">
      <pivotArea dataOnly="0" labelOnly="1" fieldPosition="0">
        <references count="4">
          <reference field="1" count="1" selected="0">
            <x v="0"/>
          </reference>
          <reference field="2" count="1" selected="0">
            <x v="2"/>
          </reference>
          <reference field="3" count="1" selected="0">
            <x v="5"/>
          </reference>
          <reference field="4" count="3">
            <x v="13"/>
            <x v="14"/>
            <x v="15"/>
          </reference>
        </references>
      </pivotArea>
    </format>
    <format dxfId="553">
      <pivotArea dataOnly="0" labelOnly="1" fieldPosition="0">
        <references count="4">
          <reference field="1" count="1" selected="0">
            <x v="0"/>
          </reference>
          <reference field="2" count="1" selected="0">
            <x v="2"/>
          </reference>
          <reference field="3" count="1" selected="0">
            <x v="34"/>
          </reference>
          <reference field="4" count="2">
            <x v="78"/>
            <x v="79"/>
          </reference>
        </references>
      </pivotArea>
    </format>
    <format dxfId="552">
      <pivotArea dataOnly="0" labelOnly="1" fieldPosition="0">
        <references count="4">
          <reference field="1" count="1" selected="0">
            <x v="1"/>
          </reference>
          <reference field="2" count="1" selected="0">
            <x v="2"/>
          </reference>
          <reference field="3" count="1" selected="0">
            <x v="0"/>
          </reference>
          <reference field="4" count="3">
            <x v="3"/>
            <x v="6"/>
            <x v="7"/>
          </reference>
        </references>
      </pivotArea>
    </format>
    <format dxfId="551">
      <pivotArea dataOnly="0" labelOnly="1" fieldPosition="0">
        <references count="4">
          <reference field="1" count="1" selected="0">
            <x v="1"/>
          </reference>
          <reference field="2" count="1" selected="0">
            <x v="2"/>
          </reference>
          <reference field="3" count="1" selected="0">
            <x v="39"/>
          </reference>
          <reference field="4" count="1">
            <x v="91"/>
          </reference>
        </references>
      </pivotArea>
    </format>
    <format dxfId="550">
      <pivotArea dataOnly="0" labelOnly="1" fieldPosition="0">
        <references count="4">
          <reference field="1" count="1" selected="0">
            <x v="0"/>
          </reference>
          <reference field="2" count="1" selected="0">
            <x v="0"/>
          </reference>
          <reference field="3" count="1" selected="0">
            <x v="32"/>
          </reference>
          <reference field="4" count="1">
            <x v="90"/>
          </reference>
        </references>
      </pivotArea>
    </format>
    <format dxfId="549">
      <pivotArea dataOnly="0" labelOnly="1" fieldPosition="0">
        <references count="4">
          <reference field="1" count="1" selected="0">
            <x v="0"/>
          </reference>
          <reference field="2" count="1" selected="0">
            <x v="0"/>
          </reference>
          <reference field="3" count="1" selected="0">
            <x v="9"/>
          </reference>
          <reference field="4" count="10">
            <x v="18"/>
            <x v="19"/>
            <x v="20"/>
            <x v="23"/>
            <x v="24"/>
            <x v="26"/>
            <x v="27"/>
            <x v="33"/>
            <x v="34"/>
            <x v="35"/>
          </reference>
        </references>
      </pivotArea>
    </format>
    <format dxfId="548">
      <pivotArea dataOnly="0" labelOnly="1" fieldPosition="0">
        <references count="4">
          <reference field="1" count="1" selected="0">
            <x v="0"/>
          </reference>
          <reference field="2" count="1" selected="0">
            <x v="0"/>
          </reference>
          <reference field="3" count="1" selected="0">
            <x v="0"/>
          </reference>
          <reference field="4" count="3">
            <x v="44"/>
            <x v="45"/>
            <x v="46"/>
          </reference>
        </references>
      </pivotArea>
    </format>
    <format dxfId="547">
      <pivotArea dataOnly="0" labelOnly="1" fieldPosition="0">
        <references count="4">
          <reference field="1" count="1" selected="0">
            <x v="0"/>
          </reference>
          <reference field="2" count="1" selected="0">
            <x v="0"/>
          </reference>
          <reference field="3" count="1" selected="0">
            <x v="11"/>
          </reference>
          <reference field="4" count="3">
            <x v="2"/>
            <x v="42"/>
            <x v="58"/>
          </reference>
        </references>
      </pivotArea>
    </format>
    <format dxfId="546">
      <pivotArea dataOnly="0" labelOnly="1" fieldPosition="0">
        <references count="4">
          <reference field="1" count="1" selected="0">
            <x v="0"/>
          </reference>
          <reference field="2" count="1" selected="0">
            <x v="0"/>
          </reference>
          <reference field="3" count="1" selected="0">
            <x v="39"/>
          </reference>
          <reference field="4" count="1">
            <x v="86"/>
          </reference>
        </references>
      </pivotArea>
    </format>
    <format dxfId="545">
      <pivotArea dataOnly="0" labelOnly="1" fieldPosition="0">
        <references count="4">
          <reference field="1" count="1" selected="0">
            <x v="0"/>
          </reference>
          <reference field="2" count="1" selected="0">
            <x v="0"/>
          </reference>
          <reference field="3" count="1" selected="0">
            <x v="34"/>
          </reference>
          <reference field="4" count="2">
            <x v="78"/>
            <x v="79"/>
          </reference>
        </references>
      </pivotArea>
    </format>
    <format dxfId="544">
      <pivotArea dataOnly="0" labelOnly="1" fieldPosition="0">
        <references count="4">
          <reference field="1" count="1" selected="0">
            <x v="0"/>
          </reference>
          <reference field="2" count="1" selected="0">
            <x v="0"/>
          </reference>
          <reference field="3" count="1" selected="0">
            <x v="6"/>
          </reference>
          <reference field="4" count="2">
            <x v="0"/>
            <x v="57"/>
          </reference>
        </references>
      </pivotArea>
    </format>
    <format dxfId="543">
      <pivotArea dataOnly="0" labelOnly="1" fieldPosition="0">
        <references count="4">
          <reference field="1" count="1" selected="0">
            <x v="1"/>
          </reference>
          <reference field="2" count="1" selected="0">
            <x v="0"/>
          </reference>
          <reference field="3" count="1" selected="0">
            <x v="32"/>
          </reference>
          <reference field="4" count="1">
            <x v="76"/>
          </reference>
        </references>
      </pivotArea>
    </format>
    <format dxfId="542">
      <pivotArea dataOnly="0" labelOnly="1" fieldPosition="0">
        <references count="4">
          <reference field="1" count="1" selected="0">
            <x v="1"/>
          </reference>
          <reference field="2" count="1" selected="0">
            <x v="0"/>
          </reference>
          <reference field="3" count="1" selected="0">
            <x v="27"/>
          </reference>
          <reference field="4" count="3">
            <x v="67"/>
            <x v="68"/>
            <x v="69"/>
          </reference>
        </references>
      </pivotArea>
    </format>
    <format dxfId="541">
      <pivotArea dataOnly="0" labelOnly="1" fieldPosition="0">
        <references count="4">
          <reference field="1" count="1" selected="0">
            <x v="1"/>
          </reference>
          <reference field="2" count="1" selected="0">
            <x v="0"/>
          </reference>
          <reference field="3" count="1" selected="0">
            <x v="0"/>
          </reference>
          <reference field="4" count="3">
            <x v="3"/>
            <x v="6"/>
            <x v="7"/>
          </reference>
        </references>
      </pivotArea>
    </format>
    <format dxfId="540">
      <pivotArea dataOnly="0" labelOnly="1" fieldPosition="0">
        <references count="4">
          <reference field="1" count="1" selected="0">
            <x v="1"/>
          </reference>
          <reference field="2" count="1" selected="0">
            <x v="0"/>
          </reference>
          <reference field="3" count="1" selected="0">
            <x v="28"/>
          </reference>
          <reference field="4" count="3">
            <x v="70"/>
            <x v="71"/>
            <x v="72"/>
          </reference>
        </references>
      </pivotArea>
    </format>
    <format dxfId="539">
      <pivotArea dataOnly="0" labelOnly="1" fieldPosition="0">
        <references count="4">
          <reference field="1" count="1" selected="0">
            <x v="1"/>
          </reference>
          <reference field="2" count="1" selected="0">
            <x v="0"/>
          </reference>
          <reference field="3" count="1" selected="0">
            <x v="11"/>
          </reference>
          <reference field="4" count="3">
            <x v="2"/>
            <x v="42"/>
            <x v="58"/>
          </reference>
        </references>
      </pivotArea>
    </format>
    <format dxfId="538">
      <pivotArea dataOnly="0" labelOnly="1" fieldPosition="0">
        <references count="4">
          <reference field="1" count="1" selected="0">
            <x v="1"/>
          </reference>
          <reference field="2" count="1" selected="0">
            <x v="0"/>
          </reference>
          <reference field="3" count="1" selected="0">
            <x v="39"/>
          </reference>
          <reference field="4" count="1">
            <x v="91"/>
          </reference>
        </references>
      </pivotArea>
    </format>
    <format dxfId="537">
      <pivotArea dataOnly="0" labelOnly="1" fieldPosition="0">
        <references count="4">
          <reference field="1" count="1" selected="0">
            <x v="1"/>
          </reference>
          <reference field="2" count="1" selected="0">
            <x v="0"/>
          </reference>
          <reference field="3" count="1" selected="0">
            <x v="34"/>
          </reference>
          <reference field="4" count="2">
            <x v="78"/>
            <x v="79"/>
          </reference>
        </references>
      </pivotArea>
    </format>
    <format dxfId="536">
      <pivotArea dataOnly="0" labelOnly="1" fieldPosition="0">
        <references count="4">
          <reference field="1" count="1" selected="0">
            <x v="1"/>
          </reference>
          <reference field="2" count="1" selected="0">
            <x v="0"/>
          </reference>
          <reference field="3" count="1" selected="0">
            <x v="6"/>
          </reference>
          <reference field="4" count="3">
            <x v="39"/>
            <x v="40"/>
            <x v="41"/>
          </reference>
        </references>
      </pivotArea>
    </format>
    <format dxfId="535">
      <pivotArea dataOnly="0" labelOnly="1" fieldPosition="0">
        <references count="4">
          <reference field="1" count="1" selected="0">
            <x v="0"/>
          </reference>
          <reference field="2" count="1" selected="0">
            <x v="3"/>
          </reference>
          <reference field="3" count="1" selected="0">
            <x v="9"/>
          </reference>
          <reference field="4" count="4">
            <x v="17"/>
            <x v="21"/>
            <x v="22"/>
            <x v="25"/>
          </reference>
        </references>
      </pivotArea>
    </format>
    <format dxfId="534">
      <pivotArea dataOnly="0" labelOnly="1" fieldPosition="0">
        <references count="4">
          <reference field="1" count="1" selected="0">
            <x v="1"/>
          </reference>
          <reference field="2" count="1" selected="0">
            <x v="1"/>
          </reference>
          <reference field="3" count="1" selected="0">
            <x v="0"/>
          </reference>
          <reference field="4" count="2">
            <x v="4"/>
            <x v="5"/>
          </reference>
        </references>
      </pivotArea>
    </format>
    <format dxfId="533">
      <pivotArea dataOnly="0" labelOnly="1" fieldPosition="0">
        <references count="4">
          <reference field="1" count="1" selected="0">
            <x v="1"/>
          </reference>
          <reference field="2" count="1" selected="0">
            <x v="1"/>
          </reference>
          <reference field="3" count="1" selected="0">
            <x v="6"/>
          </reference>
          <reference field="4" count="2">
            <x v="39"/>
            <x v="41"/>
          </reference>
        </references>
      </pivotArea>
    </format>
    <format dxfId="532">
      <pivotArea dataOnly="0" labelOnly="1" fieldPosition="0">
        <references count="4">
          <reference field="1" count="1" selected="0">
            <x v="1"/>
          </reference>
          <reference field="2" count="1" selected="0">
            <x v="1"/>
          </reference>
          <reference field="3" count="1" selected="0">
            <x v="34"/>
          </reference>
          <reference field="4" count="2">
            <x v="78"/>
            <x v="79"/>
          </reference>
        </references>
      </pivotArea>
    </format>
    <format dxfId="531">
      <pivotArea dataOnly="0" labelOnly="1" fieldPosition="0">
        <references count="4">
          <reference field="1" count="1" selected="0">
            <x v="1"/>
          </reference>
          <reference field="2" count="1" selected="0">
            <x v="1"/>
          </reference>
          <reference field="3" count="1" selected="0">
            <x v="28"/>
          </reference>
          <reference field="4" count="3">
            <x v="70"/>
            <x v="71"/>
            <x v="72"/>
          </reference>
        </references>
      </pivotArea>
    </format>
    <format dxfId="530">
      <pivotArea dataOnly="0" labelOnly="1" fieldPosition="0">
        <references count="4">
          <reference field="1" count="1" selected="0">
            <x v="1"/>
          </reference>
          <reference field="2" count="1" selected="0">
            <x v="1"/>
          </reference>
          <reference field="3" count="1" selected="0">
            <x v="32"/>
          </reference>
          <reference field="4" count="1">
            <x v="76"/>
          </reference>
        </references>
      </pivotArea>
    </format>
    <format dxfId="529">
      <pivotArea dataOnly="0" labelOnly="1" fieldPosition="0">
        <references count="4">
          <reference field="1" count="1" selected="0">
            <x v="1"/>
          </reference>
          <reference field="2" count="1" selected="0">
            <x v="1"/>
          </reference>
          <reference field="3" count="1" selected="0">
            <x v="27"/>
          </reference>
          <reference field="4" count="3">
            <x v="67"/>
            <x v="68"/>
            <x v="69"/>
          </reference>
        </references>
      </pivotArea>
    </format>
    <format dxfId="528">
      <pivotArea dataOnly="0" labelOnly="1" fieldPosition="0">
        <references count="4">
          <reference field="1" count="1" selected="0">
            <x v="0"/>
          </reference>
          <reference field="2" count="1" selected="0">
            <x v="1"/>
          </reference>
          <reference field="3" count="1" selected="0">
            <x v="0"/>
          </reference>
          <reference field="4" count="2">
            <x v="4"/>
            <x v="5"/>
          </reference>
        </references>
      </pivotArea>
    </format>
    <format dxfId="527">
      <pivotArea dataOnly="0" labelOnly="1" fieldPosition="0">
        <references count="4">
          <reference field="1" count="1" selected="0">
            <x v="0"/>
          </reference>
          <reference field="2" count="1" selected="0">
            <x v="1"/>
          </reference>
          <reference field="3" count="1" selected="0">
            <x v="32"/>
          </reference>
          <reference field="4" count="1">
            <x v="76"/>
          </reference>
        </references>
      </pivotArea>
    </format>
    <format dxfId="526">
      <pivotArea dataOnly="0" labelOnly="1" fieldPosition="0">
        <references count="4">
          <reference field="1" count="1" selected="0">
            <x v="0"/>
          </reference>
          <reference field="2" count="1" selected="0">
            <x v="1"/>
          </reference>
          <reference field="3" count="1" selected="0">
            <x v="6"/>
          </reference>
          <reference field="4" count="2">
            <x v="0"/>
            <x v="57"/>
          </reference>
        </references>
      </pivotArea>
    </format>
    <format dxfId="525">
      <pivotArea dataOnly="0" labelOnly="1" fieldPosition="0">
        <references count="4">
          <reference field="1" count="1" selected="0">
            <x v="0"/>
          </reference>
          <reference field="2" count="1" selected="0">
            <x v="1"/>
          </reference>
          <reference field="3" count="1" selected="0">
            <x v="34"/>
          </reference>
          <reference field="4" count="2">
            <x v="78"/>
            <x v="79"/>
          </reference>
        </references>
      </pivotArea>
    </format>
    <format dxfId="524">
      <pivotArea dataOnly="0" labelOnly="1" fieldPosition="0">
        <references count="5">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523">
      <pivotArea dataOnly="0" labelOnly="1" fieldPosition="0">
        <references count="5">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522">
      <pivotArea dataOnly="0" labelOnly="1" fieldPosition="0">
        <references count="5">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521">
      <pivotArea dataOnly="0" labelOnly="1" fieldPosition="0">
        <references count="5">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520">
      <pivotArea dataOnly="0" labelOnly="1" fieldPosition="0">
        <references count="5">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519">
      <pivotArea dataOnly="0" labelOnly="1" fieldPosition="0">
        <references count="5">
          <reference field="1" count="1" selected="0">
            <x v="1"/>
          </reference>
          <reference field="2" count="1" selected="0">
            <x v="2"/>
          </reference>
          <reference field="3" count="1" selected="0">
            <x v="39"/>
          </reference>
          <reference field="4" count="1" selected="0">
            <x v="91"/>
          </reference>
          <reference field="5" count="1">
            <x v="73"/>
          </reference>
        </references>
      </pivotArea>
    </format>
    <format dxfId="518">
      <pivotArea dataOnly="0" labelOnly="1" fieldPosition="0">
        <references count="5">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517">
      <pivotArea dataOnly="0" labelOnly="1" fieldPosition="0">
        <references count="5">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516">
      <pivotArea dataOnly="0" labelOnly="1" fieldPosition="0">
        <references count="5">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515">
      <pivotArea dataOnly="0" labelOnly="1" fieldPosition="0">
        <references count="5">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514">
      <pivotArea dataOnly="0" labelOnly="1" fieldPosition="0">
        <references count="5">
          <reference field="1" count="1" selected="0">
            <x v="1"/>
          </reference>
          <reference field="2" count="1" selected="0">
            <x v="0"/>
          </reference>
          <reference field="3" count="1" selected="0">
            <x v="39"/>
          </reference>
          <reference field="4" count="1" selected="0">
            <x v="91"/>
          </reference>
          <reference field="5" count="1">
            <x v="77"/>
          </reference>
        </references>
      </pivotArea>
    </format>
    <format dxfId="513">
      <pivotArea dataOnly="0" labelOnly="1" outline="0" fieldPosition="0">
        <references count="1">
          <reference field="4294967294" count="3">
            <x v="4"/>
            <x v="6"/>
            <x v="8"/>
          </reference>
        </references>
      </pivotArea>
    </format>
    <format dxfId="512">
      <pivotArea outline="0" collapsedLevelsAreSubtotals="1" fieldPosition="0">
        <references count="1">
          <reference field="4294967294" count="1" selected="0">
            <x v="6"/>
          </reference>
        </references>
      </pivotArea>
    </format>
    <format dxfId="511">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9"/>
          </reference>
        </references>
      </pivotArea>
    </format>
    <format dxfId="510">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8"/>
          </reference>
        </references>
      </pivotArea>
    </format>
    <format dxfId="509">
      <pivotArea collapsedLevelsAreSubtotals="1" fieldPosition="0">
        <references count="4">
          <reference field="4294967294" count="1" selected="0">
            <x v="4"/>
          </reference>
          <reference field="1" count="1" selected="0">
            <x v="0"/>
          </reference>
          <reference field="2" count="1" selected="0">
            <x v="2"/>
          </reference>
          <reference field="3" count="1">
            <x v="9"/>
          </reference>
        </references>
      </pivotArea>
    </format>
    <format dxfId="508">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0"/>
          </reference>
        </references>
      </pivotArea>
    </format>
    <format dxfId="507">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8"/>
          </reference>
        </references>
      </pivotArea>
    </format>
    <format dxfId="506">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0"/>
          </reference>
        </references>
      </pivotArea>
    </format>
    <format dxfId="505">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5"/>
          </reference>
        </references>
      </pivotArea>
    </format>
    <format dxfId="504">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4"/>
          </reference>
        </references>
      </pivotArea>
    </format>
    <format dxfId="503">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4"/>
          </reference>
        </references>
      </pivotArea>
    </format>
    <format dxfId="502">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3"/>
          </reference>
        </references>
      </pivotArea>
    </format>
    <format dxfId="501">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9"/>
          </reference>
        </references>
      </pivotArea>
    </format>
    <format dxfId="500">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7"/>
          </reference>
        </references>
      </pivotArea>
    </format>
    <format dxfId="499">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3"/>
          </reference>
        </references>
      </pivotArea>
    </format>
    <format dxfId="498">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8"/>
          </reference>
        </references>
      </pivotArea>
    </format>
    <format dxfId="497">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6"/>
          </reference>
        </references>
      </pivotArea>
    </format>
    <format dxfId="496">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1"/>
          </reference>
        </references>
      </pivotArea>
    </format>
    <format dxfId="495">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2"/>
          </reference>
        </references>
      </pivotArea>
    </format>
    <format dxfId="494">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9"/>
          </reference>
        </references>
      </pivotArea>
    </format>
    <format dxfId="493">
      <pivotArea collapsedLevelsAreSubtotals="1" fieldPosition="0">
        <references count="4">
          <reference field="4294967294" count="1" selected="0">
            <x v="4"/>
          </reference>
          <reference field="1" count="1" selected="0">
            <x v="0"/>
          </reference>
          <reference field="2" count="1" selected="0">
            <x v="2"/>
          </reference>
          <reference field="3" count="1">
            <x v="0"/>
          </reference>
        </references>
      </pivotArea>
    </format>
    <format dxfId="492">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2"/>
          </reference>
        </references>
      </pivotArea>
    </format>
    <format dxfId="491">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490">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4"/>
          </reference>
        </references>
      </pivotArea>
    </format>
    <format dxfId="489">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488">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3"/>
          </reference>
        </references>
      </pivotArea>
    </format>
    <format dxfId="487">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486">
      <pivotArea collapsedLevelsAreSubtotals="1" fieldPosition="0">
        <references count="4">
          <reference field="4294967294" count="1" selected="0">
            <x v="4"/>
          </reference>
          <reference field="1" count="1" selected="0">
            <x v="0"/>
          </reference>
          <reference field="2" count="1" selected="0">
            <x v="2"/>
          </reference>
          <reference field="3" count="1">
            <x v="11"/>
          </reference>
        </references>
      </pivotArea>
    </format>
    <format dxfId="485">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2"/>
          </reference>
        </references>
      </pivotArea>
    </format>
    <format dxfId="484">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42"/>
          </reference>
        </references>
      </pivotArea>
    </format>
    <format dxfId="483">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58"/>
          </reference>
        </references>
      </pivotArea>
    </format>
    <format dxfId="482">
      <pivotArea collapsedLevelsAreSubtotals="1" fieldPosition="0">
        <references count="4">
          <reference field="4294967294" count="1" selected="0">
            <x v="4"/>
          </reference>
          <reference field="1" count="1" selected="0">
            <x v="0"/>
          </reference>
          <reference field="2" count="1" selected="0">
            <x v="2"/>
          </reference>
          <reference field="3" count="1">
            <x v="19"/>
          </reference>
        </references>
      </pivotArea>
    </format>
    <format dxfId="481">
      <pivotArea collapsedLevelsAreSubtotals="1" fieldPosition="0">
        <references count="4">
          <reference field="4294967294" count="1" selected="0">
            <x v="4"/>
          </reference>
          <reference field="1" count="1" selected="0">
            <x v="0"/>
          </reference>
          <reference field="2" count="1" selected="0">
            <x v="2"/>
          </reference>
          <reference field="3" count="1">
            <x v="39"/>
          </reference>
        </references>
      </pivotArea>
    </format>
    <format dxfId="480">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56"/>
          </reference>
        </references>
      </pivotArea>
    </format>
    <format dxfId="479">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478">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87"/>
          </reference>
        </references>
      </pivotArea>
    </format>
    <format dxfId="477">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476">
      <pivotArea collapsedLevelsAreSubtotals="1" fieldPosition="0">
        <references count="4">
          <reference field="4294967294" count="1" selected="0">
            <x v="4"/>
          </reference>
          <reference field="1" count="1" selected="0">
            <x v="0"/>
          </reference>
          <reference field="2" count="1" selected="0">
            <x v="2"/>
          </reference>
          <reference field="3" count="1">
            <x v="1"/>
          </reference>
        </references>
      </pivotArea>
    </format>
    <format dxfId="475">
      <pivotArea collapsedLevelsAreSubtotals="1" fieldPosition="0">
        <references count="4">
          <reference field="4294967294" count="1" selected="0">
            <x v="4"/>
          </reference>
          <reference field="1" count="1" selected="0">
            <x v="0"/>
          </reference>
          <reference field="2" count="1" selected="0">
            <x v="2"/>
          </reference>
          <reference field="3" count="1">
            <x v="7"/>
          </reference>
        </references>
      </pivotArea>
    </format>
    <format dxfId="474">
      <pivotArea collapsedLevelsAreSubtotals="1" fieldPosition="0">
        <references count="4">
          <reference field="4294967294" count="1" selected="0">
            <x v="4"/>
          </reference>
          <reference field="1" count="1" selected="0">
            <x v="0"/>
          </reference>
          <reference field="2" count="1" selected="0">
            <x v="2"/>
          </reference>
          <reference field="3" count="1">
            <x v="38"/>
          </reference>
        </references>
      </pivotArea>
    </format>
    <format dxfId="473">
      <pivotArea collapsedLevelsAreSubtotals="1" fieldPosition="0">
        <references count="4">
          <reference field="4294967294" count="1" selected="0">
            <x v="4"/>
          </reference>
          <reference field="1" count="1" selected="0">
            <x v="0"/>
          </reference>
          <reference field="2" count="1" selected="0">
            <x v="2"/>
          </reference>
          <reference field="3" count="1">
            <x v="3"/>
          </reference>
        </references>
      </pivotArea>
    </format>
    <format dxfId="472">
      <pivotArea collapsedLevelsAreSubtotals="1" fieldPosition="0">
        <references count="4">
          <reference field="4294967294" count="1" selected="0">
            <x v="4"/>
          </reference>
          <reference field="1" count="1" selected="0">
            <x v="0"/>
          </reference>
          <reference field="2" count="1" selected="0">
            <x v="2"/>
          </reference>
          <reference field="3" count="1">
            <x v="5"/>
          </reference>
        </references>
      </pivotArea>
    </format>
    <format dxfId="471">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5"/>
          </reference>
        </references>
      </pivotArea>
    </format>
    <format dxfId="470">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4"/>
          </reference>
        </references>
      </pivotArea>
    </format>
    <format dxfId="469">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3"/>
          </reference>
        </references>
      </pivotArea>
    </format>
    <format dxfId="468">
      <pivotArea collapsedLevelsAreSubtotals="1" fieldPosition="0">
        <references count="4">
          <reference field="4294967294" count="1" selected="0">
            <x v="4"/>
          </reference>
          <reference field="1" count="1" selected="0">
            <x v="0"/>
          </reference>
          <reference field="2" count="1" selected="0">
            <x v="2"/>
          </reference>
          <reference field="3" count="1">
            <x v="2"/>
          </reference>
        </references>
      </pivotArea>
    </format>
    <format dxfId="467">
      <pivotArea collapsedLevelsAreSubtotals="1" fieldPosition="0">
        <references count="4">
          <reference field="4294967294" count="1" selected="0">
            <x v="4"/>
          </reference>
          <reference field="1" count="1" selected="0">
            <x v="0"/>
          </reference>
          <reference field="2" count="1" selected="0">
            <x v="2"/>
          </reference>
          <reference field="3" count="1">
            <x v="34"/>
          </reference>
        </references>
      </pivotArea>
    </format>
    <format dxfId="466">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9"/>
          </reference>
        </references>
      </pivotArea>
    </format>
    <format dxfId="465">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8"/>
          </reference>
        </references>
      </pivotArea>
    </format>
    <format dxfId="464">
      <pivotArea collapsedLevelsAreSubtotals="1" fieldPosition="0">
        <references count="4">
          <reference field="4294967294" count="1" selected="0">
            <x v="4"/>
          </reference>
          <reference field="1" count="1" selected="0">
            <x v="0"/>
          </reference>
          <reference field="2" count="1" selected="0">
            <x v="2"/>
          </reference>
          <reference field="3" count="1">
            <x v="30"/>
          </reference>
        </references>
      </pivotArea>
    </format>
    <format dxfId="463">
      <pivotArea collapsedLevelsAreSubtotals="1" fieldPosition="0">
        <references count="4">
          <reference field="4294967294" count="1" selected="0">
            <x v="4"/>
          </reference>
          <reference field="1" count="1" selected="0">
            <x v="0"/>
          </reference>
          <reference field="2" count="1" selected="0">
            <x v="2"/>
          </reference>
          <reference field="3" count="1">
            <x v="4"/>
          </reference>
        </references>
      </pivotArea>
    </format>
    <format dxfId="462">
      <pivotArea collapsedLevelsAreSubtotals="1" fieldPosition="0">
        <references count="4">
          <reference field="4294967294" count="1" selected="0">
            <x v="4"/>
          </reference>
          <reference field="1" count="1" selected="0">
            <x v="0"/>
          </reference>
          <reference field="2" count="1" selected="0">
            <x v="2"/>
          </reference>
          <reference field="3" count="1">
            <x v="24"/>
          </reference>
        </references>
      </pivotArea>
    </format>
    <format dxfId="461">
      <pivotArea collapsedLevelsAreSubtotals="1" fieldPosition="0">
        <references count="3">
          <reference field="4294967294" count="1" selected="0">
            <x v="4"/>
          </reference>
          <reference field="1" count="1">
            <x v="1"/>
          </reference>
          <reference field="2" count="1" selected="0">
            <x v="2"/>
          </reference>
        </references>
      </pivotArea>
    </format>
    <format dxfId="460">
      <pivotArea collapsedLevelsAreSubtotals="1" fieldPosition="0">
        <references count="4">
          <reference field="4294967294" count="1" selected="0">
            <x v="4"/>
          </reference>
          <reference field="1" count="1" selected="0">
            <x v="1"/>
          </reference>
          <reference field="2" count="1" selected="0">
            <x v="2"/>
          </reference>
          <reference field="3" count="1">
            <x v="0"/>
          </reference>
        </references>
      </pivotArea>
    </format>
    <format dxfId="459">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3"/>
          </reference>
        </references>
      </pivotArea>
    </format>
    <format dxfId="458">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7"/>
          </reference>
        </references>
      </pivotArea>
    </format>
    <format dxfId="457">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6"/>
          </reference>
        </references>
      </pivotArea>
    </format>
    <format dxfId="456">
      <pivotArea collapsedLevelsAreSubtotals="1" fieldPosition="0">
        <references count="4">
          <reference field="4294967294" count="1" selected="0">
            <x v="4"/>
          </reference>
          <reference field="1" count="1" selected="0">
            <x v="1"/>
          </reference>
          <reference field="2" count="1" selected="0">
            <x v="2"/>
          </reference>
          <reference field="3" count="1">
            <x v="39"/>
          </reference>
        </references>
      </pivotArea>
    </format>
    <format dxfId="455">
      <pivotArea collapsedLevelsAreSubtotals="1" fieldPosition="0">
        <references count="5">
          <reference field="4294967294" count="1" selected="0">
            <x v="4"/>
          </reference>
          <reference field="1" count="1" selected="0">
            <x v="1"/>
          </reference>
          <reference field="2" count="1" selected="0">
            <x v="2"/>
          </reference>
          <reference field="3" count="1" selected="0">
            <x v="39"/>
          </reference>
          <reference field="4" count="1">
            <x v="91"/>
          </reference>
        </references>
      </pivotArea>
    </format>
    <format dxfId="454">
      <pivotArea collapsedLevelsAreSubtotals="1" fieldPosition="0">
        <references count="6">
          <reference field="4294967294" count="1" selected="0">
            <x v="4"/>
          </reference>
          <reference field="1" count="1" selected="0">
            <x v="1"/>
          </reference>
          <reference field="2" count="1" selected="0">
            <x v="2"/>
          </reference>
          <reference field="3" count="1" selected="0">
            <x v="39"/>
          </reference>
          <reference field="4" count="1" selected="0">
            <x v="91"/>
          </reference>
          <reference field="5" count="1">
            <x v="73"/>
          </reference>
        </references>
      </pivotArea>
    </format>
    <format dxfId="453">
      <pivotArea collapsedLevelsAreSubtotals="1" fieldPosition="0">
        <references count="2">
          <reference field="4294967294" count="1" selected="0">
            <x v="4"/>
          </reference>
          <reference field="2" count="1">
            <x v="0"/>
          </reference>
        </references>
      </pivotArea>
    </format>
    <format dxfId="452">
      <pivotArea collapsedLevelsAreSubtotals="1" fieldPosition="0">
        <references count="3">
          <reference field="4294967294" count="1" selected="0">
            <x v="4"/>
          </reference>
          <reference field="1" count="1">
            <x v="0"/>
          </reference>
          <reference field="2" count="1" selected="0">
            <x v="0"/>
          </reference>
        </references>
      </pivotArea>
    </format>
    <format dxfId="451">
      <pivotArea collapsedLevelsAreSubtotals="1" fieldPosition="0">
        <references count="4">
          <reference field="4294967294" count="1" selected="0">
            <x v="4"/>
          </reference>
          <reference field="1" count="1" selected="0">
            <x v="0"/>
          </reference>
          <reference field="2" count="1" selected="0">
            <x v="0"/>
          </reference>
          <reference field="3" count="1">
            <x v="18"/>
          </reference>
        </references>
      </pivotArea>
    </format>
    <format dxfId="450">
      <pivotArea collapsedLevelsAreSubtotals="1" fieldPosition="0">
        <references count="4">
          <reference field="4294967294" count="1" selected="0">
            <x v="4"/>
          </reference>
          <reference field="1" count="1" selected="0">
            <x v="0"/>
          </reference>
          <reference field="2" count="1" selected="0">
            <x v="0"/>
          </reference>
          <reference field="3" count="1">
            <x v="32"/>
          </reference>
        </references>
      </pivotArea>
    </format>
    <format dxfId="449">
      <pivotArea collapsedLevelsAreSubtotals="1" fieldPosition="0">
        <references count="5">
          <reference field="4294967294" count="1" selected="0">
            <x v="4"/>
          </reference>
          <reference field="1" count="1" selected="0">
            <x v="0"/>
          </reference>
          <reference field="2" count="1" selected="0">
            <x v="0"/>
          </reference>
          <reference field="3" count="1" selected="0">
            <x v="32"/>
          </reference>
          <reference field="4" count="1">
            <x v="90"/>
          </reference>
        </references>
      </pivotArea>
    </format>
    <format dxfId="448">
      <pivotArea collapsedLevelsAreSubtotals="1" fieldPosition="0">
        <references count="4">
          <reference field="4294967294" count="1" selected="0">
            <x v="4"/>
          </reference>
          <reference field="1" count="1" selected="0">
            <x v="0"/>
          </reference>
          <reference field="2" count="1" selected="0">
            <x v="0"/>
          </reference>
          <reference field="3" count="1">
            <x v="9"/>
          </reference>
        </references>
      </pivotArea>
    </format>
    <format dxfId="447">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5"/>
          </reference>
        </references>
      </pivotArea>
    </format>
    <format dxfId="446">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4"/>
          </reference>
        </references>
      </pivotArea>
    </format>
    <format dxfId="445">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0"/>
          </reference>
        </references>
      </pivotArea>
    </format>
    <format dxfId="444">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3"/>
          </reference>
        </references>
      </pivotArea>
    </format>
    <format dxfId="443">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4"/>
          </reference>
        </references>
      </pivotArea>
    </format>
    <format dxfId="442">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8"/>
          </reference>
        </references>
      </pivotArea>
    </format>
    <format dxfId="441">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7"/>
          </reference>
        </references>
      </pivotArea>
    </format>
    <format dxfId="440">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3"/>
          </reference>
        </references>
      </pivotArea>
    </format>
    <format dxfId="439">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9"/>
          </reference>
        </references>
      </pivotArea>
    </format>
    <format dxfId="438">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6"/>
          </reference>
        </references>
      </pivotArea>
    </format>
    <format dxfId="437">
      <pivotArea collapsedLevelsAreSubtotals="1" fieldPosition="0">
        <references count="4">
          <reference field="4294967294" count="1" selected="0">
            <x v="4"/>
          </reference>
          <reference field="1" count="1" selected="0">
            <x v="0"/>
          </reference>
          <reference field="2" count="1" selected="0">
            <x v="0"/>
          </reference>
          <reference field="3" count="1">
            <x v="11"/>
          </reference>
        </references>
      </pivotArea>
    </format>
    <format dxfId="436">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42"/>
          </reference>
        </references>
      </pivotArea>
    </format>
    <format dxfId="435">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2"/>
          </reference>
        </references>
      </pivotArea>
    </format>
    <format dxfId="434">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58"/>
          </reference>
        </references>
      </pivotArea>
    </format>
    <format dxfId="433">
      <pivotArea collapsedLevelsAreSubtotals="1" fieldPosition="0">
        <references count="4">
          <reference field="4294967294" count="1" selected="0">
            <x v="4"/>
          </reference>
          <reference field="1" count="1" selected="0">
            <x v="0"/>
          </reference>
          <reference field="2" count="1" selected="0">
            <x v="0"/>
          </reference>
          <reference field="3" count="1">
            <x v="0"/>
          </reference>
        </references>
      </pivotArea>
    </format>
    <format dxfId="432">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4"/>
          </reference>
        </references>
      </pivotArea>
    </format>
    <format dxfId="431">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430">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5"/>
          </reference>
        </references>
      </pivotArea>
    </format>
    <format dxfId="429">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428">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6"/>
          </reference>
        </references>
      </pivotArea>
    </format>
    <format dxfId="427">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426">
      <pivotArea collapsedLevelsAreSubtotals="1" fieldPosition="0">
        <references count="4">
          <reference field="4294967294" count="1" selected="0">
            <x v="4"/>
          </reference>
          <reference field="1" count="1" selected="0">
            <x v="0"/>
          </reference>
          <reference field="2" count="1" selected="0">
            <x v="0"/>
          </reference>
          <reference field="3" count="1">
            <x v="37"/>
          </reference>
        </references>
      </pivotArea>
    </format>
    <format dxfId="425">
      <pivotArea collapsedLevelsAreSubtotals="1" fieldPosition="0">
        <references count="4">
          <reference field="4294967294" count="1" selected="0">
            <x v="4"/>
          </reference>
          <reference field="1" count="1" selected="0">
            <x v="0"/>
          </reference>
          <reference field="2" count="1" selected="0">
            <x v="0"/>
          </reference>
          <reference field="3" count="1">
            <x v="39"/>
          </reference>
        </references>
      </pivotArea>
    </format>
    <format dxfId="424">
      <pivotArea collapsedLevelsAreSubtotals="1" fieldPosition="0">
        <references count="5">
          <reference field="4294967294" count="1" selected="0">
            <x v="4"/>
          </reference>
          <reference field="1" count="1" selected="0">
            <x v="0"/>
          </reference>
          <reference field="2" count="1" selected="0">
            <x v="0"/>
          </reference>
          <reference field="3" count="1" selected="0">
            <x v="39"/>
          </reference>
          <reference field="4" count="1">
            <x v="86"/>
          </reference>
        </references>
      </pivotArea>
    </format>
    <format dxfId="423">
      <pivotArea collapsedLevelsAreSubtotals="1" fieldPosition="0">
        <references count="6">
          <reference field="4294967294" count="1" selected="0">
            <x v="4"/>
          </reference>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422">
      <pivotArea collapsedLevelsAreSubtotals="1" fieldPosition="0">
        <references count="4">
          <reference field="4294967294" count="1" selected="0">
            <x v="4"/>
          </reference>
          <reference field="1" count="1" selected="0">
            <x v="0"/>
          </reference>
          <reference field="2" count="1" selected="0">
            <x v="0"/>
          </reference>
          <reference field="3" count="1">
            <x v="7"/>
          </reference>
        </references>
      </pivotArea>
    </format>
    <format dxfId="421">
      <pivotArea collapsedLevelsAreSubtotals="1" fieldPosition="0">
        <references count="4">
          <reference field="4294967294" count="1" selected="0">
            <x v="4"/>
          </reference>
          <reference field="1" count="1" selected="0">
            <x v="0"/>
          </reference>
          <reference field="2" count="1" selected="0">
            <x v="0"/>
          </reference>
          <reference field="3" count="1">
            <x v="1"/>
          </reference>
        </references>
      </pivotArea>
    </format>
    <format dxfId="420">
      <pivotArea collapsedLevelsAreSubtotals="1" fieldPosition="0">
        <references count="4">
          <reference field="4294967294" count="1" selected="0">
            <x v="4"/>
          </reference>
          <reference field="1" count="1" selected="0">
            <x v="0"/>
          </reference>
          <reference field="2" count="1" selected="0">
            <x v="0"/>
          </reference>
          <reference field="3" count="1">
            <x v="36"/>
          </reference>
        </references>
      </pivotArea>
    </format>
    <format dxfId="419">
      <pivotArea collapsedLevelsAreSubtotals="1" fieldPosition="0">
        <references count="4">
          <reference field="4294967294" count="1" selected="0">
            <x v="4"/>
          </reference>
          <reference field="1" count="1" selected="0">
            <x v="0"/>
          </reference>
          <reference field="2" count="1" selected="0">
            <x v="0"/>
          </reference>
          <reference field="3" count="1">
            <x v="34"/>
          </reference>
        </references>
      </pivotArea>
    </format>
    <format dxfId="418">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9"/>
          </reference>
        </references>
      </pivotArea>
    </format>
    <format dxfId="417">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8"/>
          </reference>
        </references>
      </pivotArea>
    </format>
    <format dxfId="416">
      <pivotArea collapsedLevelsAreSubtotals="1" fieldPosition="0">
        <references count="4">
          <reference field="4294967294" count="1" selected="0">
            <x v="4"/>
          </reference>
          <reference field="1" count="1" selected="0">
            <x v="0"/>
          </reference>
          <reference field="2" count="1" selected="0">
            <x v="0"/>
          </reference>
          <reference field="3" count="1">
            <x v="12"/>
          </reference>
        </references>
      </pivotArea>
    </format>
    <format dxfId="415">
      <pivotArea collapsedLevelsAreSubtotals="1" fieldPosition="0">
        <references count="4">
          <reference field="4294967294" count="1" selected="0">
            <x v="4"/>
          </reference>
          <reference field="1" count="1" selected="0">
            <x v="0"/>
          </reference>
          <reference field="2" count="1" selected="0">
            <x v="0"/>
          </reference>
          <reference field="3" count="1">
            <x v="14"/>
          </reference>
        </references>
      </pivotArea>
    </format>
    <format dxfId="414">
      <pivotArea collapsedLevelsAreSubtotals="1" fieldPosition="0">
        <references count="4">
          <reference field="4294967294" count="1" selected="0">
            <x v="4"/>
          </reference>
          <reference field="1" count="1" selected="0">
            <x v="0"/>
          </reference>
          <reference field="2" count="1" selected="0">
            <x v="0"/>
          </reference>
          <reference field="3" count="1">
            <x v="6"/>
          </reference>
        </references>
      </pivotArea>
    </format>
    <format dxfId="413">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0"/>
          </reference>
        </references>
      </pivotArea>
    </format>
    <format dxfId="412">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57"/>
          </reference>
        </references>
      </pivotArea>
    </format>
    <format dxfId="411">
      <pivotArea collapsedLevelsAreSubtotals="1" fieldPosition="0">
        <references count="4">
          <reference field="4294967294" count="1" selected="0">
            <x v="4"/>
          </reference>
          <reference field="1" count="1" selected="0">
            <x v="0"/>
          </reference>
          <reference field="2" count="1" selected="0">
            <x v="0"/>
          </reference>
          <reference field="3" count="1">
            <x v="35"/>
          </reference>
        </references>
      </pivotArea>
    </format>
    <format dxfId="410">
      <pivotArea collapsedLevelsAreSubtotals="1" fieldPosition="0">
        <references count="4">
          <reference field="4294967294" count="1" selected="0">
            <x v="4"/>
          </reference>
          <reference field="1" count="1" selected="0">
            <x v="0"/>
          </reference>
          <reference field="2" count="1" selected="0">
            <x v="0"/>
          </reference>
          <reference field="3" count="1">
            <x v="31"/>
          </reference>
        </references>
      </pivotArea>
    </format>
    <format dxfId="409">
      <pivotArea collapsedLevelsAreSubtotals="1" fieldPosition="0">
        <references count="4">
          <reference field="4294967294" count="1" selected="0">
            <x v="4"/>
          </reference>
          <reference field="1" count="1" selected="0">
            <x v="0"/>
          </reference>
          <reference field="2" count="1" selected="0">
            <x v="0"/>
          </reference>
          <reference field="3" count="1">
            <x v="26"/>
          </reference>
        </references>
      </pivotArea>
    </format>
    <format dxfId="408">
      <pivotArea collapsedLevelsAreSubtotals="1" fieldPosition="0">
        <references count="4">
          <reference field="4294967294" count="1" selected="0">
            <x v="4"/>
          </reference>
          <reference field="1" count="1" selected="0">
            <x v="0"/>
          </reference>
          <reference field="2" count="1" selected="0">
            <x v="0"/>
          </reference>
          <reference field="3" count="1">
            <x v="4"/>
          </reference>
        </references>
      </pivotArea>
    </format>
    <format dxfId="407">
      <pivotArea collapsedLevelsAreSubtotals="1" fieldPosition="0">
        <references count="4">
          <reference field="4294967294" count="1" selected="0">
            <x v="4"/>
          </reference>
          <reference field="1" count="1" selected="0">
            <x v="0"/>
          </reference>
          <reference field="2" count="1" selected="0">
            <x v="0"/>
          </reference>
          <reference field="3" count="1">
            <x v="30"/>
          </reference>
        </references>
      </pivotArea>
    </format>
    <format dxfId="406">
      <pivotArea collapsedLevelsAreSubtotals="1" fieldPosition="0">
        <references count="4">
          <reference field="4294967294" count="1" selected="0">
            <x v="4"/>
          </reference>
          <reference field="1" count="1" selected="0">
            <x v="0"/>
          </reference>
          <reference field="2" count="1" selected="0">
            <x v="0"/>
          </reference>
          <reference field="3" count="1">
            <x v="24"/>
          </reference>
        </references>
      </pivotArea>
    </format>
    <format dxfId="405">
      <pivotArea collapsedLevelsAreSubtotals="1" fieldPosition="0">
        <references count="3">
          <reference field="4294967294" count="1" selected="0">
            <x v="4"/>
          </reference>
          <reference field="1" count="1">
            <x v="1"/>
          </reference>
          <reference field="2" count="1" selected="0">
            <x v="0"/>
          </reference>
        </references>
      </pivotArea>
    </format>
    <format dxfId="404">
      <pivotArea collapsedLevelsAreSubtotals="1" fieldPosition="0">
        <references count="4">
          <reference field="4294967294" count="1" selected="0">
            <x v="4"/>
          </reference>
          <reference field="1" count="1" selected="0">
            <x v="1"/>
          </reference>
          <reference field="2" count="1" selected="0">
            <x v="0"/>
          </reference>
          <reference field="3" count="1">
            <x v="18"/>
          </reference>
        </references>
      </pivotArea>
    </format>
    <format dxfId="403">
      <pivotArea collapsedLevelsAreSubtotals="1" fieldPosition="0">
        <references count="4">
          <reference field="4294967294" count="1" selected="0">
            <x v="4"/>
          </reference>
          <reference field="1" count="1" selected="0">
            <x v="1"/>
          </reference>
          <reference field="2" count="1" selected="0">
            <x v="0"/>
          </reference>
          <reference field="3" count="1">
            <x v="32"/>
          </reference>
        </references>
      </pivotArea>
    </format>
    <format dxfId="402">
      <pivotArea collapsedLevelsAreSubtotals="1" fieldPosition="0">
        <references count="5">
          <reference field="4294967294" count="1" selected="0">
            <x v="4"/>
          </reference>
          <reference field="1" count="1" selected="0">
            <x v="1"/>
          </reference>
          <reference field="2" count="1" selected="0">
            <x v="0"/>
          </reference>
          <reference field="3" count="1" selected="0">
            <x v="32"/>
          </reference>
          <reference field="4" count="1">
            <x v="76"/>
          </reference>
        </references>
      </pivotArea>
    </format>
    <format dxfId="401">
      <pivotArea collapsedLevelsAreSubtotals="1" fieldPosition="0">
        <references count="4">
          <reference field="4294967294" count="1" selected="0">
            <x v="4"/>
          </reference>
          <reference field="1" count="1" selected="0">
            <x v="1"/>
          </reference>
          <reference field="2" count="1" selected="0">
            <x v="0"/>
          </reference>
          <reference field="3" count="1">
            <x v="27"/>
          </reference>
        </references>
      </pivotArea>
    </format>
    <format dxfId="400">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8"/>
          </reference>
        </references>
      </pivotArea>
    </format>
    <format dxfId="399">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9"/>
          </reference>
        </references>
      </pivotArea>
    </format>
    <format dxfId="398">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7"/>
          </reference>
        </references>
      </pivotArea>
    </format>
    <format dxfId="397">
      <pivotArea collapsedLevelsAreSubtotals="1" fieldPosition="0">
        <references count="4">
          <reference field="4294967294" count="1" selected="0">
            <x v="4"/>
          </reference>
          <reference field="1" count="1" selected="0">
            <x v="1"/>
          </reference>
          <reference field="2" count="1" selected="0">
            <x v="0"/>
          </reference>
          <reference field="3" count="1">
            <x v="0"/>
          </reference>
        </references>
      </pivotArea>
    </format>
    <format dxfId="396">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3"/>
          </reference>
        </references>
      </pivotArea>
    </format>
    <format dxfId="395">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7"/>
          </reference>
        </references>
      </pivotArea>
    </format>
    <format dxfId="394">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6"/>
          </reference>
        </references>
      </pivotArea>
    </format>
    <format dxfId="393">
      <pivotArea collapsedLevelsAreSubtotals="1" fieldPosition="0">
        <references count="4">
          <reference field="4294967294" count="1" selected="0">
            <x v="4"/>
          </reference>
          <reference field="1" count="1" selected="0">
            <x v="1"/>
          </reference>
          <reference field="2" count="1" selected="0">
            <x v="0"/>
          </reference>
          <reference field="3" count="1">
            <x v="37"/>
          </reference>
        </references>
      </pivotArea>
    </format>
    <format dxfId="392">
      <pivotArea collapsedLevelsAreSubtotals="1" fieldPosition="0">
        <references count="4">
          <reference field="4294967294" count="1" selected="0">
            <x v="4"/>
          </reference>
          <reference field="1" count="1" selected="0">
            <x v="1"/>
          </reference>
          <reference field="2" count="1" selected="0">
            <x v="0"/>
          </reference>
          <reference field="3" count="1">
            <x v="39"/>
          </reference>
        </references>
      </pivotArea>
    </format>
    <format dxfId="391">
      <pivotArea collapsedLevelsAreSubtotals="1" fieldPosition="0">
        <references count="5">
          <reference field="4294967294" count="1" selected="0">
            <x v="4"/>
          </reference>
          <reference field="1" count="1" selected="0">
            <x v="1"/>
          </reference>
          <reference field="2" count="1" selected="0">
            <x v="0"/>
          </reference>
          <reference field="3" count="1" selected="0">
            <x v="39"/>
          </reference>
          <reference field="4" count="1">
            <x v="91"/>
          </reference>
        </references>
      </pivotArea>
    </format>
    <format dxfId="390">
      <pivotArea collapsedLevelsAreSubtotals="1" fieldPosition="0">
        <references count="6">
          <reference field="4294967294" count="1" selected="0">
            <x v="4"/>
          </reference>
          <reference field="1" count="1" selected="0">
            <x v="1"/>
          </reference>
          <reference field="2" count="1" selected="0">
            <x v="0"/>
          </reference>
          <reference field="3" count="1" selected="0">
            <x v="39"/>
          </reference>
          <reference field="4" count="1" selected="0">
            <x v="91"/>
          </reference>
          <reference field="5" count="1">
            <x v="77"/>
          </reference>
        </references>
      </pivotArea>
    </format>
    <format dxfId="389">
      <pivotArea collapsedLevelsAreSubtotals="1" fieldPosition="0">
        <references count="4">
          <reference field="4294967294" count="1" selected="0">
            <x v="4"/>
          </reference>
          <reference field="1" count="1" selected="0">
            <x v="1"/>
          </reference>
          <reference field="2" count="1" selected="0">
            <x v="0"/>
          </reference>
          <reference field="3" count="1">
            <x v="1"/>
          </reference>
        </references>
      </pivotArea>
    </format>
    <format dxfId="388">
      <pivotArea collapsedLevelsAreSubtotals="1" fieldPosition="0">
        <references count="4">
          <reference field="4294967294" count="1" selected="0">
            <x v="4"/>
          </reference>
          <reference field="1" count="1" selected="0">
            <x v="1"/>
          </reference>
          <reference field="2" count="1" selected="0">
            <x v="0"/>
          </reference>
          <reference field="3" count="1">
            <x v="11"/>
          </reference>
        </references>
      </pivotArea>
    </format>
    <format dxfId="387">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2"/>
          </reference>
        </references>
      </pivotArea>
    </format>
    <format dxfId="386">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42"/>
          </reference>
        </references>
      </pivotArea>
    </format>
    <format dxfId="385">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58"/>
          </reference>
        </references>
      </pivotArea>
    </format>
    <format dxfId="384">
      <pivotArea collapsedLevelsAreSubtotals="1" fieldPosition="0">
        <references count="4">
          <reference field="4294967294" count="1" selected="0">
            <x v="4"/>
          </reference>
          <reference field="1" count="1" selected="0">
            <x v="1"/>
          </reference>
          <reference field="2" count="1" selected="0">
            <x v="0"/>
          </reference>
          <reference field="3" count="1">
            <x v="36"/>
          </reference>
        </references>
      </pivotArea>
    </format>
    <format dxfId="383">
      <pivotArea collapsedLevelsAreSubtotals="1" fieldPosition="0">
        <references count="4">
          <reference field="4294967294" count="1" selected="0">
            <x v="4"/>
          </reference>
          <reference field="1" count="1" selected="0">
            <x v="1"/>
          </reference>
          <reference field="2" count="1" selected="0">
            <x v="0"/>
          </reference>
          <reference field="3" count="1">
            <x v="13"/>
          </reference>
        </references>
      </pivotArea>
    </format>
    <format dxfId="382">
      <pivotArea collapsedLevelsAreSubtotals="1" fieldPosition="0">
        <references count="4">
          <reference field="4294967294" count="1" selected="0">
            <x v="4"/>
          </reference>
          <reference field="1" count="1" selected="0">
            <x v="1"/>
          </reference>
          <reference field="2" count="1" selected="0">
            <x v="0"/>
          </reference>
          <reference field="3" count="1">
            <x v="30"/>
          </reference>
        </references>
      </pivotArea>
    </format>
    <format dxfId="381">
      <pivotArea collapsedLevelsAreSubtotals="1" fieldPosition="0">
        <references count="4">
          <reference field="4294967294" count="1" selected="0">
            <x v="4"/>
          </reference>
          <reference field="1" count="1" selected="0">
            <x v="1"/>
          </reference>
          <reference field="2" count="1" selected="0">
            <x v="0"/>
          </reference>
          <reference field="3" count="1">
            <x v="34"/>
          </reference>
        </references>
      </pivotArea>
    </format>
    <format dxfId="380">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9"/>
          </reference>
        </references>
      </pivotArea>
    </format>
    <format dxfId="379">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8"/>
          </reference>
        </references>
      </pivotArea>
    </format>
    <format dxfId="378">
      <pivotArea collapsedLevelsAreSubtotals="1" fieldPosition="0">
        <references count="4">
          <reference field="4294967294" count="1" selected="0">
            <x v="4"/>
          </reference>
          <reference field="1" count="1" selected="0">
            <x v="1"/>
          </reference>
          <reference field="2" count="1" selected="0">
            <x v="0"/>
          </reference>
          <reference field="3" count="1">
            <x v="7"/>
          </reference>
        </references>
      </pivotArea>
    </format>
    <format dxfId="377">
      <pivotArea collapsedLevelsAreSubtotals="1" fieldPosition="0">
        <references count="4">
          <reference field="4294967294" count="1" selected="0">
            <x v="4"/>
          </reference>
          <reference field="1" count="1" selected="0">
            <x v="1"/>
          </reference>
          <reference field="2" count="1" selected="0">
            <x v="0"/>
          </reference>
          <reference field="3" count="1">
            <x v="6"/>
          </reference>
        </references>
      </pivotArea>
    </format>
    <format dxfId="376">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39"/>
          </reference>
        </references>
      </pivotArea>
    </format>
    <format dxfId="375">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1"/>
          </reference>
        </references>
      </pivotArea>
    </format>
    <format dxfId="374">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0"/>
          </reference>
        </references>
      </pivotArea>
    </format>
    <format dxfId="373">
      <pivotArea collapsedLevelsAreSubtotals="1" fieldPosition="0">
        <references count="4">
          <reference field="4294967294" count="1" selected="0">
            <x v="4"/>
          </reference>
          <reference field="1" count="1" selected="0">
            <x v="1"/>
          </reference>
          <reference field="2" count="1" selected="0">
            <x v="0"/>
          </reference>
          <reference field="3" count="1">
            <x v="28"/>
          </reference>
        </references>
      </pivotArea>
    </format>
    <format dxfId="372">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0"/>
          </reference>
        </references>
      </pivotArea>
    </format>
    <format dxfId="371">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2"/>
          </reference>
        </references>
      </pivotArea>
    </format>
    <format dxfId="370">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1"/>
          </reference>
        </references>
      </pivotArea>
    </format>
    <format dxfId="369">
      <pivotArea collapsedLevelsAreSubtotals="1" fieldPosition="0">
        <references count="4">
          <reference field="4294967294" count="1" selected="0">
            <x v="4"/>
          </reference>
          <reference field="1" count="1" selected="0">
            <x v="1"/>
          </reference>
          <reference field="2" count="1" selected="0">
            <x v="0"/>
          </reference>
          <reference field="3" count="1">
            <x v="24"/>
          </reference>
        </references>
      </pivotArea>
    </format>
    <format dxfId="368">
      <pivotArea collapsedLevelsAreSubtotals="1" fieldPosition="0">
        <references count="4">
          <reference field="4294967294" count="1" selected="0">
            <x v="4"/>
          </reference>
          <reference field="1" count="1" selected="0">
            <x v="1"/>
          </reference>
          <reference field="2" count="1" selected="0">
            <x v="0"/>
          </reference>
          <reference field="3" count="1">
            <x v="26"/>
          </reference>
        </references>
      </pivotArea>
    </format>
    <format dxfId="367">
      <pivotArea collapsedLevelsAreSubtotals="1" fieldPosition="0">
        <references count="2">
          <reference field="4294967294" count="1" selected="0">
            <x v="4"/>
          </reference>
          <reference field="2" count="1">
            <x v="3"/>
          </reference>
        </references>
      </pivotArea>
    </format>
    <format dxfId="366">
      <pivotArea collapsedLevelsAreSubtotals="1" fieldPosition="0">
        <references count="3">
          <reference field="4294967294" count="1" selected="0">
            <x v="4"/>
          </reference>
          <reference field="1" count="1">
            <x v="0"/>
          </reference>
          <reference field="2" count="1" selected="0">
            <x v="3"/>
          </reference>
        </references>
      </pivotArea>
    </format>
    <format dxfId="365">
      <pivotArea collapsedLevelsAreSubtotals="1" fieldPosition="0">
        <references count="4">
          <reference field="4294967294" count="1" selected="0">
            <x v="4"/>
          </reference>
          <reference field="1" count="1" selected="0">
            <x v="0"/>
          </reference>
          <reference field="2" count="1" selected="0">
            <x v="3"/>
          </reference>
          <reference field="3" count="1">
            <x v="8"/>
          </reference>
        </references>
      </pivotArea>
    </format>
    <format dxfId="364">
      <pivotArea collapsedLevelsAreSubtotals="1" fieldPosition="0">
        <references count="4">
          <reference field="4294967294" count="1" selected="0">
            <x v="4"/>
          </reference>
          <reference field="1" count="1" selected="0">
            <x v="0"/>
          </reference>
          <reference field="2" count="1" selected="0">
            <x v="3"/>
          </reference>
          <reference field="3" count="1">
            <x v="18"/>
          </reference>
        </references>
      </pivotArea>
    </format>
    <format dxfId="363">
      <pivotArea collapsedLevelsAreSubtotals="1" fieldPosition="0">
        <references count="4">
          <reference field="4294967294" count="1" selected="0">
            <x v="4"/>
          </reference>
          <reference field="1" count="1" selected="0">
            <x v="0"/>
          </reference>
          <reference field="2" count="1" selected="0">
            <x v="3"/>
          </reference>
          <reference field="3" count="1">
            <x v="9"/>
          </reference>
        </references>
      </pivotArea>
    </format>
    <format dxfId="362">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1"/>
          </reference>
        </references>
      </pivotArea>
    </format>
    <format dxfId="361">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2"/>
          </reference>
        </references>
      </pivotArea>
    </format>
    <format dxfId="360">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17"/>
          </reference>
        </references>
      </pivotArea>
    </format>
    <format dxfId="359">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5"/>
          </reference>
        </references>
      </pivotArea>
    </format>
    <format dxfId="358">
      <pivotArea collapsedLevelsAreSubtotals="1" fieldPosition="0">
        <references count="4">
          <reference field="4294967294" count="1" selected="0">
            <x v="4"/>
          </reference>
          <reference field="1" count="1" selected="0">
            <x v="0"/>
          </reference>
          <reference field="2" count="1" selected="0">
            <x v="3"/>
          </reference>
          <reference field="3" count="1">
            <x v="25"/>
          </reference>
        </references>
      </pivotArea>
    </format>
    <format dxfId="357">
      <pivotArea collapsedLevelsAreSubtotals="1" fieldPosition="0">
        <references count="4">
          <reference field="4294967294" count="1" selected="0">
            <x v="4"/>
          </reference>
          <reference field="1" count="1" selected="0">
            <x v="0"/>
          </reference>
          <reference field="2" count="1" selected="0">
            <x v="3"/>
          </reference>
          <reference field="3" count="1">
            <x v="29"/>
          </reference>
        </references>
      </pivotArea>
    </format>
    <format dxfId="356">
      <pivotArea collapsedLevelsAreSubtotals="1" fieldPosition="0">
        <references count="2">
          <reference field="4294967294" count="1" selected="0">
            <x v="4"/>
          </reference>
          <reference field="2" count="1">
            <x v="1"/>
          </reference>
        </references>
      </pivotArea>
    </format>
    <format dxfId="355">
      <pivotArea collapsedLevelsAreSubtotals="1" fieldPosition="0">
        <references count="3">
          <reference field="4294967294" count="1" selected="0">
            <x v="4"/>
          </reference>
          <reference field="1" count="1">
            <x v="1"/>
          </reference>
          <reference field="2" count="1" selected="0">
            <x v="1"/>
          </reference>
        </references>
      </pivotArea>
    </format>
    <format dxfId="354">
      <pivotArea collapsedLevelsAreSubtotals="1" fieldPosition="0">
        <references count="4">
          <reference field="4294967294" count="1" selected="0">
            <x v="4"/>
          </reference>
          <reference field="1" count="1" selected="0">
            <x v="1"/>
          </reference>
          <reference field="2" count="1" selected="0">
            <x v="1"/>
          </reference>
          <reference field="3" count="1">
            <x v="18"/>
          </reference>
        </references>
      </pivotArea>
    </format>
    <format dxfId="353">
      <pivotArea collapsedLevelsAreSubtotals="1" fieldPosition="0">
        <references count="4">
          <reference field="4294967294" count="1" selected="0">
            <x v="4"/>
          </reference>
          <reference field="1" count="1" selected="0">
            <x v="1"/>
          </reference>
          <reference field="2" count="1" selected="0">
            <x v="1"/>
          </reference>
          <reference field="3" count="1">
            <x v="0"/>
          </reference>
        </references>
      </pivotArea>
    </format>
    <format dxfId="352">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4"/>
          </reference>
        </references>
      </pivotArea>
    </format>
    <format dxfId="351">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5"/>
          </reference>
        </references>
      </pivotArea>
    </format>
    <format dxfId="350">
      <pivotArea collapsedLevelsAreSubtotals="1" fieldPosition="0">
        <references count="4">
          <reference field="4294967294" count="1" selected="0">
            <x v="4"/>
          </reference>
          <reference field="1" count="1" selected="0">
            <x v="1"/>
          </reference>
          <reference field="2" count="1" selected="0">
            <x v="1"/>
          </reference>
          <reference field="3" count="1">
            <x v="27"/>
          </reference>
        </references>
      </pivotArea>
    </format>
    <format dxfId="349">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8"/>
          </reference>
        </references>
      </pivotArea>
    </format>
    <format dxfId="348">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9"/>
          </reference>
        </references>
      </pivotArea>
    </format>
    <format dxfId="347">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7"/>
          </reference>
        </references>
      </pivotArea>
    </format>
    <format dxfId="346">
      <pivotArea collapsedLevelsAreSubtotals="1" fieldPosition="0">
        <references count="4">
          <reference field="4294967294" count="1" selected="0">
            <x v="4"/>
          </reference>
          <reference field="1" count="1" selected="0">
            <x v="1"/>
          </reference>
          <reference field="2" count="1" selected="0">
            <x v="1"/>
          </reference>
          <reference field="3" count="1">
            <x v="32"/>
          </reference>
        </references>
      </pivotArea>
    </format>
    <format dxfId="345">
      <pivotArea collapsedLevelsAreSubtotals="1" fieldPosition="0">
        <references count="5">
          <reference field="4294967294" count="1" selected="0">
            <x v="4"/>
          </reference>
          <reference field="1" count="1" selected="0">
            <x v="1"/>
          </reference>
          <reference field="2" count="1" selected="0">
            <x v="1"/>
          </reference>
          <reference field="3" count="1" selected="0">
            <x v="32"/>
          </reference>
          <reference field="4" count="1">
            <x v="76"/>
          </reference>
        </references>
      </pivotArea>
    </format>
    <format dxfId="344">
      <pivotArea collapsedLevelsAreSubtotals="1" fieldPosition="0">
        <references count="4">
          <reference field="4294967294" count="1" selected="0">
            <x v="4"/>
          </reference>
          <reference field="1" count="1" selected="0">
            <x v="1"/>
          </reference>
          <reference field="2" count="1" selected="0">
            <x v="1"/>
          </reference>
          <reference field="3" count="1">
            <x v="28"/>
          </reference>
        </references>
      </pivotArea>
    </format>
    <format dxfId="343">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1"/>
          </reference>
        </references>
      </pivotArea>
    </format>
    <format dxfId="342">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2"/>
          </reference>
        </references>
      </pivotArea>
    </format>
    <format dxfId="341">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0"/>
          </reference>
        </references>
      </pivotArea>
    </format>
    <format dxfId="340">
      <pivotArea collapsedLevelsAreSubtotals="1" fieldPosition="0">
        <references count="4">
          <reference field="4294967294" count="1" selected="0">
            <x v="4"/>
          </reference>
          <reference field="1" count="1" selected="0">
            <x v="1"/>
          </reference>
          <reference field="2" count="1" selected="0">
            <x v="1"/>
          </reference>
          <reference field="3" count="1">
            <x v="36"/>
          </reference>
        </references>
      </pivotArea>
    </format>
    <format dxfId="339">
      <pivotArea collapsedLevelsAreSubtotals="1" fieldPosition="0">
        <references count="4">
          <reference field="4294967294" count="1" selected="0">
            <x v="4"/>
          </reference>
          <reference field="1" count="1" selected="0">
            <x v="1"/>
          </reference>
          <reference field="2" count="1" selected="0">
            <x v="1"/>
          </reference>
          <reference field="3" count="1">
            <x v="1"/>
          </reference>
        </references>
      </pivotArea>
    </format>
    <format dxfId="338">
      <pivotArea collapsedLevelsAreSubtotals="1" fieldPosition="0">
        <references count="4">
          <reference field="4294967294" count="1" selected="0">
            <x v="4"/>
          </reference>
          <reference field="1" count="1" selected="0">
            <x v="1"/>
          </reference>
          <reference field="2" count="1" selected="0">
            <x v="1"/>
          </reference>
          <reference field="3" count="1">
            <x v="30"/>
          </reference>
        </references>
      </pivotArea>
    </format>
    <format dxfId="337">
      <pivotArea collapsedLevelsAreSubtotals="1" fieldPosition="0">
        <references count="4">
          <reference field="4294967294" count="1" selected="0">
            <x v="4"/>
          </reference>
          <reference field="1" count="1" selected="0">
            <x v="1"/>
          </reference>
          <reference field="2" count="1" selected="0">
            <x v="1"/>
          </reference>
          <reference field="3" count="1">
            <x v="24"/>
          </reference>
        </references>
      </pivotArea>
    </format>
    <format dxfId="336">
      <pivotArea collapsedLevelsAreSubtotals="1" fieldPosition="0">
        <references count="4">
          <reference field="4294967294" count="1" selected="0">
            <x v="4"/>
          </reference>
          <reference field="1" count="1" selected="0">
            <x v="1"/>
          </reference>
          <reference field="2" count="1" selected="0">
            <x v="1"/>
          </reference>
          <reference field="3" count="1">
            <x v="34"/>
          </reference>
        </references>
      </pivotArea>
    </format>
    <format dxfId="335">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9"/>
          </reference>
        </references>
      </pivotArea>
    </format>
    <format dxfId="334">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8"/>
          </reference>
        </references>
      </pivotArea>
    </format>
    <format dxfId="333">
      <pivotArea collapsedLevelsAreSubtotals="1" fieldPosition="0">
        <references count="4">
          <reference field="4294967294" count="1" selected="0">
            <x v="4"/>
          </reference>
          <reference field="1" count="1" selected="0">
            <x v="1"/>
          </reference>
          <reference field="2" count="1" selected="0">
            <x v="1"/>
          </reference>
          <reference field="3" count="1">
            <x v="37"/>
          </reference>
        </references>
      </pivotArea>
    </format>
    <format dxfId="332">
      <pivotArea collapsedLevelsAreSubtotals="1" fieldPosition="0">
        <references count="4">
          <reference field="4294967294" count="1" selected="0">
            <x v="4"/>
          </reference>
          <reference field="1" count="1" selected="0">
            <x v="1"/>
          </reference>
          <reference field="2" count="1" selected="0">
            <x v="1"/>
          </reference>
          <reference field="3" count="1">
            <x v="7"/>
          </reference>
        </references>
      </pivotArea>
    </format>
    <format dxfId="331">
      <pivotArea collapsedLevelsAreSubtotals="1" fieldPosition="0">
        <references count="4">
          <reference field="4294967294" count="1" selected="0">
            <x v="4"/>
          </reference>
          <reference field="1" count="1" selected="0">
            <x v="1"/>
          </reference>
          <reference field="2" count="1" selected="0">
            <x v="1"/>
          </reference>
          <reference field="3" count="1">
            <x v="6"/>
          </reference>
        </references>
      </pivotArea>
    </format>
    <format dxfId="330">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41"/>
          </reference>
        </references>
      </pivotArea>
    </format>
    <format dxfId="329">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39"/>
          </reference>
        </references>
      </pivotArea>
    </format>
    <format dxfId="328">
      <pivotArea collapsedLevelsAreSubtotals="1" fieldPosition="0">
        <references count="4">
          <reference field="4294967294" count="1" selected="0">
            <x v="4"/>
          </reference>
          <reference field="1" count="1" selected="0">
            <x v="1"/>
          </reference>
          <reference field="2" count="1" selected="0">
            <x v="1"/>
          </reference>
          <reference field="3" count="1">
            <x v="26"/>
          </reference>
        </references>
      </pivotArea>
    </format>
    <format dxfId="327">
      <pivotArea collapsedLevelsAreSubtotals="1" fieldPosition="0">
        <references count="3">
          <reference field="4294967294" count="1" selected="0">
            <x v="4"/>
          </reference>
          <reference field="1" count="1">
            <x v="0"/>
          </reference>
          <reference field="2" count="1" selected="0">
            <x v="1"/>
          </reference>
        </references>
      </pivotArea>
    </format>
    <format dxfId="326">
      <pivotArea collapsedLevelsAreSubtotals="1" fieldPosition="0">
        <references count="4">
          <reference field="4294967294" count="1" selected="0">
            <x v="4"/>
          </reference>
          <reference field="1" count="1" selected="0">
            <x v="0"/>
          </reference>
          <reference field="2" count="1" selected="0">
            <x v="1"/>
          </reference>
          <reference field="3" count="1">
            <x v="18"/>
          </reference>
        </references>
      </pivotArea>
    </format>
    <format dxfId="325">
      <pivotArea collapsedLevelsAreSubtotals="1" fieldPosition="0">
        <references count="4">
          <reference field="4294967294" count="1" selected="0">
            <x v="4"/>
          </reference>
          <reference field="1" count="1" selected="0">
            <x v="0"/>
          </reference>
          <reference field="2" count="1" selected="0">
            <x v="1"/>
          </reference>
          <reference field="3" count="1">
            <x v="0"/>
          </reference>
        </references>
      </pivotArea>
    </format>
    <format dxfId="324">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4"/>
          </reference>
        </references>
      </pivotArea>
    </format>
    <format dxfId="323">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5"/>
          </reference>
        </references>
      </pivotArea>
    </format>
    <format dxfId="322">
      <pivotArea collapsedLevelsAreSubtotals="1" fieldPosition="0">
        <references count="4">
          <reference field="4294967294" count="1" selected="0">
            <x v="4"/>
          </reference>
          <reference field="1" count="1" selected="0">
            <x v="0"/>
          </reference>
          <reference field="2" count="1" selected="0">
            <x v="1"/>
          </reference>
          <reference field="3" count="1">
            <x v="7"/>
          </reference>
        </references>
      </pivotArea>
    </format>
    <format dxfId="321">
      <pivotArea collapsedLevelsAreSubtotals="1" fieldPosition="0">
        <references count="4">
          <reference field="4294967294" count="1" selected="0">
            <x v="4"/>
          </reference>
          <reference field="1" count="1" selected="0">
            <x v="0"/>
          </reference>
          <reference field="2" count="1" selected="0">
            <x v="1"/>
          </reference>
          <reference field="3" count="1">
            <x v="32"/>
          </reference>
        </references>
      </pivotArea>
    </format>
    <format dxfId="320">
      <pivotArea collapsedLevelsAreSubtotals="1" fieldPosition="0">
        <references count="5">
          <reference field="4294967294" count="1" selected="0">
            <x v="4"/>
          </reference>
          <reference field="1" count="1" selected="0">
            <x v="0"/>
          </reference>
          <reference field="2" count="1" selected="0">
            <x v="1"/>
          </reference>
          <reference field="3" count="1" selected="0">
            <x v="32"/>
          </reference>
          <reference field="4" count="1">
            <x v="76"/>
          </reference>
        </references>
      </pivotArea>
    </format>
    <format dxfId="319">
      <pivotArea collapsedLevelsAreSubtotals="1" fieldPosition="0">
        <references count="4">
          <reference field="4294967294" count="1" selected="0">
            <x v="4"/>
          </reference>
          <reference field="1" count="1" selected="0">
            <x v="0"/>
          </reference>
          <reference field="2" count="1" selected="0">
            <x v="1"/>
          </reference>
          <reference field="3" count="1">
            <x v="15"/>
          </reference>
        </references>
      </pivotArea>
    </format>
    <format dxfId="318">
      <pivotArea collapsedLevelsAreSubtotals="1" fieldPosition="0">
        <references count="4">
          <reference field="4294967294" count="1" selected="0">
            <x v="4"/>
          </reference>
          <reference field="1" count="1" selected="0">
            <x v="0"/>
          </reference>
          <reference field="2" count="1" selected="0">
            <x v="1"/>
          </reference>
          <reference field="3" count="1">
            <x v="22"/>
          </reference>
        </references>
      </pivotArea>
    </format>
    <format dxfId="317">
      <pivotArea collapsedLevelsAreSubtotals="1" fieldPosition="0">
        <references count="4">
          <reference field="4294967294" count="1" selected="0">
            <x v="4"/>
          </reference>
          <reference field="1" count="1" selected="0">
            <x v="0"/>
          </reference>
          <reference field="2" count="1" selected="0">
            <x v="1"/>
          </reference>
          <reference field="3" count="1">
            <x v="1"/>
          </reference>
        </references>
      </pivotArea>
    </format>
    <format dxfId="316">
      <pivotArea collapsedLevelsAreSubtotals="1" fieldPosition="0">
        <references count="4">
          <reference field="4294967294" count="1" selected="0">
            <x v="4"/>
          </reference>
          <reference field="1" count="1" selected="0">
            <x v="0"/>
          </reference>
          <reference field="2" count="1" selected="0">
            <x v="1"/>
          </reference>
          <reference field="3" count="1">
            <x v="6"/>
          </reference>
        </references>
      </pivotArea>
    </format>
    <format dxfId="315">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57"/>
          </reference>
        </references>
      </pivotArea>
    </format>
    <format dxfId="314">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0"/>
          </reference>
        </references>
      </pivotArea>
    </format>
    <format dxfId="313">
      <pivotArea collapsedLevelsAreSubtotals="1" fieldPosition="0">
        <references count="4">
          <reference field="4294967294" count="1" selected="0">
            <x v="4"/>
          </reference>
          <reference field="1" count="1" selected="0">
            <x v="0"/>
          </reference>
          <reference field="2" count="1" selected="0">
            <x v="1"/>
          </reference>
          <reference field="3" count="1">
            <x v="23"/>
          </reference>
        </references>
      </pivotArea>
    </format>
    <format dxfId="312">
      <pivotArea collapsedLevelsAreSubtotals="1" fieldPosition="0">
        <references count="4">
          <reference field="4294967294" count="1" selected="0">
            <x v="4"/>
          </reference>
          <reference field="1" count="1" selected="0">
            <x v="0"/>
          </reference>
          <reference field="2" count="1" selected="0">
            <x v="1"/>
          </reference>
          <reference field="3" count="1">
            <x v="4"/>
          </reference>
        </references>
      </pivotArea>
    </format>
    <format dxfId="311">
      <pivotArea collapsedLevelsAreSubtotals="1" fieldPosition="0">
        <references count="4">
          <reference field="4294967294" count="1" selected="0">
            <x v="4"/>
          </reference>
          <reference field="1" count="1" selected="0">
            <x v="0"/>
          </reference>
          <reference field="2" count="1" selected="0">
            <x v="1"/>
          </reference>
          <reference field="3" count="1">
            <x v="24"/>
          </reference>
        </references>
      </pivotArea>
    </format>
    <format dxfId="310">
      <pivotArea collapsedLevelsAreSubtotals="1" fieldPosition="0">
        <references count="4">
          <reference field="4294967294" count="1" selected="0">
            <x v="4"/>
          </reference>
          <reference field="1" count="1" selected="0">
            <x v="0"/>
          </reference>
          <reference field="2" count="1" selected="0">
            <x v="1"/>
          </reference>
          <reference field="3" count="1">
            <x v="10"/>
          </reference>
        </references>
      </pivotArea>
    </format>
    <format dxfId="309">
      <pivotArea collapsedLevelsAreSubtotals="1" fieldPosition="0">
        <references count="4">
          <reference field="4294967294" count="1" selected="0">
            <x v="4"/>
          </reference>
          <reference field="1" count="1" selected="0">
            <x v="0"/>
          </reference>
          <reference field="2" count="1" selected="0">
            <x v="1"/>
          </reference>
          <reference field="3" count="1">
            <x v="30"/>
          </reference>
        </references>
      </pivotArea>
    </format>
    <format dxfId="308">
      <pivotArea collapsedLevelsAreSubtotals="1" fieldPosition="0">
        <references count="4">
          <reference field="4294967294" count="1" selected="0">
            <x v="4"/>
          </reference>
          <reference field="1" count="1" selected="0">
            <x v="0"/>
          </reference>
          <reference field="2" count="1" selected="0">
            <x v="1"/>
          </reference>
          <reference field="3" count="1">
            <x v="26"/>
          </reference>
        </references>
      </pivotArea>
    </format>
    <format dxfId="307">
      <pivotArea collapsedLevelsAreSubtotals="1" fieldPosition="0">
        <references count="4">
          <reference field="4294967294" count="1" selected="0">
            <x v="4"/>
          </reference>
          <reference field="1" count="1" selected="0">
            <x v="0"/>
          </reference>
          <reference field="2" count="1" selected="0">
            <x v="1"/>
          </reference>
          <reference field="3" count="1">
            <x v="16"/>
          </reference>
        </references>
      </pivotArea>
    </format>
    <format dxfId="306">
      <pivotArea collapsedLevelsAreSubtotals="1" fieldPosition="0">
        <references count="4">
          <reference field="4294967294" count="1" selected="0">
            <x v="4"/>
          </reference>
          <reference field="1" count="1" selected="0">
            <x v="0"/>
          </reference>
          <reference field="2" count="1" selected="0">
            <x v="1"/>
          </reference>
          <reference field="3" count="1">
            <x v="31"/>
          </reference>
        </references>
      </pivotArea>
    </format>
    <format dxfId="305">
      <pivotArea collapsedLevelsAreSubtotals="1" fieldPosition="0">
        <references count="4">
          <reference field="4294967294" count="1" selected="0">
            <x v="4"/>
          </reference>
          <reference field="1" count="1" selected="0">
            <x v="0"/>
          </reference>
          <reference field="2" count="1" selected="0">
            <x v="1"/>
          </reference>
          <reference field="3" count="1">
            <x v="17"/>
          </reference>
        </references>
      </pivotArea>
    </format>
    <format dxfId="304">
      <pivotArea collapsedLevelsAreSubtotals="1" fieldPosition="0">
        <references count="4">
          <reference field="4294967294" count="1" selected="0">
            <x v="4"/>
          </reference>
          <reference field="1" count="1" selected="0">
            <x v="0"/>
          </reference>
          <reference field="2" count="1" selected="0">
            <x v="1"/>
          </reference>
          <reference field="3" count="1">
            <x v="33"/>
          </reference>
        </references>
      </pivotArea>
    </format>
    <format dxfId="303">
      <pivotArea collapsedLevelsAreSubtotals="1" fieldPosition="0">
        <references count="4">
          <reference field="4294967294" count="1" selected="0">
            <x v="4"/>
          </reference>
          <reference field="1" count="1" selected="0">
            <x v="0"/>
          </reference>
          <reference field="2" count="1" selected="0">
            <x v="1"/>
          </reference>
          <reference field="3" count="1">
            <x v="34"/>
          </reference>
        </references>
      </pivotArea>
    </format>
    <format dxfId="302">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9"/>
          </reference>
        </references>
      </pivotArea>
    </format>
    <format dxfId="301">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8"/>
          </reference>
        </references>
      </pivotArea>
    </format>
    <format dxfId="300">
      <pivotArea collapsedLevelsAreSubtotals="1" fieldPosition="0">
        <references count="4">
          <reference field="4294967294" count="1" selected="0">
            <x v="4"/>
          </reference>
          <reference field="1" count="1" selected="0">
            <x v="0"/>
          </reference>
          <reference field="2" count="1" selected="0">
            <x v="1"/>
          </reference>
          <reference field="3" count="1">
            <x v="36"/>
          </reference>
        </references>
      </pivotArea>
    </format>
    <format dxfId="299">
      <pivotArea collapsedLevelsAreSubtotals="1" fieldPosition="0">
        <references count="4">
          <reference field="4294967294" count="1" selected="0">
            <x v="4"/>
          </reference>
          <reference field="1" count="1" selected="0">
            <x v="0"/>
          </reference>
          <reference field="2" count="1" selected="0">
            <x v="1"/>
          </reference>
          <reference field="3" count="1">
            <x v="37"/>
          </reference>
        </references>
      </pivotArea>
    </format>
    <format dxfId="298">
      <pivotArea collapsedLevelsAreSubtotals="1" fieldPosition="0">
        <references count="4">
          <reference field="4294967294" count="1" selected="0">
            <x v="4"/>
          </reference>
          <reference field="1" count="1" selected="0">
            <x v="0"/>
          </reference>
          <reference field="2" count="1" selected="0">
            <x v="1"/>
          </reference>
          <reference field="3" count="1">
            <x v="20"/>
          </reference>
        </references>
      </pivotArea>
    </format>
    <format dxfId="297">
      <pivotArea collapsedLevelsAreSubtotals="1" fieldPosition="0">
        <references count="4">
          <reference field="4294967294" count="1" selected="0">
            <x v="4"/>
          </reference>
          <reference field="1" count="1" selected="0">
            <x v="0"/>
          </reference>
          <reference field="2" count="1" selected="0">
            <x v="1"/>
          </reference>
          <reference field="3" count="1">
            <x v="21"/>
          </reference>
        </references>
      </pivotArea>
    </format>
    <format dxfId="296">
      <pivotArea outline="0" collapsedLevelsAreSubtotals="1" fieldPosition="0">
        <references count="1">
          <reference field="4294967294" count="2" selected="0">
            <x v="1"/>
            <x v="2"/>
          </reference>
        </references>
      </pivotArea>
    </format>
    <format dxfId="295">
      <pivotArea dataOnly="0" labelOnly="1" outline="0" fieldPosition="0">
        <references count="1">
          <reference field="4294967294" count="2">
            <x v="1"/>
            <x v="2"/>
          </reference>
        </references>
      </pivotArea>
    </format>
    <format dxfId="294">
      <pivotArea outline="0" collapsedLevelsAreSubtotals="1" fieldPosition="0">
        <references count="1">
          <reference field="4294967294" count="3" selected="0">
            <x v="3"/>
            <x v="4"/>
            <x v="5"/>
          </reference>
        </references>
      </pivotArea>
    </format>
    <format dxfId="293">
      <pivotArea outline="0" collapsedLevelsAreSubtotals="1" fieldPosition="0">
        <references count="1">
          <reference field="4294967294" count="3" selected="0">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4E3BA5-1B4C-44DA-B140-C50F392BF6C4}" name="PivotTable1" cacheId="167"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location ref="A3:K3" firstHeaderRow="0" firstDataRow="1" firstDataCol="1" rowPageCount="1" colPageCount="1"/>
  <pivotFields count="24">
    <pivotField axis="axisPage" showAll="0">
      <items count="4">
        <item x="0"/>
        <item x="1"/>
        <item x="2"/>
        <item t="default"/>
      </items>
    </pivotField>
    <pivotField axis="axisRow" showAll="0" sortType="descending" defaultSubtotal="0">
      <items count="2">
        <item x="0"/>
        <item x="1"/>
      </items>
      <autoSortScope>
        <pivotArea dataOnly="0" outline="0" fieldPosition="0">
          <references count="1">
            <reference field="4294967294" count="1" selected="0">
              <x v="6"/>
            </reference>
          </references>
        </pivotArea>
      </autoSortScope>
    </pivotField>
    <pivotField axis="axisRow" showAll="0" sortType="descending" defaultSubtotal="0">
      <items count="5">
        <item x="0"/>
        <item x="3"/>
        <item x="1"/>
        <item x="2"/>
        <item x="4"/>
      </items>
      <autoSortScope>
        <pivotArea dataOnly="0" outline="0" fieldPosition="0">
          <references count="1">
            <reference field="4294967294" count="1" selected="0">
              <x v="6"/>
            </reference>
          </references>
        </pivotArea>
      </autoSortScope>
    </pivotField>
    <pivotField axis="axisRow" showAll="0" sortType="descending" defaultSubtotal="0">
      <items count="45">
        <item x="0"/>
        <item sd="0" x="2"/>
        <item sd="0" x="20"/>
        <item sd="0" x="21"/>
        <item sd="0" x="3"/>
        <item x="22"/>
        <item x="4"/>
        <item sd="0" x="6"/>
        <item sd="0" x="25"/>
        <item x="7"/>
        <item sd="0" x="28"/>
        <item x="8"/>
        <item sd="0" x="5"/>
        <item sd="0" x="44"/>
        <item sd="0" x="9"/>
        <item sd="0" x="29"/>
        <item sd="0" x="30"/>
        <item sd="0" x="31"/>
        <item sd="0" x="10"/>
        <item sd="0" x="23"/>
        <item sd="0" x="32"/>
        <item sd="0" x="33"/>
        <item sd="0" x="34"/>
        <item sd="0" x="35"/>
        <item sd="0" x="11"/>
        <item sd="0" x="26"/>
        <item sd="0" x="12"/>
        <item x="37"/>
        <item x="38"/>
        <item sd="0" x="27"/>
        <item sd="0" x="13"/>
        <item sd="0" x="14"/>
        <item x="15"/>
        <item sd="0" x="36"/>
        <item x="16"/>
        <item sd="0" x="17"/>
        <item sd="0" x="18"/>
        <item sd="0" x="19"/>
        <item sd="0" x="24"/>
        <item x="1"/>
        <item x="39"/>
        <item x="40"/>
        <item x="41"/>
        <item x="42"/>
        <item x="43"/>
      </items>
      <autoSortScope>
        <pivotArea dataOnly="0" outline="0" fieldPosition="0">
          <references count="1">
            <reference field="4294967294" count="1" selected="0">
              <x v="6"/>
            </reference>
          </references>
        </pivotArea>
      </autoSortScope>
    </pivotField>
    <pivotField axis="axisRow" showAll="0" sortType="descending" defaultSubtotal="0">
      <items count="148">
        <item sd="0" x="11"/>
        <item x="9"/>
        <item sd="0" x="25"/>
        <item sd="0" x="40"/>
        <item sd="0" x="70"/>
        <item sd="0" x="71"/>
        <item sd="0" x="42"/>
        <item sd="0" x="41"/>
        <item x="43"/>
        <item x="45"/>
        <item x="46"/>
        <item x="47"/>
        <item x="44"/>
        <item sd="0" x="52"/>
        <item sd="0" x="50"/>
        <item sd="0" x="51"/>
        <item x="10"/>
        <item sd="0" x="66"/>
        <item sd="0" x="21"/>
        <item sd="0" x="22"/>
        <item sd="0" x="15"/>
        <item sd="0" x="64"/>
        <item sd="0" x="65"/>
        <item sd="0" x="16"/>
        <item sd="0" x="19"/>
        <item sd="0" x="67"/>
        <item sd="0" x="23"/>
        <item sd="0" x="24"/>
        <item sd="0" x="56"/>
        <item sd="0" x="57"/>
        <item sd="0" x="55"/>
        <item sd="0" x="53"/>
        <item sd="0" x="54"/>
        <item sd="0" x="17"/>
        <item sd="0" x="20"/>
        <item sd="0" x="18"/>
        <item x="14"/>
        <item x="63"/>
        <item x="72"/>
        <item sd="0" x="82"/>
        <item sd="0" x="84"/>
        <item sd="0" x="83"/>
        <item sd="0" x="26"/>
        <item x="13"/>
        <item x="0"/>
        <item x="2"/>
        <item x="1"/>
        <item x="28"/>
        <item x="73"/>
        <item x="74"/>
        <item x="75"/>
        <item x="29"/>
        <item x="3"/>
        <item x="5"/>
        <item x="4"/>
        <item x="58"/>
        <item x="8"/>
        <item sd="0" x="12"/>
        <item sd="0" x="27"/>
        <item x="76"/>
        <item x="77"/>
        <item x="78"/>
        <item x="79"/>
        <item x="30"/>
        <item x="68"/>
        <item x="31"/>
        <item sd="0" x="92"/>
        <item sd="0" x="85"/>
        <item sd="0" x="86"/>
        <item sd="0" x="87"/>
        <item sd="0" x="88"/>
        <item sd="0" x="89"/>
        <item sd="0" x="90"/>
        <item x="69"/>
        <item x="32"/>
        <item x="33"/>
        <item sd="0" x="80"/>
        <item x="81"/>
        <item sd="0" x="35"/>
        <item sd="0" x="36"/>
        <item x="37"/>
        <item x="38"/>
        <item sd="0" x="39"/>
        <item x="62"/>
        <item x="48"/>
        <item x="49"/>
        <item x="6"/>
        <item x="7"/>
        <item sd="0" x="60"/>
        <item sd="0" x="61"/>
        <item sd="0" x="34"/>
        <item x="59"/>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s>
      <autoSortScope>
        <pivotArea dataOnly="0" outline="0" fieldPosition="0">
          <references count="1">
            <reference field="4294967294" count="1" selected="0">
              <x v="6"/>
            </reference>
          </references>
        </pivotArea>
      </autoSortScope>
    </pivotField>
    <pivotField axis="axisRow" showAll="0" measureFilter="1">
      <items count="250">
        <item x="113"/>
        <item x="111"/>
        <item x="112"/>
        <item x="114"/>
        <item x="110"/>
        <item x="115"/>
        <item x="116"/>
        <item x="117"/>
        <item x="28"/>
        <item x="29"/>
        <item x="30"/>
        <item x="31"/>
        <item x="12"/>
        <item x="13"/>
        <item x="14"/>
        <item x="15"/>
        <item x="20"/>
        <item x="21"/>
        <item x="22"/>
        <item x="23"/>
        <item x="16"/>
        <item x="17"/>
        <item x="18"/>
        <item x="19"/>
        <item x="32"/>
        <item x="33"/>
        <item x="34"/>
        <item x="35"/>
        <item x="147"/>
        <item x="152"/>
        <item x="144"/>
        <item x="145"/>
        <item x="146"/>
        <item x="151"/>
        <item x="148"/>
        <item x="150"/>
        <item x="149"/>
        <item x="153"/>
        <item x="155"/>
        <item x="154"/>
        <item x="156"/>
        <item x="157"/>
        <item x="158"/>
        <item x="159"/>
        <item x="160"/>
        <item x="161"/>
        <item x="162"/>
        <item x="163"/>
        <item x="165"/>
        <item x="166"/>
        <item x="167"/>
        <item x="168"/>
        <item x="169"/>
        <item x="170"/>
        <item x="173"/>
        <item x="171"/>
        <item x="172"/>
        <item x="176"/>
        <item x="174"/>
        <item x="175"/>
        <item x="177"/>
        <item x="182"/>
        <item x="183"/>
        <item x="178"/>
        <item x="179"/>
        <item x="180"/>
        <item x="181"/>
        <item x="184"/>
        <item x="185"/>
        <item x="186"/>
        <item x="187"/>
        <item x="188"/>
        <item x="189"/>
        <item x="103"/>
        <item x="67"/>
        <item x="68"/>
        <item x="69"/>
        <item x="164"/>
        <item x="0"/>
        <item x="1"/>
        <item x="2"/>
        <item x="3"/>
        <item x="4"/>
        <item x="5"/>
        <item x="6"/>
        <item x="7"/>
        <item x="8"/>
        <item x="9"/>
        <item x="10"/>
        <item x="11"/>
        <item x="24"/>
        <item x="25"/>
        <item x="26"/>
        <item x="27"/>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6"/>
        <item x="107"/>
        <item x="108"/>
        <item x="109"/>
        <item x="118"/>
        <item x="119"/>
        <item x="120"/>
        <item x="121"/>
        <item x="122"/>
        <item x="123"/>
        <item x="124"/>
        <item x="125"/>
        <item x="126"/>
        <item x="127"/>
        <item x="128"/>
        <item x="129"/>
        <item x="130"/>
        <item x="131"/>
        <item x="132"/>
        <item x="133"/>
        <item x="134"/>
        <item x="135"/>
        <item x="136"/>
        <item x="137"/>
        <item x="138"/>
        <item x="139"/>
        <item x="140"/>
        <item x="141"/>
        <item x="142"/>
        <item x="143"/>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t="default"/>
      </items>
    </pivotField>
    <pivotField showAll="0"/>
    <pivotField showAll="0"/>
    <pivotField showAll="0"/>
    <pivotField showAll="0"/>
    <pivotField dataField="1" numFmtId="164" showAll="0"/>
    <pivotField showAll="0"/>
    <pivotField dataField="1" numFmtId="10" showAll="0"/>
    <pivotField dataField="1" numFmtId="10" showAll="0"/>
    <pivotField dataField="1" showAll="0"/>
    <pivotField showAll="0"/>
    <pivotField dataField="1" numFmtId="164" showAll="0"/>
    <pivotField showAll="0"/>
    <pivotField dataField="1" showAll="0"/>
    <pivotField showAll="0"/>
    <pivotField dataField="1" numFmtId="166" showAll="0"/>
    <pivotField dataField="1" showAll="0"/>
    <pivotField dataField="1" numFmtId="164" showAll="0"/>
    <pivotField dataField="1" showAll="0"/>
  </pivotFields>
  <rowFields count="5">
    <field x="2"/>
    <field x="1"/>
    <field x="3"/>
    <field x="4"/>
    <field x="5"/>
  </rowFields>
  <colFields count="1">
    <field x="-2"/>
  </colFields>
  <colItems count="10">
    <i>
      <x/>
    </i>
    <i i="1">
      <x v="1"/>
    </i>
    <i i="2">
      <x v="2"/>
    </i>
    <i i="3">
      <x v="3"/>
    </i>
    <i i="4">
      <x v="4"/>
    </i>
    <i i="5">
      <x v="5"/>
    </i>
    <i i="6">
      <x v="6"/>
    </i>
    <i i="7">
      <x v="7"/>
    </i>
    <i i="8">
      <x v="8"/>
    </i>
    <i i="9">
      <x v="9"/>
    </i>
  </colItems>
  <pageFields count="1">
    <pageField fld="0" item="0" hier="-1"/>
  </pageFields>
  <dataFields count="10">
    <dataField name="2026 List " fld="10" baseField="0" baseItem="0" numFmtId="164"/>
    <dataField name="Discount 1" fld="12" baseField="0" baseItem="0" numFmtId="10"/>
    <dataField name="Discount 2" fld="13" baseField="0" baseItem="0" numFmtId="10"/>
    <dataField name="Discount 1 Net Rate" fld="14" baseField="0" baseItem="0" numFmtId="164"/>
    <dataField name="Net Change" fld="16" subtotal="average" baseField="4" baseItem="29" numFmtId="164"/>
    <dataField name="Discount 2 Net Rate" fld="18" baseField="0" baseItem="0" numFmtId="164"/>
    <dataField name="Occurrences " fld="20" baseField="0" baseItem="0" numFmtId="166"/>
    <dataField name="Discount 1 Net Spend" fld="21" baseField="0" baseItem="0" numFmtId="164"/>
    <dataField name="Net Spend Change " fld="22" baseField="0" baseItem="0" numFmtId="164"/>
    <dataField name="Discount 2 Net Spend" fld="23" baseField="0" baseItem="0" numFmtId="164"/>
  </dataFields>
  <formats count="285">
    <format dxfId="292">
      <pivotArea outline="0" collapsedLevelsAreSubtotals="1" fieldPosition="0">
        <references count="1">
          <reference field="4294967294" count="1" selected="0">
            <x v="6"/>
          </reference>
        </references>
      </pivotArea>
    </format>
    <format dxfId="291">
      <pivotArea collapsedLevelsAreSubtotals="1" fieldPosition="0">
        <references count="4">
          <reference field="4294967294" count="1" selected="0">
            <x v="4"/>
          </reference>
          <reference field="1" count="1" selected="0">
            <x v="0"/>
          </reference>
          <reference field="2" count="1" selected="0">
            <x v="2"/>
          </reference>
          <reference field="3" count="1">
            <x v="18"/>
          </reference>
        </references>
      </pivotArea>
    </format>
    <format dxfId="290">
      <pivotArea collapsedLevelsAreSubtotals="1" fieldPosition="0">
        <references count="4">
          <reference field="4294967294" count="1" selected="0">
            <x v="4"/>
          </reference>
          <reference field="1" count="1" selected="0">
            <x v="0"/>
          </reference>
          <reference field="2" count="1" selected="0">
            <x v="2"/>
          </reference>
          <reference field="3" count="1">
            <x v="32"/>
          </reference>
        </references>
      </pivotArea>
    </format>
    <format dxfId="289">
      <pivotArea type="all" dataOnly="0" outline="0" fieldPosition="0"/>
    </format>
    <format dxfId="288">
      <pivotArea outline="0" collapsedLevelsAreSubtotals="1" fieldPosition="0"/>
    </format>
    <format dxfId="287">
      <pivotArea field="2" type="button" dataOnly="0" labelOnly="1" outline="0" axis="axisRow" fieldPosition="0"/>
    </format>
    <format dxfId="286">
      <pivotArea dataOnly="0" labelOnly="1" fieldPosition="0">
        <references count="1">
          <reference field="2" count="0"/>
        </references>
      </pivotArea>
    </format>
    <format dxfId="285">
      <pivotArea dataOnly="0" labelOnly="1" fieldPosition="0">
        <references count="2">
          <reference field="1" count="0"/>
          <reference field="2" count="1" selected="0">
            <x v="2"/>
          </reference>
        </references>
      </pivotArea>
    </format>
    <format dxfId="284">
      <pivotArea dataOnly="0" labelOnly="1" fieldPosition="0">
        <references count="2">
          <reference field="1" count="0"/>
          <reference field="2" count="1" selected="0">
            <x v="0"/>
          </reference>
        </references>
      </pivotArea>
    </format>
    <format dxfId="283">
      <pivotArea dataOnly="0" labelOnly="1" fieldPosition="0">
        <references count="2">
          <reference field="1" count="1">
            <x v="0"/>
          </reference>
          <reference field="2" count="1" selected="0">
            <x v="3"/>
          </reference>
        </references>
      </pivotArea>
    </format>
    <format dxfId="282">
      <pivotArea dataOnly="0" labelOnly="1" fieldPosition="0">
        <references count="2">
          <reference field="1" count="0"/>
          <reference field="2" count="1" selected="0">
            <x v="1"/>
          </reference>
        </references>
      </pivotArea>
    </format>
    <format dxfId="281">
      <pivotArea dataOnly="0" labelOnly="1" fieldPosition="0">
        <references count="3">
          <reference field="1" count="1" selected="0">
            <x v="0"/>
          </reference>
          <reference field="2" count="1" selected="0">
            <x v="2"/>
          </reference>
          <reference field="3" count="17">
            <x v="0"/>
            <x v="1"/>
            <x v="2"/>
            <x v="3"/>
            <x v="4"/>
            <x v="5"/>
            <x v="7"/>
            <x v="9"/>
            <x v="11"/>
            <x v="18"/>
            <x v="19"/>
            <x v="24"/>
            <x v="30"/>
            <x v="32"/>
            <x v="34"/>
            <x v="38"/>
            <x v="39"/>
          </reference>
        </references>
      </pivotArea>
    </format>
    <format dxfId="280">
      <pivotArea dataOnly="0" labelOnly="1" fieldPosition="0">
        <references count="3">
          <reference field="1" count="1" selected="0">
            <x v="1"/>
          </reference>
          <reference field="2" count="1" selected="0">
            <x v="2"/>
          </reference>
          <reference field="3" count="2">
            <x v="0"/>
            <x v="39"/>
          </reference>
        </references>
      </pivotArea>
    </format>
    <format dxfId="279">
      <pivotArea dataOnly="0" labelOnly="1" fieldPosition="0">
        <references count="3">
          <reference field="1" count="1" selected="0">
            <x v="0"/>
          </reference>
          <reference field="2" count="1" selected="0">
            <x v="0"/>
          </reference>
          <reference field="3" count="20">
            <x v="0"/>
            <x v="1"/>
            <x v="4"/>
            <x v="6"/>
            <x v="7"/>
            <x v="9"/>
            <x v="11"/>
            <x v="12"/>
            <x v="14"/>
            <x v="18"/>
            <x v="24"/>
            <x v="26"/>
            <x v="30"/>
            <x v="31"/>
            <x v="32"/>
            <x v="34"/>
            <x v="35"/>
            <x v="36"/>
            <x v="37"/>
            <x v="39"/>
          </reference>
        </references>
      </pivotArea>
    </format>
    <format dxfId="278">
      <pivotArea dataOnly="0" labelOnly="1" fieldPosition="0">
        <references count="3">
          <reference field="1" count="1" selected="0">
            <x v="1"/>
          </reference>
          <reference field="2" count="1" selected="0">
            <x v="0"/>
          </reference>
          <reference field="3" count="17">
            <x v="0"/>
            <x v="1"/>
            <x v="6"/>
            <x v="7"/>
            <x v="11"/>
            <x v="13"/>
            <x v="18"/>
            <x v="24"/>
            <x v="26"/>
            <x v="27"/>
            <x v="28"/>
            <x v="30"/>
            <x v="32"/>
            <x v="34"/>
            <x v="36"/>
            <x v="37"/>
            <x v="39"/>
          </reference>
        </references>
      </pivotArea>
    </format>
    <format dxfId="277">
      <pivotArea dataOnly="0" labelOnly="1" fieldPosition="0">
        <references count="3">
          <reference field="1" count="1" selected="0">
            <x v="0"/>
          </reference>
          <reference field="2" count="1" selected="0">
            <x v="3"/>
          </reference>
          <reference field="3" count="5">
            <x v="8"/>
            <x v="9"/>
            <x v="18"/>
            <x v="25"/>
            <x v="29"/>
          </reference>
        </references>
      </pivotArea>
    </format>
    <format dxfId="276">
      <pivotArea dataOnly="0" labelOnly="1" fieldPosition="0">
        <references count="3">
          <reference field="1" count="1" selected="0">
            <x v="1"/>
          </reference>
          <reference field="2" count="1" selected="0">
            <x v="1"/>
          </reference>
          <reference field="3" count="14">
            <x v="0"/>
            <x v="1"/>
            <x v="6"/>
            <x v="7"/>
            <x v="18"/>
            <x v="24"/>
            <x v="26"/>
            <x v="27"/>
            <x v="28"/>
            <x v="30"/>
            <x v="32"/>
            <x v="34"/>
            <x v="36"/>
            <x v="37"/>
          </reference>
        </references>
      </pivotArea>
    </format>
    <format dxfId="275">
      <pivotArea dataOnly="0" labelOnly="1" fieldPosition="0">
        <references count="3">
          <reference field="1" count="1" selected="0">
            <x v="0"/>
          </reference>
          <reference field="2" count="1" selected="0">
            <x v="1"/>
          </reference>
          <reference field="3" count="23">
            <x v="0"/>
            <x v="1"/>
            <x v="4"/>
            <x v="6"/>
            <x v="7"/>
            <x v="10"/>
            <x v="15"/>
            <x v="16"/>
            <x v="17"/>
            <x v="18"/>
            <x v="20"/>
            <x v="21"/>
            <x v="22"/>
            <x v="23"/>
            <x v="24"/>
            <x v="26"/>
            <x v="30"/>
            <x v="31"/>
            <x v="32"/>
            <x v="33"/>
            <x v="34"/>
            <x v="36"/>
            <x v="37"/>
          </reference>
        </references>
      </pivotArea>
    </format>
    <format dxfId="274">
      <pivotArea dataOnly="0" labelOnly="1" fieldPosition="0">
        <references count="4">
          <reference field="1" count="1" selected="0">
            <x v="0"/>
          </reference>
          <reference field="2" count="1" selected="0">
            <x v="2"/>
          </reference>
          <reference field="3" count="1" selected="0">
            <x v="32"/>
          </reference>
          <reference field="4" count="2">
            <x v="88"/>
            <x v="89"/>
          </reference>
        </references>
      </pivotArea>
    </format>
    <format dxfId="273">
      <pivotArea dataOnly="0" labelOnly="1" fieldPosition="0">
        <references count="4">
          <reference field="1" count="1" selected="0">
            <x v="0"/>
          </reference>
          <reference field="2" count="1" selected="0">
            <x v="2"/>
          </reference>
          <reference field="3" count="1" selected="0">
            <x v="9"/>
          </reference>
          <reference field="4" count="15">
            <x v="18"/>
            <x v="19"/>
            <x v="20"/>
            <x v="23"/>
            <x v="24"/>
            <x v="26"/>
            <x v="27"/>
            <x v="28"/>
            <x v="29"/>
            <x v="30"/>
            <x v="31"/>
            <x v="32"/>
            <x v="33"/>
            <x v="34"/>
            <x v="35"/>
          </reference>
        </references>
      </pivotArea>
    </format>
    <format dxfId="272">
      <pivotArea dataOnly="0" labelOnly="1" fieldPosition="0">
        <references count="4">
          <reference field="1" count="1" selected="0">
            <x v="0"/>
          </reference>
          <reference field="2" count="1" selected="0">
            <x v="2"/>
          </reference>
          <reference field="3" count="1" selected="0">
            <x v="0"/>
          </reference>
          <reference field="4" count="3">
            <x v="52"/>
            <x v="53"/>
            <x v="54"/>
          </reference>
        </references>
      </pivotArea>
    </format>
    <format dxfId="271">
      <pivotArea dataOnly="0" labelOnly="1" fieldPosition="0">
        <references count="4">
          <reference field="1" count="1" selected="0">
            <x v="0"/>
          </reference>
          <reference field="2" count="1" selected="0">
            <x v="2"/>
          </reference>
          <reference field="3" count="1" selected="0">
            <x v="39"/>
          </reference>
          <reference field="4" count="2">
            <x v="56"/>
            <x v="87"/>
          </reference>
        </references>
      </pivotArea>
    </format>
    <format dxfId="270">
      <pivotArea dataOnly="0" labelOnly="1" fieldPosition="0">
        <references count="4">
          <reference field="1" count="1" selected="0">
            <x v="0"/>
          </reference>
          <reference field="2" count="1" selected="0">
            <x v="2"/>
          </reference>
          <reference field="3" count="1" selected="0">
            <x v="11"/>
          </reference>
          <reference field="4" count="3">
            <x v="2"/>
            <x v="42"/>
            <x v="58"/>
          </reference>
        </references>
      </pivotArea>
    </format>
    <format dxfId="269">
      <pivotArea dataOnly="0" labelOnly="1" fieldPosition="0">
        <references count="4">
          <reference field="1" count="1" selected="0">
            <x v="0"/>
          </reference>
          <reference field="2" count="1" selected="0">
            <x v="2"/>
          </reference>
          <reference field="3" count="1" selected="0">
            <x v="5"/>
          </reference>
          <reference field="4" count="3">
            <x v="13"/>
            <x v="14"/>
            <x v="15"/>
          </reference>
        </references>
      </pivotArea>
    </format>
    <format dxfId="268">
      <pivotArea dataOnly="0" labelOnly="1" fieldPosition="0">
        <references count="4">
          <reference field="1" count="1" selected="0">
            <x v="0"/>
          </reference>
          <reference field="2" count="1" selected="0">
            <x v="2"/>
          </reference>
          <reference field="3" count="1" selected="0">
            <x v="34"/>
          </reference>
          <reference field="4" count="2">
            <x v="78"/>
            <x v="79"/>
          </reference>
        </references>
      </pivotArea>
    </format>
    <format dxfId="267">
      <pivotArea dataOnly="0" labelOnly="1" fieldPosition="0">
        <references count="4">
          <reference field="1" count="1" selected="0">
            <x v="1"/>
          </reference>
          <reference field="2" count="1" selected="0">
            <x v="2"/>
          </reference>
          <reference field="3" count="1" selected="0">
            <x v="0"/>
          </reference>
          <reference field="4" count="3">
            <x v="3"/>
            <x v="6"/>
            <x v="7"/>
          </reference>
        </references>
      </pivotArea>
    </format>
    <format dxfId="266">
      <pivotArea dataOnly="0" labelOnly="1" fieldPosition="0">
        <references count="4">
          <reference field="1" count="1" selected="0">
            <x v="1"/>
          </reference>
          <reference field="2" count="1" selected="0">
            <x v="2"/>
          </reference>
          <reference field="3" count="1" selected="0">
            <x v="39"/>
          </reference>
          <reference field="4" count="1">
            <x v="91"/>
          </reference>
        </references>
      </pivotArea>
    </format>
    <format dxfId="265">
      <pivotArea dataOnly="0" labelOnly="1" fieldPosition="0">
        <references count="4">
          <reference field="1" count="1" selected="0">
            <x v="0"/>
          </reference>
          <reference field="2" count="1" selected="0">
            <x v="0"/>
          </reference>
          <reference field="3" count="1" selected="0">
            <x v="32"/>
          </reference>
          <reference field="4" count="1">
            <x v="90"/>
          </reference>
        </references>
      </pivotArea>
    </format>
    <format dxfId="264">
      <pivotArea dataOnly="0" labelOnly="1" fieldPosition="0">
        <references count="4">
          <reference field="1" count="1" selected="0">
            <x v="0"/>
          </reference>
          <reference field="2" count="1" selected="0">
            <x v="0"/>
          </reference>
          <reference field="3" count="1" selected="0">
            <x v="9"/>
          </reference>
          <reference field="4" count="10">
            <x v="18"/>
            <x v="19"/>
            <x v="20"/>
            <x v="23"/>
            <x v="24"/>
            <x v="26"/>
            <x v="27"/>
            <x v="33"/>
            <x v="34"/>
            <x v="35"/>
          </reference>
        </references>
      </pivotArea>
    </format>
    <format dxfId="263">
      <pivotArea dataOnly="0" labelOnly="1" fieldPosition="0">
        <references count="4">
          <reference field="1" count="1" selected="0">
            <x v="0"/>
          </reference>
          <reference field="2" count="1" selected="0">
            <x v="0"/>
          </reference>
          <reference field="3" count="1" selected="0">
            <x v="0"/>
          </reference>
          <reference field="4" count="3">
            <x v="44"/>
            <x v="45"/>
            <x v="46"/>
          </reference>
        </references>
      </pivotArea>
    </format>
    <format dxfId="262">
      <pivotArea dataOnly="0" labelOnly="1" fieldPosition="0">
        <references count="4">
          <reference field="1" count="1" selected="0">
            <x v="0"/>
          </reference>
          <reference field="2" count="1" selected="0">
            <x v="0"/>
          </reference>
          <reference field="3" count="1" selected="0">
            <x v="11"/>
          </reference>
          <reference field="4" count="3">
            <x v="2"/>
            <x v="42"/>
            <x v="58"/>
          </reference>
        </references>
      </pivotArea>
    </format>
    <format dxfId="261">
      <pivotArea dataOnly="0" labelOnly="1" fieldPosition="0">
        <references count="4">
          <reference field="1" count="1" selected="0">
            <x v="0"/>
          </reference>
          <reference field="2" count="1" selected="0">
            <x v="0"/>
          </reference>
          <reference field="3" count="1" selected="0">
            <x v="39"/>
          </reference>
          <reference field="4" count="1">
            <x v="86"/>
          </reference>
        </references>
      </pivotArea>
    </format>
    <format dxfId="260">
      <pivotArea dataOnly="0" labelOnly="1" fieldPosition="0">
        <references count="4">
          <reference field="1" count="1" selected="0">
            <x v="0"/>
          </reference>
          <reference field="2" count="1" selected="0">
            <x v="0"/>
          </reference>
          <reference field="3" count="1" selected="0">
            <x v="34"/>
          </reference>
          <reference field="4" count="2">
            <x v="78"/>
            <x v="79"/>
          </reference>
        </references>
      </pivotArea>
    </format>
    <format dxfId="259">
      <pivotArea dataOnly="0" labelOnly="1" fieldPosition="0">
        <references count="4">
          <reference field="1" count="1" selected="0">
            <x v="0"/>
          </reference>
          <reference field="2" count="1" selected="0">
            <x v="0"/>
          </reference>
          <reference field="3" count="1" selected="0">
            <x v="6"/>
          </reference>
          <reference field="4" count="2">
            <x v="0"/>
            <x v="57"/>
          </reference>
        </references>
      </pivotArea>
    </format>
    <format dxfId="258">
      <pivotArea dataOnly="0" labelOnly="1" fieldPosition="0">
        <references count="4">
          <reference field="1" count="1" selected="0">
            <x v="1"/>
          </reference>
          <reference field="2" count="1" selected="0">
            <x v="0"/>
          </reference>
          <reference field="3" count="1" selected="0">
            <x v="32"/>
          </reference>
          <reference field="4" count="1">
            <x v="76"/>
          </reference>
        </references>
      </pivotArea>
    </format>
    <format dxfId="257">
      <pivotArea dataOnly="0" labelOnly="1" fieldPosition="0">
        <references count="4">
          <reference field="1" count="1" selected="0">
            <x v="1"/>
          </reference>
          <reference field="2" count="1" selected="0">
            <x v="0"/>
          </reference>
          <reference field="3" count="1" selected="0">
            <x v="27"/>
          </reference>
          <reference field="4" count="3">
            <x v="67"/>
            <x v="68"/>
            <x v="69"/>
          </reference>
        </references>
      </pivotArea>
    </format>
    <format dxfId="256">
      <pivotArea dataOnly="0" labelOnly="1" fieldPosition="0">
        <references count="4">
          <reference field="1" count="1" selected="0">
            <x v="1"/>
          </reference>
          <reference field="2" count="1" selected="0">
            <x v="0"/>
          </reference>
          <reference field="3" count="1" selected="0">
            <x v="0"/>
          </reference>
          <reference field="4" count="3">
            <x v="3"/>
            <x v="6"/>
            <x v="7"/>
          </reference>
        </references>
      </pivotArea>
    </format>
    <format dxfId="255">
      <pivotArea dataOnly="0" labelOnly="1" fieldPosition="0">
        <references count="4">
          <reference field="1" count="1" selected="0">
            <x v="1"/>
          </reference>
          <reference field="2" count="1" selected="0">
            <x v="0"/>
          </reference>
          <reference field="3" count="1" selected="0">
            <x v="28"/>
          </reference>
          <reference field="4" count="3">
            <x v="70"/>
            <x v="71"/>
            <x v="72"/>
          </reference>
        </references>
      </pivotArea>
    </format>
    <format dxfId="254">
      <pivotArea dataOnly="0" labelOnly="1" fieldPosition="0">
        <references count="4">
          <reference field="1" count="1" selected="0">
            <x v="1"/>
          </reference>
          <reference field="2" count="1" selected="0">
            <x v="0"/>
          </reference>
          <reference field="3" count="1" selected="0">
            <x v="11"/>
          </reference>
          <reference field="4" count="3">
            <x v="2"/>
            <x v="42"/>
            <x v="58"/>
          </reference>
        </references>
      </pivotArea>
    </format>
    <format dxfId="253">
      <pivotArea dataOnly="0" labelOnly="1" fieldPosition="0">
        <references count="4">
          <reference field="1" count="1" selected="0">
            <x v="1"/>
          </reference>
          <reference field="2" count="1" selected="0">
            <x v="0"/>
          </reference>
          <reference field="3" count="1" selected="0">
            <x v="39"/>
          </reference>
          <reference field="4" count="1">
            <x v="91"/>
          </reference>
        </references>
      </pivotArea>
    </format>
    <format dxfId="252">
      <pivotArea dataOnly="0" labelOnly="1" fieldPosition="0">
        <references count="4">
          <reference field="1" count="1" selected="0">
            <x v="1"/>
          </reference>
          <reference field="2" count="1" selected="0">
            <x v="0"/>
          </reference>
          <reference field="3" count="1" selected="0">
            <x v="34"/>
          </reference>
          <reference field="4" count="2">
            <x v="78"/>
            <x v="79"/>
          </reference>
        </references>
      </pivotArea>
    </format>
    <format dxfId="251">
      <pivotArea dataOnly="0" labelOnly="1" fieldPosition="0">
        <references count="4">
          <reference field="1" count="1" selected="0">
            <x v="1"/>
          </reference>
          <reference field="2" count="1" selected="0">
            <x v="0"/>
          </reference>
          <reference field="3" count="1" selected="0">
            <x v="6"/>
          </reference>
          <reference field="4" count="3">
            <x v="39"/>
            <x v="40"/>
            <x v="41"/>
          </reference>
        </references>
      </pivotArea>
    </format>
    <format dxfId="250">
      <pivotArea dataOnly="0" labelOnly="1" fieldPosition="0">
        <references count="4">
          <reference field="1" count="1" selected="0">
            <x v="0"/>
          </reference>
          <reference field="2" count="1" selected="0">
            <x v="3"/>
          </reference>
          <reference field="3" count="1" selected="0">
            <x v="9"/>
          </reference>
          <reference field="4" count="4">
            <x v="17"/>
            <x v="21"/>
            <x v="22"/>
            <x v="25"/>
          </reference>
        </references>
      </pivotArea>
    </format>
    <format dxfId="249">
      <pivotArea dataOnly="0" labelOnly="1" fieldPosition="0">
        <references count="4">
          <reference field="1" count="1" selected="0">
            <x v="1"/>
          </reference>
          <reference field="2" count="1" selected="0">
            <x v="1"/>
          </reference>
          <reference field="3" count="1" selected="0">
            <x v="0"/>
          </reference>
          <reference field="4" count="2">
            <x v="4"/>
            <x v="5"/>
          </reference>
        </references>
      </pivotArea>
    </format>
    <format dxfId="248">
      <pivotArea dataOnly="0" labelOnly="1" fieldPosition="0">
        <references count="4">
          <reference field="1" count="1" selected="0">
            <x v="1"/>
          </reference>
          <reference field="2" count="1" selected="0">
            <x v="1"/>
          </reference>
          <reference field="3" count="1" selected="0">
            <x v="6"/>
          </reference>
          <reference field="4" count="2">
            <x v="39"/>
            <x v="41"/>
          </reference>
        </references>
      </pivotArea>
    </format>
    <format dxfId="247">
      <pivotArea dataOnly="0" labelOnly="1" fieldPosition="0">
        <references count="4">
          <reference field="1" count="1" selected="0">
            <x v="1"/>
          </reference>
          <reference field="2" count="1" selected="0">
            <x v="1"/>
          </reference>
          <reference field="3" count="1" selected="0">
            <x v="34"/>
          </reference>
          <reference field="4" count="2">
            <x v="78"/>
            <x v="79"/>
          </reference>
        </references>
      </pivotArea>
    </format>
    <format dxfId="246">
      <pivotArea dataOnly="0" labelOnly="1" fieldPosition="0">
        <references count="4">
          <reference field="1" count="1" selected="0">
            <x v="1"/>
          </reference>
          <reference field="2" count="1" selected="0">
            <x v="1"/>
          </reference>
          <reference field="3" count="1" selected="0">
            <x v="28"/>
          </reference>
          <reference field="4" count="3">
            <x v="70"/>
            <x v="71"/>
            <x v="72"/>
          </reference>
        </references>
      </pivotArea>
    </format>
    <format dxfId="245">
      <pivotArea dataOnly="0" labelOnly="1" fieldPosition="0">
        <references count="4">
          <reference field="1" count="1" selected="0">
            <x v="1"/>
          </reference>
          <reference field="2" count="1" selected="0">
            <x v="1"/>
          </reference>
          <reference field="3" count="1" selected="0">
            <x v="32"/>
          </reference>
          <reference field="4" count="1">
            <x v="76"/>
          </reference>
        </references>
      </pivotArea>
    </format>
    <format dxfId="244">
      <pivotArea dataOnly="0" labelOnly="1" fieldPosition="0">
        <references count="4">
          <reference field="1" count="1" selected="0">
            <x v="1"/>
          </reference>
          <reference field="2" count="1" selected="0">
            <x v="1"/>
          </reference>
          <reference field="3" count="1" selected="0">
            <x v="27"/>
          </reference>
          <reference field="4" count="3">
            <x v="67"/>
            <x v="68"/>
            <x v="69"/>
          </reference>
        </references>
      </pivotArea>
    </format>
    <format dxfId="243">
      <pivotArea dataOnly="0" labelOnly="1" fieldPosition="0">
        <references count="4">
          <reference field="1" count="1" selected="0">
            <x v="0"/>
          </reference>
          <reference field="2" count="1" selected="0">
            <x v="1"/>
          </reference>
          <reference field="3" count="1" selected="0">
            <x v="0"/>
          </reference>
          <reference field="4" count="2">
            <x v="4"/>
            <x v="5"/>
          </reference>
        </references>
      </pivotArea>
    </format>
    <format dxfId="242">
      <pivotArea dataOnly="0" labelOnly="1" fieldPosition="0">
        <references count="4">
          <reference field="1" count="1" selected="0">
            <x v="0"/>
          </reference>
          <reference field="2" count="1" selected="0">
            <x v="1"/>
          </reference>
          <reference field="3" count="1" selected="0">
            <x v="32"/>
          </reference>
          <reference field="4" count="1">
            <x v="76"/>
          </reference>
        </references>
      </pivotArea>
    </format>
    <format dxfId="241">
      <pivotArea dataOnly="0" labelOnly="1" fieldPosition="0">
        <references count="4">
          <reference field="1" count="1" selected="0">
            <x v="0"/>
          </reference>
          <reference field="2" count="1" selected="0">
            <x v="1"/>
          </reference>
          <reference field="3" count="1" selected="0">
            <x v="6"/>
          </reference>
          <reference field="4" count="2">
            <x v="0"/>
            <x v="57"/>
          </reference>
        </references>
      </pivotArea>
    </format>
    <format dxfId="240">
      <pivotArea dataOnly="0" labelOnly="1" fieldPosition="0">
        <references count="4">
          <reference field="1" count="1" selected="0">
            <x v="0"/>
          </reference>
          <reference field="2" count="1" selected="0">
            <x v="1"/>
          </reference>
          <reference field="3" count="1" selected="0">
            <x v="34"/>
          </reference>
          <reference field="4" count="2">
            <x v="78"/>
            <x v="79"/>
          </reference>
        </references>
      </pivotArea>
    </format>
    <format dxfId="239">
      <pivotArea dataOnly="0" labelOnly="1" fieldPosition="0">
        <references count="5">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238">
      <pivotArea dataOnly="0" labelOnly="1" fieldPosition="0">
        <references count="5">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237">
      <pivotArea dataOnly="0" labelOnly="1" fieldPosition="0">
        <references count="5">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236">
      <pivotArea dataOnly="0" labelOnly="1" fieldPosition="0">
        <references count="5">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235">
      <pivotArea dataOnly="0" labelOnly="1" fieldPosition="0">
        <references count="5">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234">
      <pivotArea dataOnly="0" labelOnly="1" fieldPosition="0">
        <references count="5">
          <reference field="1" count="1" selected="0">
            <x v="1"/>
          </reference>
          <reference field="2" count="1" selected="0">
            <x v="2"/>
          </reference>
          <reference field="3" count="1" selected="0">
            <x v="39"/>
          </reference>
          <reference field="4" count="1" selected="0">
            <x v="91"/>
          </reference>
          <reference field="5" count="1">
            <x v="73"/>
          </reference>
        </references>
      </pivotArea>
    </format>
    <format dxfId="233">
      <pivotArea dataOnly="0" labelOnly="1" fieldPosition="0">
        <references count="5">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232">
      <pivotArea dataOnly="0" labelOnly="1" fieldPosition="0">
        <references count="5">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231">
      <pivotArea dataOnly="0" labelOnly="1" fieldPosition="0">
        <references count="5">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230">
      <pivotArea dataOnly="0" labelOnly="1" fieldPosition="0">
        <references count="5">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229">
      <pivotArea dataOnly="0" labelOnly="1" fieldPosition="0">
        <references count="5">
          <reference field="1" count="1" selected="0">
            <x v="1"/>
          </reference>
          <reference field="2" count="1" selected="0">
            <x v="0"/>
          </reference>
          <reference field="3" count="1" selected="0">
            <x v="39"/>
          </reference>
          <reference field="4" count="1" selected="0">
            <x v="91"/>
          </reference>
          <reference field="5" count="1">
            <x v="77"/>
          </reference>
        </references>
      </pivotArea>
    </format>
    <format dxfId="228">
      <pivotArea dataOnly="0" labelOnly="1" outline="0" fieldPosition="0">
        <references count="1">
          <reference field="4294967294" count="3">
            <x v="4"/>
            <x v="6"/>
            <x v="8"/>
          </reference>
        </references>
      </pivotArea>
    </format>
    <format dxfId="227">
      <pivotArea outline="0" collapsedLevelsAreSubtotals="1" fieldPosition="0">
        <references count="1">
          <reference field="4294967294" count="1" selected="0">
            <x v="6"/>
          </reference>
        </references>
      </pivotArea>
    </format>
    <format dxfId="226">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9"/>
          </reference>
        </references>
      </pivotArea>
    </format>
    <format dxfId="225">
      <pivotArea collapsedLevelsAreSubtotals="1" fieldPosition="0">
        <references count="5">
          <reference field="4294967294" count="1" selected="0">
            <x v="4"/>
          </reference>
          <reference field="1" count="1" selected="0">
            <x v="0"/>
          </reference>
          <reference field="2" count="1" selected="0">
            <x v="2"/>
          </reference>
          <reference field="3" count="1" selected="0">
            <x v="32"/>
          </reference>
          <reference field="4" count="1">
            <x v="88"/>
          </reference>
        </references>
      </pivotArea>
    </format>
    <format dxfId="224">
      <pivotArea collapsedLevelsAreSubtotals="1" fieldPosition="0">
        <references count="4">
          <reference field="4294967294" count="1" selected="0">
            <x v="4"/>
          </reference>
          <reference field="1" count="1" selected="0">
            <x v="0"/>
          </reference>
          <reference field="2" count="1" selected="0">
            <x v="2"/>
          </reference>
          <reference field="3" count="1">
            <x v="9"/>
          </reference>
        </references>
      </pivotArea>
    </format>
    <format dxfId="223">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0"/>
          </reference>
        </references>
      </pivotArea>
    </format>
    <format dxfId="222">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8"/>
          </reference>
        </references>
      </pivotArea>
    </format>
    <format dxfId="221">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0"/>
          </reference>
        </references>
      </pivotArea>
    </format>
    <format dxfId="220">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5"/>
          </reference>
        </references>
      </pivotArea>
    </format>
    <format dxfId="219">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4"/>
          </reference>
        </references>
      </pivotArea>
    </format>
    <format dxfId="218">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4"/>
          </reference>
        </references>
      </pivotArea>
    </format>
    <format dxfId="217">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3"/>
          </reference>
        </references>
      </pivotArea>
    </format>
    <format dxfId="216">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9"/>
          </reference>
        </references>
      </pivotArea>
    </format>
    <format dxfId="215">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7"/>
          </reference>
        </references>
      </pivotArea>
    </format>
    <format dxfId="214">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3"/>
          </reference>
        </references>
      </pivotArea>
    </format>
    <format dxfId="213">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18"/>
          </reference>
        </references>
      </pivotArea>
    </format>
    <format dxfId="212">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6"/>
          </reference>
        </references>
      </pivotArea>
    </format>
    <format dxfId="211">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1"/>
          </reference>
        </references>
      </pivotArea>
    </format>
    <format dxfId="210">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32"/>
          </reference>
        </references>
      </pivotArea>
    </format>
    <format dxfId="209">
      <pivotArea collapsedLevelsAreSubtotals="1" fieldPosition="0">
        <references count="5">
          <reference field="4294967294" count="1" selected="0">
            <x v="4"/>
          </reference>
          <reference field="1" count="1" selected="0">
            <x v="0"/>
          </reference>
          <reference field="2" count="1" selected="0">
            <x v="2"/>
          </reference>
          <reference field="3" count="1" selected="0">
            <x v="9"/>
          </reference>
          <reference field="4" count="1">
            <x v="29"/>
          </reference>
        </references>
      </pivotArea>
    </format>
    <format dxfId="208">
      <pivotArea collapsedLevelsAreSubtotals="1" fieldPosition="0">
        <references count="4">
          <reference field="4294967294" count="1" selected="0">
            <x v="4"/>
          </reference>
          <reference field="1" count="1" selected="0">
            <x v="0"/>
          </reference>
          <reference field="2" count="1" selected="0">
            <x v="2"/>
          </reference>
          <reference field="3" count="1">
            <x v="0"/>
          </reference>
        </references>
      </pivotArea>
    </format>
    <format dxfId="207">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2"/>
          </reference>
        </references>
      </pivotArea>
    </format>
    <format dxfId="206">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2"/>
          </reference>
          <reference field="5" count="4">
            <x v="12"/>
            <x v="13"/>
            <x v="14"/>
            <x v="15"/>
          </reference>
        </references>
      </pivotArea>
    </format>
    <format dxfId="205">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4"/>
          </reference>
        </references>
      </pivotArea>
    </format>
    <format dxfId="204">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4"/>
          </reference>
          <reference field="5" count="4">
            <x v="20"/>
            <x v="21"/>
            <x v="22"/>
            <x v="23"/>
          </reference>
        </references>
      </pivotArea>
    </format>
    <format dxfId="203">
      <pivotArea collapsedLevelsAreSubtotals="1" fieldPosition="0">
        <references count="5">
          <reference field="4294967294" count="1" selected="0">
            <x v="4"/>
          </reference>
          <reference field="1" count="1" selected="0">
            <x v="0"/>
          </reference>
          <reference field="2" count="1" selected="0">
            <x v="2"/>
          </reference>
          <reference field="3" count="1" selected="0">
            <x v="0"/>
          </reference>
          <reference field="4" count="1">
            <x v="53"/>
          </reference>
        </references>
      </pivotArea>
    </format>
    <format dxfId="202">
      <pivotArea collapsedLevelsAreSubtotals="1" fieldPosition="0">
        <references count="6">
          <reference field="4294967294" count="1" selected="0">
            <x v="4"/>
          </reference>
          <reference field="1" count="1" selected="0">
            <x v="0"/>
          </reference>
          <reference field="2" count="1" selected="0">
            <x v="2"/>
          </reference>
          <reference field="3" count="1" selected="0">
            <x v="0"/>
          </reference>
          <reference field="4" count="1" selected="0">
            <x v="53"/>
          </reference>
          <reference field="5" count="4">
            <x v="16"/>
            <x v="17"/>
            <x v="18"/>
            <x v="19"/>
          </reference>
        </references>
      </pivotArea>
    </format>
    <format dxfId="201">
      <pivotArea collapsedLevelsAreSubtotals="1" fieldPosition="0">
        <references count="4">
          <reference field="4294967294" count="1" selected="0">
            <x v="4"/>
          </reference>
          <reference field="1" count="1" selected="0">
            <x v="0"/>
          </reference>
          <reference field="2" count="1" selected="0">
            <x v="2"/>
          </reference>
          <reference field="3" count="1">
            <x v="11"/>
          </reference>
        </references>
      </pivotArea>
    </format>
    <format dxfId="200">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2"/>
          </reference>
        </references>
      </pivotArea>
    </format>
    <format dxfId="199">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42"/>
          </reference>
        </references>
      </pivotArea>
    </format>
    <format dxfId="198">
      <pivotArea collapsedLevelsAreSubtotals="1" fieldPosition="0">
        <references count="5">
          <reference field="4294967294" count="1" selected="0">
            <x v="4"/>
          </reference>
          <reference field="1" count="1" selected="0">
            <x v="0"/>
          </reference>
          <reference field="2" count="1" selected="0">
            <x v="2"/>
          </reference>
          <reference field="3" count="1" selected="0">
            <x v="11"/>
          </reference>
          <reference field="4" count="1">
            <x v="58"/>
          </reference>
        </references>
      </pivotArea>
    </format>
    <format dxfId="197">
      <pivotArea collapsedLevelsAreSubtotals="1" fieldPosition="0">
        <references count="4">
          <reference field="4294967294" count="1" selected="0">
            <x v="4"/>
          </reference>
          <reference field="1" count="1" selected="0">
            <x v="0"/>
          </reference>
          <reference field="2" count="1" selected="0">
            <x v="2"/>
          </reference>
          <reference field="3" count="1">
            <x v="19"/>
          </reference>
        </references>
      </pivotArea>
    </format>
    <format dxfId="196">
      <pivotArea collapsedLevelsAreSubtotals="1" fieldPosition="0">
        <references count="4">
          <reference field="4294967294" count="1" selected="0">
            <x v="4"/>
          </reference>
          <reference field="1" count="1" selected="0">
            <x v="0"/>
          </reference>
          <reference field="2" count="1" selected="0">
            <x v="2"/>
          </reference>
          <reference field="3" count="1">
            <x v="39"/>
          </reference>
        </references>
      </pivotArea>
    </format>
    <format dxfId="195">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56"/>
          </reference>
        </references>
      </pivotArea>
    </format>
    <format dxfId="194">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56"/>
          </reference>
          <reference field="5" count="4">
            <x v="24"/>
            <x v="25"/>
            <x v="26"/>
            <x v="27"/>
          </reference>
        </references>
      </pivotArea>
    </format>
    <format dxfId="193">
      <pivotArea collapsedLevelsAreSubtotals="1" fieldPosition="0">
        <references count="5">
          <reference field="4294967294" count="1" selected="0">
            <x v="4"/>
          </reference>
          <reference field="1" count="1" selected="0">
            <x v="0"/>
          </reference>
          <reference field="2" count="1" selected="0">
            <x v="2"/>
          </reference>
          <reference field="3" count="1" selected="0">
            <x v="39"/>
          </reference>
          <reference field="4" count="1">
            <x v="87"/>
          </reference>
        </references>
      </pivotArea>
    </format>
    <format dxfId="192">
      <pivotArea collapsedLevelsAreSubtotals="1" fieldPosition="0">
        <references count="6">
          <reference field="4294967294" count="1" selected="0">
            <x v="4"/>
          </reference>
          <reference field="1" count="1" selected="0">
            <x v="0"/>
          </reference>
          <reference field="2" count="1" selected="0">
            <x v="2"/>
          </reference>
          <reference field="3" count="1" selected="0">
            <x v="39"/>
          </reference>
          <reference field="4" count="1" selected="0">
            <x v="87"/>
          </reference>
          <reference field="5" count="4">
            <x v="8"/>
            <x v="9"/>
            <x v="10"/>
            <x v="11"/>
          </reference>
        </references>
      </pivotArea>
    </format>
    <format dxfId="191">
      <pivotArea collapsedLevelsAreSubtotals="1" fieldPosition="0">
        <references count="4">
          <reference field="4294967294" count="1" selected="0">
            <x v="4"/>
          </reference>
          <reference field="1" count="1" selected="0">
            <x v="0"/>
          </reference>
          <reference field="2" count="1" selected="0">
            <x v="2"/>
          </reference>
          <reference field="3" count="1">
            <x v="1"/>
          </reference>
        </references>
      </pivotArea>
    </format>
    <format dxfId="190">
      <pivotArea collapsedLevelsAreSubtotals="1" fieldPosition="0">
        <references count="4">
          <reference field="4294967294" count="1" selected="0">
            <x v="4"/>
          </reference>
          <reference field="1" count="1" selected="0">
            <x v="0"/>
          </reference>
          <reference field="2" count="1" selected="0">
            <x v="2"/>
          </reference>
          <reference field="3" count="1">
            <x v="7"/>
          </reference>
        </references>
      </pivotArea>
    </format>
    <format dxfId="189">
      <pivotArea collapsedLevelsAreSubtotals="1" fieldPosition="0">
        <references count="4">
          <reference field="4294967294" count="1" selected="0">
            <x v="4"/>
          </reference>
          <reference field="1" count="1" selected="0">
            <x v="0"/>
          </reference>
          <reference field="2" count="1" selected="0">
            <x v="2"/>
          </reference>
          <reference field="3" count="1">
            <x v="38"/>
          </reference>
        </references>
      </pivotArea>
    </format>
    <format dxfId="188">
      <pivotArea collapsedLevelsAreSubtotals="1" fieldPosition="0">
        <references count="4">
          <reference field="4294967294" count="1" selected="0">
            <x v="4"/>
          </reference>
          <reference field="1" count="1" selected="0">
            <x v="0"/>
          </reference>
          <reference field="2" count="1" selected="0">
            <x v="2"/>
          </reference>
          <reference field="3" count="1">
            <x v="3"/>
          </reference>
        </references>
      </pivotArea>
    </format>
    <format dxfId="187">
      <pivotArea collapsedLevelsAreSubtotals="1" fieldPosition="0">
        <references count="4">
          <reference field="4294967294" count="1" selected="0">
            <x v="4"/>
          </reference>
          <reference field="1" count="1" selected="0">
            <x v="0"/>
          </reference>
          <reference field="2" count="1" selected="0">
            <x v="2"/>
          </reference>
          <reference field="3" count="1">
            <x v="5"/>
          </reference>
        </references>
      </pivotArea>
    </format>
    <format dxfId="186">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5"/>
          </reference>
        </references>
      </pivotArea>
    </format>
    <format dxfId="185">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4"/>
          </reference>
        </references>
      </pivotArea>
    </format>
    <format dxfId="184">
      <pivotArea collapsedLevelsAreSubtotals="1" fieldPosition="0">
        <references count="5">
          <reference field="4294967294" count="1" selected="0">
            <x v="4"/>
          </reference>
          <reference field="1" count="1" selected="0">
            <x v="0"/>
          </reference>
          <reference field="2" count="1" selected="0">
            <x v="2"/>
          </reference>
          <reference field="3" count="1" selected="0">
            <x v="5"/>
          </reference>
          <reference field="4" count="1">
            <x v="13"/>
          </reference>
        </references>
      </pivotArea>
    </format>
    <format dxfId="183">
      <pivotArea collapsedLevelsAreSubtotals="1" fieldPosition="0">
        <references count="4">
          <reference field="4294967294" count="1" selected="0">
            <x v="4"/>
          </reference>
          <reference field="1" count="1" selected="0">
            <x v="0"/>
          </reference>
          <reference field="2" count="1" selected="0">
            <x v="2"/>
          </reference>
          <reference field="3" count="1">
            <x v="2"/>
          </reference>
        </references>
      </pivotArea>
    </format>
    <format dxfId="182">
      <pivotArea collapsedLevelsAreSubtotals="1" fieldPosition="0">
        <references count="4">
          <reference field="4294967294" count="1" selected="0">
            <x v="4"/>
          </reference>
          <reference field="1" count="1" selected="0">
            <x v="0"/>
          </reference>
          <reference field="2" count="1" selected="0">
            <x v="2"/>
          </reference>
          <reference field="3" count="1">
            <x v="34"/>
          </reference>
        </references>
      </pivotArea>
    </format>
    <format dxfId="181">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9"/>
          </reference>
        </references>
      </pivotArea>
    </format>
    <format dxfId="180">
      <pivotArea collapsedLevelsAreSubtotals="1" fieldPosition="0">
        <references count="5">
          <reference field="4294967294" count="1" selected="0">
            <x v="4"/>
          </reference>
          <reference field="1" count="1" selected="0">
            <x v="0"/>
          </reference>
          <reference field="2" count="1" selected="0">
            <x v="2"/>
          </reference>
          <reference field="3" count="1" selected="0">
            <x v="34"/>
          </reference>
          <reference field="4" count="1">
            <x v="78"/>
          </reference>
        </references>
      </pivotArea>
    </format>
    <format dxfId="179">
      <pivotArea collapsedLevelsAreSubtotals="1" fieldPosition="0">
        <references count="4">
          <reference field="4294967294" count="1" selected="0">
            <x v="4"/>
          </reference>
          <reference field="1" count="1" selected="0">
            <x v="0"/>
          </reference>
          <reference field="2" count="1" selected="0">
            <x v="2"/>
          </reference>
          <reference field="3" count="1">
            <x v="30"/>
          </reference>
        </references>
      </pivotArea>
    </format>
    <format dxfId="178">
      <pivotArea collapsedLevelsAreSubtotals="1" fieldPosition="0">
        <references count="4">
          <reference field="4294967294" count="1" selected="0">
            <x v="4"/>
          </reference>
          <reference field="1" count="1" selected="0">
            <x v="0"/>
          </reference>
          <reference field="2" count="1" selected="0">
            <x v="2"/>
          </reference>
          <reference field="3" count="1">
            <x v="4"/>
          </reference>
        </references>
      </pivotArea>
    </format>
    <format dxfId="177">
      <pivotArea collapsedLevelsAreSubtotals="1" fieldPosition="0">
        <references count="4">
          <reference field="4294967294" count="1" selected="0">
            <x v="4"/>
          </reference>
          <reference field="1" count="1" selected="0">
            <x v="0"/>
          </reference>
          <reference field="2" count="1" selected="0">
            <x v="2"/>
          </reference>
          <reference field="3" count="1">
            <x v="24"/>
          </reference>
        </references>
      </pivotArea>
    </format>
    <format dxfId="176">
      <pivotArea collapsedLevelsAreSubtotals="1" fieldPosition="0">
        <references count="3">
          <reference field="4294967294" count="1" selected="0">
            <x v="4"/>
          </reference>
          <reference field="1" count="1">
            <x v="1"/>
          </reference>
          <reference field="2" count="1" selected="0">
            <x v="2"/>
          </reference>
        </references>
      </pivotArea>
    </format>
    <format dxfId="175">
      <pivotArea collapsedLevelsAreSubtotals="1" fieldPosition="0">
        <references count="4">
          <reference field="4294967294" count="1" selected="0">
            <x v="4"/>
          </reference>
          <reference field="1" count="1" selected="0">
            <x v="1"/>
          </reference>
          <reference field="2" count="1" selected="0">
            <x v="2"/>
          </reference>
          <reference field="3" count="1">
            <x v="0"/>
          </reference>
        </references>
      </pivotArea>
    </format>
    <format dxfId="174">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3"/>
          </reference>
        </references>
      </pivotArea>
    </format>
    <format dxfId="173">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7"/>
          </reference>
        </references>
      </pivotArea>
    </format>
    <format dxfId="172">
      <pivotArea collapsedLevelsAreSubtotals="1" fieldPosition="0">
        <references count="5">
          <reference field="4294967294" count="1" selected="0">
            <x v="4"/>
          </reference>
          <reference field="1" count="1" selected="0">
            <x v="1"/>
          </reference>
          <reference field="2" count="1" selected="0">
            <x v="2"/>
          </reference>
          <reference field="3" count="1" selected="0">
            <x v="0"/>
          </reference>
          <reference field="4" count="1">
            <x v="6"/>
          </reference>
        </references>
      </pivotArea>
    </format>
    <format dxfId="171">
      <pivotArea collapsedLevelsAreSubtotals="1" fieldPosition="0">
        <references count="4">
          <reference field="4294967294" count="1" selected="0">
            <x v="4"/>
          </reference>
          <reference field="1" count="1" selected="0">
            <x v="1"/>
          </reference>
          <reference field="2" count="1" selected="0">
            <x v="2"/>
          </reference>
          <reference field="3" count="1">
            <x v="39"/>
          </reference>
        </references>
      </pivotArea>
    </format>
    <format dxfId="170">
      <pivotArea collapsedLevelsAreSubtotals="1" fieldPosition="0">
        <references count="5">
          <reference field="4294967294" count="1" selected="0">
            <x v="4"/>
          </reference>
          <reference field="1" count="1" selected="0">
            <x v="1"/>
          </reference>
          <reference field="2" count="1" selected="0">
            <x v="2"/>
          </reference>
          <reference field="3" count="1" selected="0">
            <x v="39"/>
          </reference>
          <reference field="4" count="1">
            <x v="91"/>
          </reference>
        </references>
      </pivotArea>
    </format>
    <format dxfId="169">
      <pivotArea collapsedLevelsAreSubtotals="1" fieldPosition="0">
        <references count="6">
          <reference field="4294967294" count="1" selected="0">
            <x v="4"/>
          </reference>
          <reference field="1" count="1" selected="0">
            <x v="1"/>
          </reference>
          <reference field="2" count="1" selected="0">
            <x v="2"/>
          </reference>
          <reference field="3" count="1" selected="0">
            <x v="39"/>
          </reference>
          <reference field="4" count="1" selected="0">
            <x v="91"/>
          </reference>
          <reference field="5" count="1">
            <x v="73"/>
          </reference>
        </references>
      </pivotArea>
    </format>
    <format dxfId="168">
      <pivotArea collapsedLevelsAreSubtotals="1" fieldPosition="0">
        <references count="2">
          <reference field="4294967294" count="1" selected="0">
            <x v="4"/>
          </reference>
          <reference field="2" count="1">
            <x v="0"/>
          </reference>
        </references>
      </pivotArea>
    </format>
    <format dxfId="167">
      <pivotArea collapsedLevelsAreSubtotals="1" fieldPosition="0">
        <references count="3">
          <reference field="4294967294" count="1" selected="0">
            <x v="4"/>
          </reference>
          <reference field="1" count="1">
            <x v="0"/>
          </reference>
          <reference field="2" count="1" selected="0">
            <x v="0"/>
          </reference>
        </references>
      </pivotArea>
    </format>
    <format dxfId="166">
      <pivotArea collapsedLevelsAreSubtotals="1" fieldPosition="0">
        <references count="4">
          <reference field="4294967294" count="1" selected="0">
            <x v="4"/>
          </reference>
          <reference field="1" count="1" selected="0">
            <x v="0"/>
          </reference>
          <reference field="2" count="1" selected="0">
            <x v="0"/>
          </reference>
          <reference field="3" count="1">
            <x v="18"/>
          </reference>
        </references>
      </pivotArea>
    </format>
    <format dxfId="165">
      <pivotArea collapsedLevelsAreSubtotals="1" fieldPosition="0">
        <references count="4">
          <reference field="4294967294" count="1" selected="0">
            <x v="4"/>
          </reference>
          <reference field="1" count="1" selected="0">
            <x v="0"/>
          </reference>
          <reference field="2" count="1" selected="0">
            <x v="0"/>
          </reference>
          <reference field="3" count="1">
            <x v="32"/>
          </reference>
        </references>
      </pivotArea>
    </format>
    <format dxfId="164">
      <pivotArea collapsedLevelsAreSubtotals="1" fieldPosition="0">
        <references count="5">
          <reference field="4294967294" count="1" selected="0">
            <x v="4"/>
          </reference>
          <reference field="1" count="1" selected="0">
            <x v="0"/>
          </reference>
          <reference field="2" count="1" selected="0">
            <x v="0"/>
          </reference>
          <reference field="3" count="1" selected="0">
            <x v="32"/>
          </reference>
          <reference field="4" count="1">
            <x v="90"/>
          </reference>
        </references>
      </pivotArea>
    </format>
    <format dxfId="163">
      <pivotArea collapsedLevelsAreSubtotals="1" fieldPosition="0">
        <references count="4">
          <reference field="4294967294" count="1" selected="0">
            <x v="4"/>
          </reference>
          <reference field="1" count="1" selected="0">
            <x v="0"/>
          </reference>
          <reference field="2" count="1" selected="0">
            <x v="0"/>
          </reference>
          <reference field="3" count="1">
            <x v="9"/>
          </reference>
        </references>
      </pivotArea>
    </format>
    <format dxfId="162">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5"/>
          </reference>
        </references>
      </pivotArea>
    </format>
    <format dxfId="161">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4"/>
          </reference>
        </references>
      </pivotArea>
    </format>
    <format dxfId="160">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0"/>
          </reference>
        </references>
      </pivotArea>
    </format>
    <format dxfId="159">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3"/>
          </reference>
        </references>
      </pivotArea>
    </format>
    <format dxfId="158">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4"/>
          </reference>
        </references>
      </pivotArea>
    </format>
    <format dxfId="157">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8"/>
          </reference>
        </references>
      </pivotArea>
    </format>
    <format dxfId="156">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7"/>
          </reference>
        </references>
      </pivotArea>
    </format>
    <format dxfId="155">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33"/>
          </reference>
        </references>
      </pivotArea>
    </format>
    <format dxfId="154">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19"/>
          </reference>
        </references>
      </pivotArea>
    </format>
    <format dxfId="153">
      <pivotArea collapsedLevelsAreSubtotals="1" fieldPosition="0">
        <references count="5">
          <reference field="4294967294" count="1" selected="0">
            <x v="4"/>
          </reference>
          <reference field="1" count="1" selected="0">
            <x v="0"/>
          </reference>
          <reference field="2" count="1" selected="0">
            <x v="0"/>
          </reference>
          <reference field="3" count="1" selected="0">
            <x v="9"/>
          </reference>
          <reference field="4" count="1">
            <x v="26"/>
          </reference>
        </references>
      </pivotArea>
    </format>
    <format dxfId="152">
      <pivotArea collapsedLevelsAreSubtotals="1" fieldPosition="0">
        <references count="4">
          <reference field="4294967294" count="1" selected="0">
            <x v="4"/>
          </reference>
          <reference field="1" count="1" selected="0">
            <x v="0"/>
          </reference>
          <reference field="2" count="1" selected="0">
            <x v="0"/>
          </reference>
          <reference field="3" count="1">
            <x v="11"/>
          </reference>
        </references>
      </pivotArea>
    </format>
    <format dxfId="151">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42"/>
          </reference>
        </references>
      </pivotArea>
    </format>
    <format dxfId="150">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2"/>
          </reference>
        </references>
      </pivotArea>
    </format>
    <format dxfId="149">
      <pivotArea collapsedLevelsAreSubtotals="1" fieldPosition="0">
        <references count="5">
          <reference field="4294967294" count="1" selected="0">
            <x v="4"/>
          </reference>
          <reference field="1" count="1" selected="0">
            <x v="0"/>
          </reference>
          <reference field="2" count="1" selected="0">
            <x v="0"/>
          </reference>
          <reference field="3" count="1" selected="0">
            <x v="11"/>
          </reference>
          <reference field="4" count="1">
            <x v="58"/>
          </reference>
        </references>
      </pivotArea>
    </format>
    <format dxfId="148">
      <pivotArea collapsedLevelsAreSubtotals="1" fieldPosition="0">
        <references count="4">
          <reference field="4294967294" count="1" selected="0">
            <x v="4"/>
          </reference>
          <reference field="1" count="1" selected="0">
            <x v="0"/>
          </reference>
          <reference field="2" count="1" selected="0">
            <x v="0"/>
          </reference>
          <reference field="3" count="1">
            <x v="0"/>
          </reference>
        </references>
      </pivotArea>
    </format>
    <format dxfId="147">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4"/>
          </reference>
        </references>
      </pivotArea>
    </format>
    <format dxfId="146">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4"/>
          </reference>
          <reference field="5" count="4">
            <x v="78"/>
            <x v="79"/>
            <x v="80"/>
            <x v="81"/>
          </reference>
        </references>
      </pivotArea>
    </format>
    <format dxfId="145">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5"/>
          </reference>
        </references>
      </pivotArea>
    </format>
    <format dxfId="144">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5"/>
          </reference>
          <reference field="5" count="4">
            <x v="86"/>
            <x v="87"/>
            <x v="88"/>
            <x v="89"/>
          </reference>
        </references>
      </pivotArea>
    </format>
    <format dxfId="143">
      <pivotArea collapsedLevelsAreSubtotals="1" fieldPosition="0">
        <references count="5">
          <reference field="4294967294" count="1" selected="0">
            <x v="4"/>
          </reference>
          <reference field="1" count="1" selected="0">
            <x v="0"/>
          </reference>
          <reference field="2" count="1" selected="0">
            <x v="0"/>
          </reference>
          <reference field="3" count="1" selected="0">
            <x v="0"/>
          </reference>
          <reference field="4" count="1">
            <x v="46"/>
          </reference>
        </references>
      </pivotArea>
    </format>
    <format dxfId="142">
      <pivotArea collapsedLevelsAreSubtotals="1" fieldPosition="0">
        <references count="6">
          <reference field="4294967294" count="1" selected="0">
            <x v="4"/>
          </reference>
          <reference field="1" count="1" selected="0">
            <x v="0"/>
          </reference>
          <reference field="2" count="1" selected="0">
            <x v="0"/>
          </reference>
          <reference field="3" count="1" selected="0">
            <x v="0"/>
          </reference>
          <reference field="4" count="1" selected="0">
            <x v="46"/>
          </reference>
          <reference field="5" count="4">
            <x v="82"/>
            <x v="83"/>
            <x v="84"/>
            <x v="85"/>
          </reference>
        </references>
      </pivotArea>
    </format>
    <format dxfId="141">
      <pivotArea collapsedLevelsAreSubtotals="1" fieldPosition="0">
        <references count="4">
          <reference field="4294967294" count="1" selected="0">
            <x v="4"/>
          </reference>
          <reference field="1" count="1" selected="0">
            <x v="0"/>
          </reference>
          <reference field="2" count="1" selected="0">
            <x v="0"/>
          </reference>
          <reference field="3" count="1">
            <x v="37"/>
          </reference>
        </references>
      </pivotArea>
    </format>
    <format dxfId="140">
      <pivotArea collapsedLevelsAreSubtotals="1" fieldPosition="0">
        <references count="4">
          <reference field="4294967294" count="1" selected="0">
            <x v="4"/>
          </reference>
          <reference field="1" count="1" selected="0">
            <x v="0"/>
          </reference>
          <reference field="2" count="1" selected="0">
            <x v="0"/>
          </reference>
          <reference field="3" count="1">
            <x v="39"/>
          </reference>
        </references>
      </pivotArea>
    </format>
    <format dxfId="139">
      <pivotArea collapsedLevelsAreSubtotals="1" fieldPosition="0">
        <references count="5">
          <reference field="4294967294" count="1" selected="0">
            <x v="4"/>
          </reference>
          <reference field="1" count="1" selected="0">
            <x v="0"/>
          </reference>
          <reference field="2" count="1" selected="0">
            <x v="0"/>
          </reference>
          <reference field="3" count="1" selected="0">
            <x v="39"/>
          </reference>
          <reference field="4" count="1">
            <x v="86"/>
          </reference>
        </references>
      </pivotArea>
    </format>
    <format dxfId="138">
      <pivotArea collapsedLevelsAreSubtotals="1" fieldPosition="0">
        <references count="6">
          <reference field="4294967294" count="1" selected="0">
            <x v="4"/>
          </reference>
          <reference field="1" count="1" selected="0">
            <x v="0"/>
          </reference>
          <reference field="2" count="1" selected="0">
            <x v="0"/>
          </reference>
          <reference field="3" count="1" selected="0">
            <x v="39"/>
          </reference>
          <reference field="4" count="1" selected="0">
            <x v="86"/>
          </reference>
          <reference field="5" count="4">
            <x v="90"/>
            <x v="91"/>
            <x v="92"/>
            <x v="93"/>
          </reference>
        </references>
      </pivotArea>
    </format>
    <format dxfId="137">
      <pivotArea collapsedLevelsAreSubtotals="1" fieldPosition="0">
        <references count="4">
          <reference field="4294967294" count="1" selected="0">
            <x v="4"/>
          </reference>
          <reference field="1" count="1" selected="0">
            <x v="0"/>
          </reference>
          <reference field="2" count="1" selected="0">
            <x v="0"/>
          </reference>
          <reference field="3" count="1">
            <x v="7"/>
          </reference>
        </references>
      </pivotArea>
    </format>
    <format dxfId="136">
      <pivotArea collapsedLevelsAreSubtotals="1" fieldPosition="0">
        <references count="4">
          <reference field="4294967294" count="1" selected="0">
            <x v="4"/>
          </reference>
          <reference field="1" count="1" selected="0">
            <x v="0"/>
          </reference>
          <reference field="2" count="1" selected="0">
            <x v="0"/>
          </reference>
          <reference field="3" count="1">
            <x v="1"/>
          </reference>
        </references>
      </pivotArea>
    </format>
    <format dxfId="135">
      <pivotArea collapsedLevelsAreSubtotals="1" fieldPosition="0">
        <references count="4">
          <reference field="4294967294" count="1" selected="0">
            <x v="4"/>
          </reference>
          <reference field="1" count="1" selected="0">
            <x v="0"/>
          </reference>
          <reference field="2" count="1" selected="0">
            <x v="0"/>
          </reference>
          <reference field="3" count="1">
            <x v="36"/>
          </reference>
        </references>
      </pivotArea>
    </format>
    <format dxfId="134">
      <pivotArea collapsedLevelsAreSubtotals="1" fieldPosition="0">
        <references count="4">
          <reference field="4294967294" count="1" selected="0">
            <x v="4"/>
          </reference>
          <reference field="1" count="1" selected="0">
            <x v="0"/>
          </reference>
          <reference field="2" count="1" selected="0">
            <x v="0"/>
          </reference>
          <reference field="3" count="1">
            <x v="34"/>
          </reference>
        </references>
      </pivotArea>
    </format>
    <format dxfId="133">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9"/>
          </reference>
        </references>
      </pivotArea>
    </format>
    <format dxfId="132">
      <pivotArea collapsedLevelsAreSubtotals="1" fieldPosition="0">
        <references count="5">
          <reference field="4294967294" count="1" selected="0">
            <x v="4"/>
          </reference>
          <reference field="1" count="1" selected="0">
            <x v="0"/>
          </reference>
          <reference field="2" count="1" selected="0">
            <x v="0"/>
          </reference>
          <reference field="3" count="1" selected="0">
            <x v="34"/>
          </reference>
          <reference field="4" count="1">
            <x v="78"/>
          </reference>
        </references>
      </pivotArea>
    </format>
    <format dxfId="131">
      <pivotArea collapsedLevelsAreSubtotals="1" fieldPosition="0">
        <references count="4">
          <reference field="4294967294" count="1" selected="0">
            <x v="4"/>
          </reference>
          <reference field="1" count="1" selected="0">
            <x v="0"/>
          </reference>
          <reference field="2" count="1" selected="0">
            <x v="0"/>
          </reference>
          <reference field="3" count="1">
            <x v="12"/>
          </reference>
        </references>
      </pivotArea>
    </format>
    <format dxfId="130">
      <pivotArea collapsedLevelsAreSubtotals="1" fieldPosition="0">
        <references count="4">
          <reference field="4294967294" count="1" selected="0">
            <x v="4"/>
          </reference>
          <reference field="1" count="1" selected="0">
            <x v="0"/>
          </reference>
          <reference field="2" count="1" selected="0">
            <x v="0"/>
          </reference>
          <reference field="3" count="1">
            <x v="14"/>
          </reference>
        </references>
      </pivotArea>
    </format>
    <format dxfId="129">
      <pivotArea collapsedLevelsAreSubtotals="1" fieldPosition="0">
        <references count="4">
          <reference field="4294967294" count="1" selected="0">
            <x v="4"/>
          </reference>
          <reference field="1" count="1" selected="0">
            <x v="0"/>
          </reference>
          <reference field="2" count="1" selected="0">
            <x v="0"/>
          </reference>
          <reference field="3" count="1">
            <x v="6"/>
          </reference>
        </references>
      </pivotArea>
    </format>
    <format dxfId="128">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0"/>
          </reference>
        </references>
      </pivotArea>
    </format>
    <format dxfId="127">
      <pivotArea collapsedLevelsAreSubtotals="1" fieldPosition="0">
        <references count="5">
          <reference field="4294967294" count="1" selected="0">
            <x v="4"/>
          </reference>
          <reference field="1" count="1" selected="0">
            <x v="0"/>
          </reference>
          <reference field="2" count="1" selected="0">
            <x v="0"/>
          </reference>
          <reference field="3" count="1" selected="0">
            <x v="6"/>
          </reference>
          <reference field="4" count="1">
            <x v="57"/>
          </reference>
        </references>
      </pivotArea>
    </format>
    <format dxfId="126">
      <pivotArea collapsedLevelsAreSubtotals="1" fieldPosition="0">
        <references count="4">
          <reference field="4294967294" count="1" selected="0">
            <x v="4"/>
          </reference>
          <reference field="1" count="1" selected="0">
            <x v="0"/>
          </reference>
          <reference field="2" count="1" selected="0">
            <x v="0"/>
          </reference>
          <reference field="3" count="1">
            <x v="35"/>
          </reference>
        </references>
      </pivotArea>
    </format>
    <format dxfId="125">
      <pivotArea collapsedLevelsAreSubtotals="1" fieldPosition="0">
        <references count="4">
          <reference field="4294967294" count="1" selected="0">
            <x v="4"/>
          </reference>
          <reference field="1" count="1" selected="0">
            <x v="0"/>
          </reference>
          <reference field="2" count="1" selected="0">
            <x v="0"/>
          </reference>
          <reference field="3" count="1">
            <x v="31"/>
          </reference>
        </references>
      </pivotArea>
    </format>
    <format dxfId="124">
      <pivotArea collapsedLevelsAreSubtotals="1" fieldPosition="0">
        <references count="4">
          <reference field="4294967294" count="1" selected="0">
            <x v="4"/>
          </reference>
          <reference field="1" count="1" selected="0">
            <x v="0"/>
          </reference>
          <reference field="2" count="1" selected="0">
            <x v="0"/>
          </reference>
          <reference field="3" count="1">
            <x v="26"/>
          </reference>
        </references>
      </pivotArea>
    </format>
    <format dxfId="123">
      <pivotArea collapsedLevelsAreSubtotals="1" fieldPosition="0">
        <references count="4">
          <reference field="4294967294" count="1" selected="0">
            <x v="4"/>
          </reference>
          <reference field="1" count="1" selected="0">
            <x v="0"/>
          </reference>
          <reference field="2" count="1" selected="0">
            <x v="0"/>
          </reference>
          <reference field="3" count="1">
            <x v="4"/>
          </reference>
        </references>
      </pivotArea>
    </format>
    <format dxfId="122">
      <pivotArea collapsedLevelsAreSubtotals="1" fieldPosition="0">
        <references count="4">
          <reference field="4294967294" count="1" selected="0">
            <x v="4"/>
          </reference>
          <reference field="1" count="1" selected="0">
            <x v="0"/>
          </reference>
          <reference field="2" count="1" selected="0">
            <x v="0"/>
          </reference>
          <reference field="3" count="1">
            <x v="30"/>
          </reference>
        </references>
      </pivotArea>
    </format>
    <format dxfId="121">
      <pivotArea collapsedLevelsAreSubtotals="1" fieldPosition="0">
        <references count="4">
          <reference field="4294967294" count="1" selected="0">
            <x v="4"/>
          </reference>
          <reference field="1" count="1" selected="0">
            <x v="0"/>
          </reference>
          <reference field="2" count="1" selected="0">
            <x v="0"/>
          </reference>
          <reference field="3" count="1">
            <x v="24"/>
          </reference>
        </references>
      </pivotArea>
    </format>
    <format dxfId="120">
      <pivotArea collapsedLevelsAreSubtotals="1" fieldPosition="0">
        <references count="3">
          <reference field="4294967294" count="1" selected="0">
            <x v="4"/>
          </reference>
          <reference field="1" count="1">
            <x v="1"/>
          </reference>
          <reference field="2" count="1" selected="0">
            <x v="0"/>
          </reference>
        </references>
      </pivotArea>
    </format>
    <format dxfId="119">
      <pivotArea collapsedLevelsAreSubtotals="1" fieldPosition="0">
        <references count="4">
          <reference field="4294967294" count="1" selected="0">
            <x v="4"/>
          </reference>
          <reference field="1" count="1" selected="0">
            <x v="1"/>
          </reference>
          <reference field="2" count="1" selected="0">
            <x v="0"/>
          </reference>
          <reference field="3" count="1">
            <x v="18"/>
          </reference>
        </references>
      </pivotArea>
    </format>
    <format dxfId="118">
      <pivotArea collapsedLevelsAreSubtotals="1" fieldPosition="0">
        <references count="4">
          <reference field="4294967294" count="1" selected="0">
            <x v="4"/>
          </reference>
          <reference field="1" count="1" selected="0">
            <x v="1"/>
          </reference>
          <reference field="2" count="1" selected="0">
            <x v="0"/>
          </reference>
          <reference field="3" count="1">
            <x v="32"/>
          </reference>
        </references>
      </pivotArea>
    </format>
    <format dxfId="117">
      <pivotArea collapsedLevelsAreSubtotals="1" fieldPosition="0">
        <references count="5">
          <reference field="4294967294" count="1" selected="0">
            <x v="4"/>
          </reference>
          <reference field="1" count="1" selected="0">
            <x v="1"/>
          </reference>
          <reference field="2" count="1" selected="0">
            <x v="0"/>
          </reference>
          <reference field="3" count="1" selected="0">
            <x v="32"/>
          </reference>
          <reference field="4" count="1">
            <x v="76"/>
          </reference>
        </references>
      </pivotArea>
    </format>
    <format dxfId="116">
      <pivotArea collapsedLevelsAreSubtotals="1" fieldPosition="0">
        <references count="4">
          <reference field="4294967294" count="1" selected="0">
            <x v="4"/>
          </reference>
          <reference field="1" count="1" selected="0">
            <x v="1"/>
          </reference>
          <reference field="2" count="1" selected="0">
            <x v="0"/>
          </reference>
          <reference field="3" count="1">
            <x v="27"/>
          </reference>
        </references>
      </pivotArea>
    </format>
    <format dxfId="115">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8"/>
          </reference>
        </references>
      </pivotArea>
    </format>
    <format dxfId="114">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9"/>
          </reference>
        </references>
      </pivotArea>
    </format>
    <format dxfId="113">
      <pivotArea collapsedLevelsAreSubtotals="1" fieldPosition="0">
        <references count="5">
          <reference field="4294967294" count="1" selected="0">
            <x v="4"/>
          </reference>
          <reference field="1" count="1" selected="0">
            <x v="1"/>
          </reference>
          <reference field="2" count="1" selected="0">
            <x v="0"/>
          </reference>
          <reference field="3" count="1" selected="0">
            <x v="27"/>
          </reference>
          <reference field="4" count="1">
            <x v="67"/>
          </reference>
        </references>
      </pivotArea>
    </format>
    <format dxfId="112">
      <pivotArea collapsedLevelsAreSubtotals="1" fieldPosition="0">
        <references count="4">
          <reference field="4294967294" count="1" selected="0">
            <x v="4"/>
          </reference>
          <reference field="1" count="1" selected="0">
            <x v="1"/>
          </reference>
          <reference field="2" count="1" selected="0">
            <x v="0"/>
          </reference>
          <reference field="3" count="1">
            <x v="0"/>
          </reference>
        </references>
      </pivotArea>
    </format>
    <format dxfId="111">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3"/>
          </reference>
        </references>
      </pivotArea>
    </format>
    <format dxfId="110">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7"/>
          </reference>
        </references>
      </pivotArea>
    </format>
    <format dxfId="109">
      <pivotArea collapsedLevelsAreSubtotals="1" fieldPosition="0">
        <references count="5">
          <reference field="4294967294" count="1" selected="0">
            <x v="4"/>
          </reference>
          <reference field="1" count="1" selected="0">
            <x v="1"/>
          </reference>
          <reference field="2" count="1" selected="0">
            <x v="0"/>
          </reference>
          <reference field="3" count="1" selected="0">
            <x v="0"/>
          </reference>
          <reference field="4" count="1">
            <x v="6"/>
          </reference>
        </references>
      </pivotArea>
    </format>
    <format dxfId="108">
      <pivotArea collapsedLevelsAreSubtotals="1" fieldPosition="0">
        <references count="4">
          <reference field="4294967294" count="1" selected="0">
            <x v="4"/>
          </reference>
          <reference field="1" count="1" selected="0">
            <x v="1"/>
          </reference>
          <reference field="2" count="1" selected="0">
            <x v="0"/>
          </reference>
          <reference field="3" count="1">
            <x v="37"/>
          </reference>
        </references>
      </pivotArea>
    </format>
    <format dxfId="107">
      <pivotArea collapsedLevelsAreSubtotals="1" fieldPosition="0">
        <references count="4">
          <reference field="4294967294" count="1" selected="0">
            <x v="4"/>
          </reference>
          <reference field="1" count="1" selected="0">
            <x v="1"/>
          </reference>
          <reference field="2" count="1" selected="0">
            <x v="0"/>
          </reference>
          <reference field="3" count="1">
            <x v="39"/>
          </reference>
        </references>
      </pivotArea>
    </format>
    <format dxfId="106">
      <pivotArea collapsedLevelsAreSubtotals="1" fieldPosition="0">
        <references count="5">
          <reference field="4294967294" count="1" selected="0">
            <x v="4"/>
          </reference>
          <reference field="1" count="1" selected="0">
            <x v="1"/>
          </reference>
          <reference field="2" count="1" selected="0">
            <x v="0"/>
          </reference>
          <reference field="3" count="1" selected="0">
            <x v="39"/>
          </reference>
          <reference field="4" count="1">
            <x v="91"/>
          </reference>
        </references>
      </pivotArea>
    </format>
    <format dxfId="105">
      <pivotArea collapsedLevelsAreSubtotals="1" fieldPosition="0">
        <references count="6">
          <reference field="4294967294" count="1" selected="0">
            <x v="4"/>
          </reference>
          <reference field="1" count="1" selected="0">
            <x v="1"/>
          </reference>
          <reference field="2" count="1" selected="0">
            <x v="0"/>
          </reference>
          <reference field="3" count="1" selected="0">
            <x v="39"/>
          </reference>
          <reference field="4" count="1" selected="0">
            <x v="91"/>
          </reference>
          <reference field="5" count="1">
            <x v="77"/>
          </reference>
        </references>
      </pivotArea>
    </format>
    <format dxfId="104">
      <pivotArea collapsedLevelsAreSubtotals="1" fieldPosition="0">
        <references count="4">
          <reference field="4294967294" count="1" selected="0">
            <x v="4"/>
          </reference>
          <reference field="1" count="1" selected="0">
            <x v="1"/>
          </reference>
          <reference field="2" count="1" selected="0">
            <x v="0"/>
          </reference>
          <reference field="3" count="1">
            <x v="1"/>
          </reference>
        </references>
      </pivotArea>
    </format>
    <format dxfId="103">
      <pivotArea collapsedLevelsAreSubtotals="1" fieldPosition="0">
        <references count="4">
          <reference field="4294967294" count="1" selected="0">
            <x v="4"/>
          </reference>
          <reference field="1" count="1" selected="0">
            <x v="1"/>
          </reference>
          <reference field="2" count="1" selected="0">
            <x v="0"/>
          </reference>
          <reference field="3" count="1">
            <x v="11"/>
          </reference>
        </references>
      </pivotArea>
    </format>
    <format dxfId="102">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2"/>
          </reference>
        </references>
      </pivotArea>
    </format>
    <format dxfId="101">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42"/>
          </reference>
        </references>
      </pivotArea>
    </format>
    <format dxfId="100">
      <pivotArea collapsedLevelsAreSubtotals="1" fieldPosition="0">
        <references count="5">
          <reference field="4294967294" count="1" selected="0">
            <x v="4"/>
          </reference>
          <reference field="1" count="1" selected="0">
            <x v="1"/>
          </reference>
          <reference field="2" count="1" selected="0">
            <x v="0"/>
          </reference>
          <reference field="3" count="1" selected="0">
            <x v="11"/>
          </reference>
          <reference field="4" count="1">
            <x v="58"/>
          </reference>
        </references>
      </pivotArea>
    </format>
    <format dxfId="99">
      <pivotArea collapsedLevelsAreSubtotals="1" fieldPosition="0">
        <references count="4">
          <reference field="4294967294" count="1" selected="0">
            <x v="4"/>
          </reference>
          <reference field="1" count="1" selected="0">
            <x v="1"/>
          </reference>
          <reference field="2" count="1" selected="0">
            <x v="0"/>
          </reference>
          <reference field="3" count="1">
            <x v="36"/>
          </reference>
        </references>
      </pivotArea>
    </format>
    <format dxfId="98">
      <pivotArea collapsedLevelsAreSubtotals="1" fieldPosition="0">
        <references count="4">
          <reference field="4294967294" count="1" selected="0">
            <x v="4"/>
          </reference>
          <reference field="1" count="1" selected="0">
            <x v="1"/>
          </reference>
          <reference field="2" count="1" selected="0">
            <x v="0"/>
          </reference>
          <reference field="3" count="1">
            <x v="13"/>
          </reference>
        </references>
      </pivotArea>
    </format>
    <format dxfId="97">
      <pivotArea collapsedLevelsAreSubtotals="1" fieldPosition="0">
        <references count="4">
          <reference field="4294967294" count="1" selected="0">
            <x v="4"/>
          </reference>
          <reference field="1" count="1" selected="0">
            <x v="1"/>
          </reference>
          <reference field="2" count="1" selected="0">
            <x v="0"/>
          </reference>
          <reference field="3" count="1">
            <x v="30"/>
          </reference>
        </references>
      </pivotArea>
    </format>
    <format dxfId="96">
      <pivotArea collapsedLevelsAreSubtotals="1" fieldPosition="0">
        <references count="4">
          <reference field="4294967294" count="1" selected="0">
            <x v="4"/>
          </reference>
          <reference field="1" count="1" selected="0">
            <x v="1"/>
          </reference>
          <reference field="2" count="1" selected="0">
            <x v="0"/>
          </reference>
          <reference field="3" count="1">
            <x v="34"/>
          </reference>
        </references>
      </pivotArea>
    </format>
    <format dxfId="95">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9"/>
          </reference>
        </references>
      </pivotArea>
    </format>
    <format dxfId="94">
      <pivotArea collapsedLevelsAreSubtotals="1" fieldPosition="0">
        <references count="5">
          <reference field="4294967294" count="1" selected="0">
            <x v="4"/>
          </reference>
          <reference field="1" count="1" selected="0">
            <x v="1"/>
          </reference>
          <reference field="2" count="1" selected="0">
            <x v="0"/>
          </reference>
          <reference field="3" count="1" selected="0">
            <x v="34"/>
          </reference>
          <reference field="4" count="1">
            <x v="78"/>
          </reference>
        </references>
      </pivotArea>
    </format>
    <format dxfId="93">
      <pivotArea collapsedLevelsAreSubtotals="1" fieldPosition="0">
        <references count="4">
          <reference field="4294967294" count="1" selected="0">
            <x v="4"/>
          </reference>
          <reference field="1" count="1" selected="0">
            <x v="1"/>
          </reference>
          <reference field="2" count="1" selected="0">
            <x v="0"/>
          </reference>
          <reference field="3" count="1">
            <x v="7"/>
          </reference>
        </references>
      </pivotArea>
    </format>
    <format dxfId="92">
      <pivotArea collapsedLevelsAreSubtotals="1" fieldPosition="0">
        <references count="4">
          <reference field="4294967294" count="1" selected="0">
            <x v="4"/>
          </reference>
          <reference field="1" count="1" selected="0">
            <x v="1"/>
          </reference>
          <reference field="2" count="1" selected="0">
            <x v="0"/>
          </reference>
          <reference field="3" count="1">
            <x v="6"/>
          </reference>
        </references>
      </pivotArea>
    </format>
    <format dxfId="91">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39"/>
          </reference>
        </references>
      </pivotArea>
    </format>
    <format dxfId="90">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1"/>
          </reference>
        </references>
      </pivotArea>
    </format>
    <format dxfId="89">
      <pivotArea collapsedLevelsAreSubtotals="1" fieldPosition="0">
        <references count="5">
          <reference field="4294967294" count="1" selected="0">
            <x v="4"/>
          </reference>
          <reference field="1" count="1" selected="0">
            <x v="1"/>
          </reference>
          <reference field="2" count="1" selected="0">
            <x v="0"/>
          </reference>
          <reference field="3" count="1" selected="0">
            <x v="6"/>
          </reference>
          <reference field="4" count="1">
            <x v="40"/>
          </reference>
        </references>
      </pivotArea>
    </format>
    <format dxfId="88">
      <pivotArea collapsedLevelsAreSubtotals="1" fieldPosition="0">
        <references count="4">
          <reference field="4294967294" count="1" selected="0">
            <x v="4"/>
          </reference>
          <reference field="1" count="1" selected="0">
            <x v="1"/>
          </reference>
          <reference field="2" count="1" selected="0">
            <x v="0"/>
          </reference>
          <reference field="3" count="1">
            <x v="28"/>
          </reference>
        </references>
      </pivotArea>
    </format>
    <format dxfId="87">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0"/>
          </reference>
        </references>
      </pivotArea>
    </format>
    <format dxfId="86">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2"/>
          </reference>
        </references>
      </pivotArea>
    </format>
    <format dxfId="85">
      <pivotArea collapsedLevelsAreSubtotals="1" fieldPosition="0">
        <references count="5">
          <reference field="4294967294" count="1" selected="0">
            <x v="4"/>
          </reference>
          <reference field="1" count="1" selected="0">
            <x v="1"/>
          </reference>
          <reference field="2" count="1" selected="0">
            <x v="0"/>
          </reference>
          <reference field="3" count="1" selected="0">
            <x v="28"/>
          </reference>
          <reference field="4" count="1">
            <x v="71"/>
          </reference>
        </references>
      </pivotArea>
    </format>
    <format dxfId="84">
      <pivotArea collapsedLevelsAreSubtotals="1" fieldPosition="0">
        <references count="4">
          <reference field="4294967294" count="1" selected="0">
            <x v="4"/>
          </reference>
          <reference field="1" count="1" selected="0">
            <x v="1"/>
          </reference>
          <reference field="2" count="1" selected="0">
            <x v="0"/>
          </reference>
          <reference field="3" count="1">
            <x v="24"/>
          </reference>
        </references>
      </pivotArea>
    </format>
    <format dxfId="83">
      <pivotArea collapsedLevelsAreSubtotals="1" fieldPosition="0">
        <references count="4">
          <reference field="4294967294" count="1" selected="0">
            <x v="4"/>
          </reference>
          <reference field="1" count="1" selected="0">
            <x v="1"/>
          </reference>
          <reference field="2" count="1" selected="0">
            <x v="0"/>
          </reference>
          <reference field="3" count="1">
            <x v="26"/>
          </reference>
        </references>
      </pivotArea>
    </format>
    <format dxfId="82">
      <pivotArea collapsedLevelsAreSubtotals="1" fieldPosition="0">
        <references count="2">
          <reference field="4294967294" count="1" selected="0">
            <x v="4"/>
          </reference>
          <reference field="2" count="1">
            <x v="3"/>
          </reference>
        </references>
      </pivotArea>
    </format>
    <format dxfId="81">
      <pivotArea collapsedLevelsAreSubtotals="1" fieldPosition="0">
        <references count="3">
          <reference field="4294967294" count="1" selected="0">
            <x v="4"/>
          </reference>
          <reference field="1" count="1">
            <x v="0"/>
          </reference>
          <reference field="2" count="1" selected="0">
            <x v="3"/>
          </reference>
        </references>
      </pivotArea>
    </format>
    <format dxfId="80">
      <pivotArea collapsedLevelsAreSubtotals="1" fieldPosition="0">
        <references count="4">
          <reference field="4294967294" count="1" selected="0">
            <x v="4"/>
          </reference>
          <reference field="1" count="1" selected="0">
            <x v="0"/>
          </reference>
          <reference field="2" count="1" selected="0">
            <x v="3"/>
          </reference>
          <reference field="3" count="1">
            <x v="8"/>
          </reference>
        </references>
      </pivotArea>
    </format>
    <format dxfId="79">
      <pivotArea collapsedLevelsAreSubtotals="1" fieldPosition="0">
        <references count="4">
          <reference field="4294967294" count="1" selected="0">
            <x v="4"/>
          </reference>
          <reference field="1" count="1" selected="0">
            <x v="0"/>
          </reference>
          <reference field="2" count="1" selected="0">
            <x v="3"/>
          </reference>
          <reference field="3" count="1">
            <x v="18"/>
          </reference>
        </references>
      </pivotArea>
    </format>
    <format dxfId="78">
      <pivotArea collapsedLevelsAreSubtotals="1" fieldPosition="0">
        <references count="4">
          <reference field="4294967294" count="1" selected="0">
            <x v="4"/>
          </reference>
          <reference field="1" count="1" selected="0">
            <x v="0"/>
          </reference>
          <reference field="2" count="1" selected="0">
            <x v="3"/>
          </reference>
          <reference field="3" count="1">
            <x v="9"/>
          </reference>
        </references>
      </pivotArea>
    </format>
    <format dxfId="77">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1"/>
          </reference>
        </references>
      </pivotArea>
    </format>
    <format dxfId="76">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2"/>
          </reference>
        </references>
      </pivotArea>
    </format>
    <format dxfId="75">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17"/>
          </reference>
        </references>
      </pivotArea>
    </format>
    <format dxfId="74">
      <pivotArea collapsedLevelsAreSubtotals="1" fieldPosition="0">
        <references count="5">
          <reference field="4294967294" count="1" selected="0">
            <x v="4"/>
          </reference>
          <reference field="1" count="1" selected="0">
            <x v="0"/>
          </reference>
          <reference field="2" count="1" selected="0">
            <x v="3"/>
          </reference>
          <reference field="3" count="1" selected="0">
            <x v="9"/>
          </reference>
          <reference field="4" count="1">
            <x v="25"/>
          </reference>
        </references>
      </pivotArea>
    </format>
    <format dxfId="73">
      <pivotArea collapsedLevelsAreSubtotals="1" fieldPosition="0">
        <references count="4">
          <reference field="4294967294" count="1" selected="0">
            <x v="4"/>
          </reference>
          <reference field="1" count="1" selected="0">
            <x v="0"/>
          </reference>
          <reference field="2" count="1" selected="0">
            <x v="3"/>
          </reference>
          <reference field="3" count="1">
            <x v="25"/>
          </reference>
        </references>
      </pivotArea>
    </format>
    <format dxfId="72">
      <pivotArea collapsedLevelsAreSubtotals="1" fieldPosition="0">
        <references count="4">
          <reference field="4294967294" count="1" selected="0">
            <x v="4"/>
          </reference>
          <reference field="1" count="1" selected="0">
            <x v="0"/>
          </reference>
          <reference field="2" count="1" selected="0">
            <x v="3"/>
          </reference>
          <reference field="3" count="1">
            <x v="29"/>
          </reference>
        </references>
      </pivotArea>
    </format>
    <format dxfId="71">
      <pivotArea collapsedLevelsAreSubtotals="1" fieldPosition="0">
        <references count="2">
          <reference field="4294967294" count="1" selected="0">
            <x v="4"/>
          </reference>
          <reference field="2" count="1">
            <x v="1"/>
          </reference>
        </references>
      </pivotArea>
    </format>
    <format dxfId="70">
      <pivotArea collapsedLevelsAreSubtotals="1" fieldPosition="0">
        <references count="3">
          <reference field="4294967294" count="1" selected="0">
            <x v="4"/>
          </reference>
          <reference field="1" count="1">
            <x v="1"/>
          </reference>
          <reference field="2" count="1" selected="0">
            <x v="1"/>
          </reference>
        </references>
      </pivotArea>
    </format>
    <format dxfId="69">
      <pivotArea collapsedLevelsAreSubtotals="1" fieldPosition="0">
        <references count="4">
          <reference field="4294967294" count="1" selected="0">
            <x v="4"/>
          </reference>
          <reference field="1" count="1" selected="0">
            <x v="1"/>
          </reference>
          <reference field="2" count="1" selected="0">
            <x v="1"/>
          </reference>
          <reference field="3" count="1">
            <x v="18"/>
          </reference>
        </references>
      </pivotArea>
    </format>
    <format dxfId="68">
      <pivotArea collapsedLevelsAreSubtotals="1" fieldPosition="0">
        <references count="4">
          <reference field="4294967294" count="1" selected="0">
            <x v="4"/>
          </reference>
          <reference field="1" count="1" selected="0">
            <x v="1"/>
          </reference>
          <reference field="2" count="1" selected="0">
            <x v="1"/>
          </reference>
          <reference field="3" count="1">
            <x v="0"/>
          </reference>
        </references>
      </pivotArea>
    </format>
    <format dxfId="67">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4"/>
          </reference>
        </references>
      </pivotArea>
    </format>
    <format dxfId="66">
      <pivotArea collapsedLevelsAreSubtotals="1" fieldPosition="0">
        <references count="5">
          <reference field="4294967294" count="1" selected="0">
            <x v="4"/>
          </reference>
          <reference field="1" count="1" selected="0">
            <x v="1"/>
          </reference>
          <reference field="2" count="1" selected="0">
            <x v="1"/>
          </reference>
          <reference field="3" count="1" selected="0">
            <x v="0"/>
          </reference>
          <reference field="4" count="1">
            <x v="5"/>
          </reference>
        </references>
      </pivotArea>
    </format>
    <format dxfId="65">
      <pivotArea collapsedLevelsAreSubtotals="1" fieldPosition="0">
        <references count="4">
          <reference field="4294967294" count="1" selected="0">
            <x v="4"/>
          </reference>
          <reference field="1" count="1" selected="0">
            <x v="1"/>
          </reference>
          <reference field="2" count="1" selected="0">
            <x v="1"/>
          </reference>
          <reference field="3" count="1">
            <x v="27"/>
          </reference>
        </references>
      </pivotArea>
    </format>
    <format dxfId="64">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8"/>
          </reference>
        </references>
      </pivotArea>
    </format>
    <format dxfId="63">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9"/>
          </reference>
        </references>
      </pivotArea>
    </format>
    <format dxfId="62">
      <pivotArea collapsedLevelsAreSubtotals="1" fieldPosition="0">
        <references count="5">
          <reference field="4294967294" count="1" selected="0">
            <x v="4"/>
          </reference>
          <reference field="1" count="1" selected="0">
            <x v="1"/>
          </reference>
          <reference field="2" count="1" selected="0">
            <x v="1"/>
          </reference>
          <reference field="3" count="1" selected="0">
            <x v="27"/>
          </reference>
          <reference field="4" count="1">
            <x v="67"/>
          </reference>
        </references>
      </pivotArea>
    </format>
    <format dxfId="61">
      <pivotArea collapsedLevelsAreSubtotals="1" fieldPosition="0">
        <references count="4">
          <reference field="4294967294" count="1" selected="0">
            <x v="4"/>
          </reference>
          <reference field="1" count="1" selected="0">
            <x v="1"/>
          </reference>
          <reference field="2" count="1" selected="0">
            <x v="1"/>
          </reference>
          <reference field="3" count="1">
            <x v="32"/>
          </reference>
        </references>
      </pivotArea>
    </format>
    <format dxfId="60">
      <pivotArea collapsedLevelsAreSubtotals="1" fieldPosition="0">
        <references count="5">
          <reference field="4294967294" count="1" selected="0">
            <x v="4"/>
          </reference>
          <reference field="1" count="1" selected="0">
            <x v="1"/>
          </reference>
          <reference field="2" count="1" selected="0">
            <x v="1"/>
          </reference>
          <reference field="3" count="1" selected="0">
            <x v="32"/>
          </reference>
          <reference field="4" count="1">
            <x v="76"/>
          </reference>
        </references>
      </pivotArea>
    </format>
    <format dxfId="59">
      <pivotArea collapsedLevelsAreSubtotals="1" fieldPosition="0">
        <references count="4">
          <reference field="4294967294" count="1" selected="0">
            <x v="4"/>
          </reference>
          <reference field="1" count="1" selected="0">
            <x v="1"/>
          </reference>
          <reference field="2" count="1" selected="0">
            <x v="1"/>
          </reference>
          <reference field="3" count="1">
            <x v="28"/>
          </reference>
        </references>
      </pivotArea>
    </format>
    <format dxfId="58">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1"/>
          </reference>
        </references>
      </pivotArea>
    </format>
    <format dxfId="57">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2"/>
          </reference>
        </references>
      </pivotArea>
    </format>
    <format dxfId="56">
      <pivotArea collapsedLevelsAreSubtotals="1" fieldPosition="0">
        <references count="5">
          <reference field="4294967294" count="1" selected="0">
            <x v="4"/>
          </reference>
          <reference field="1" count="1" selected="0">
            <x v="1"/>
          </reference>
          <reference field="2" count="1" selected="0">
            <x v="1"/>
          </reference>
          <reference field="3" count="1" selected="0">
            <x v="28"/>
          </reference>
          <reference field="4" count="1">
            <x v="70"/>
          </reference>
        </references>
      </pivotArea>
    </format>
    <format dxfId="55">
      <pivotArea collapsedLevelsAreSubtotals="1" fieldPosition="0">
        <references count="4">
          <reference field="4294967294" count="1" selected="0">
            <x v="4"/>
          </reference>
          <reference field="1" count="1" selected="0">
            <x v="1"/>
          </reference>
          <reference field="2" count="1" selected="0">
            <x v="1"/>
          </reference>
          <reference field="3" count="1">
            <x v="36"/>
          </reference>
        </references>
      </pivotArea>
    </format>
    <format dxfId="54">
      <pivotArea collapsedLevelsAreSubtotals="1" fieldPosition="0">
        <references count="4">
          <reference field="4294967294" count="1" selected="0">
            <x v="4"/>
          </reference>
          <reference field="1" count="1" selected="0">
            <x v="1"/>
          </reference>
          <reference field="2" count="1" selected="0">
            <x v="1"/>
          </reference>
          <reference field="3" count="1">
            <x v="1"/>
          </reference>
        </references>
      </pivotArea>
    </format>
    <format dxfId="53">
      <pivotArea collapsedLevelsAreSubtotals="1" fieldPosition="0">
        <references count="4">
          <reference field="4294967294" count="1" selected="0">
            <x v="4"/>
          </reference>
          <reference field="1" count="1" selected="0">
            <x v="1"/>
          </reference>
          <reference field="2" count="1" selected="0">
            <x v="1"/>
          </reference>
          <reference field="3" count="1">
            <x v="30"/>
          </reference>
        </references>
      </pivotArea>
    </format>
    <format dxfId="52">
      <pivotArea collapsedLevelsAreSubtotals="1" fieldPosition="0">
        <references count="4">
          <reference field="4294967294" count="1" selected="0">
            <x v="4"/>
          </reference>
          <reference field="1" count="1" selected="0">
            <x v="1"/>
          </reference>
          <reference field="2" count="1" selected="0">
            <x v="1"/>
          </reference>
          <reference field="3" count="1">
            <x v="24"/>
          </reference>
        </references>
      </pivotArea>
    </format>
    <format dxfId="51">
      <pivotArea collapsedLevelsAreSubtotals="1" fieldPosition="0">
        <references count="4">
          <reference field="4294967294" count="1" selected="0">
            <x v="4"/>
          </reference>
          <reference field="1" count="1" selected="0">
            <x v="1"/>
          </reference>
          <reference field="2" count="1" selected="0">
            <x v="1"/>
          </reference>
          <reference field="3" count="1">
            <x v="34"/>
          </reference>
        </references>
      </pivotArea>
    </format>
    <format dxfId="50">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9"/>
          </reference>
        </references>
      </pivotArea>
    </format>
    <format dxfId="49">
      <pivotArea collapsedLevelsAreSubtotals="1" fieldPosition="0">
        <references count="5">
          <reference field="4294967294" count="1" selected="0">
            <x v="4"/>
          </reference>
          <reference field="1" count="1" selected="0">
            <x v="1"/>
          </reference>
          <reference field="2" count="1" selected="0">
            <x v="1"/>
          </reference>
          <reference field="3" count="1" selected="0">
            <x v="34"/>
          </reference>
          <reference field="4" count="1">
            <x v="78"/>
          </reference>
        </references>
      </pivotArea>
    </format>
    <format dxfId="48">
      <pivotArea collapsedLevelsAreSubtotals="1" fieldPosition="0">
        <references count="4">
          <reference field="4294967294" count="1" selected="0">
            <x v="4"/>
          </reference>
          <reference field="1" count="1" selected="0">
            <x v="1"/>
          </reference>
          <reference field="2" count="1" selected="0">
            <x v="1"/>
          </reference>
          <reference field="3" count="1">
            <x v="37"/>
          </reference>
        </references>
      </pivotArea>
    </format>
    <format dxfId="47">
      <pivotArea collapsedLevelsAreSubtotals="1" fieldPosition="0">
        <references count="4">
          <reference field="4294967294" count="1" selected="0">
            <x v="4"/>
          </reference>
          <reference field="1" count="1" selected="0">
            <x v="1"/>
          </reference>
          <reference field="2" count="1" selected="0">
            <x v="1"/>
          </reference>
          <reference field="3" count="1">
            <x v="7"/>
          </reference>
        </references>
      </pivotArea>
    </format>
    <format dxfId="46">
      <pivotArea collapsedLevelsAreSubtotals="1" fieldPosition="0">
        <references count="4">
          <reference field="4294967294" count="1" selected="0">
            <x v="4"/>
          </reference>
          <reference field="1" count="1" selected="0">
            <x v="1"/>
          </reference>
          <reference field="2" count="1" selected="0">
            <x v="1"/>
          </reference>
          <reference field="3" count="1">
            <x v="6"/>
          </reference>
        </references>
      </pivotArea>
    </format>
    <format dxfId="45">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41"/>
          </reference>
        </references>
      </pivotArea>
    </format>
    <format dxfId="44">
      <pivotArea collapsedLevelsAreSubtotals="1" fieldPosition="0">
        <references count="5">
          <reference field="4294967294" count="1" selected="0">
            <x v="4"/>
          </reference>
          <reference field="1" count="1" selected="0">
            <x v="1"/>
          </reference>
          <reference field="2" count="1" selected="0">
            <x v="1"/>
          </reference>
          <reference field="3" count="1" selected="0">
            <x v="6"/>
          </reference>
          <reference field="4" count="1">
            <x v="39"/>
          </reference>
        </references>
      </pivotArea>
    </format>
    <format dxfId="43">
      <pivotArea collapsedLevelsAreSubtotals="1" fieldPosition="0">
        <references count="4">
          <reference field="4294967294" count="1" selected="0">
            <x v="4"/>
          </reference>
          <reference field="1" count="1" selected="0">
            <x v="1"/>
          </reference>
          <reference field="2" count="1" selected="0">
            <x v="1"/>
          </reference>
          <reference field="3" count="1">
            <x v="26"/>
          </reference>
        </references>
      </pivotArea>
    </format>
    <format dxfId="42">
      <pivotArea collapsedLevelsAreSubtotals="1" fieldPosition="0">
        <references count="3">
          <reference field="4294967294" count="1" selected="0">
            <x v="4"/>
          </reference>
          <reference field="1" count="1">
            <x v="0"/>
          </reference>
          <reference field="2" count="1" selected="0">
            <x v="1"/>
          </reference>
        </references>
      </pivotArea>
    </format>
    <format dxfId="41">
      <pivotArea collapsedLevelsAreSubtotals="1" fieldPosition="0">
        <references count="4">
          <reference field="4294967294" count="1" selected="0">
            <x v="4"/>
          </reference>
          <reference field="1" count="1" selected="0">
            <x v="0"/>
          </reference>
          <reference field="2" count="1" selected="0">
            <x v="1"/>
          </reference>
          <reference field="3" count="1">
            <x v="18"/>
          </reference>
        </references>
      </pivotArea>
    </format>
    <format dxfId="40">
      <pivotArea collapsedLevelsAreSubtotals="1" fieldPosition="0">
        <references count="4">
          <reference field="4294967294" count="1" selected="0">
            <x v="4"/>
          </reference>
          <reference field="1" count="1" selected="0">
            <x v="0"/>
          </reference>
          <reference field="2" count="1" selected="0">
            <x v="1"/>
          </reference>
          <reference field="3" count="1">
            <x v="0"/>
          </reference>
        </references>
      </pivotArea>
    </format>
    <format dxfId="39">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4"/>
          </reference>
        </references>
      </pivotArea>
    </format>
    <format dxfId="38">
      <pivotArea collapsedLevelsAreSubtotals="1" fieldPosition="0">
        <references count="5">
          <reference field="4294967294" count="1" selected="0">
            <x v="4"/>
          </reference>
          <reference field="1" count="1" selected="0">
            <x v="0"/>
          </reference>
          <reference field="2" count="1" selected="0">
            <x v="1"/>
          </reference>
          <reference field="3" count="1" selected="0">
            <x v="0"/>
          </reference>
          <reference field="4" count="1">
            <x v="5"/>
          </reference>
        </references>
      </pivotArea>
    </format>
    <format dxfId="37">
      <pivotArea collapsedLevelsAreSubtotals="1" fieldPosition="0">
        <references count="4">
          <reference field="4294967294" count="1" selected="0">
            <x v="4"/>
          </reference>
          <reference field="1" count="1" selected="0">
            <x v="0"/>
          </reference>
          <reference field="2" count="1" selected="0">
            <x v="1"/>
          </reference>
          <reference field="3" count="1">
            <x v="7"/>
          </reference>
        </references>
      </pivotArea>
    </format>
    <format dxfId="36">
      <pivotArea collapsedLevelsAreSubtotals="1" fieldPosition="0">
        <references count="4">
          <reference field="4294967294" count="1" selected="0">
            <x v="4"/>
          </reference>
          <reference field="1" count="1" selected="0">
            <x v="0"/>
          </reference>
          <reference field="2" count="1" selected="0">
            <x v="1"/>
          </reference>
          <reference field="3" count="1">
            <x v="32"/>
          </reference>
        </references>
      </pivotArea>
    </format>
    <format dxfId="35">
      <pivotArea collapsedLevelsAreSubtotals="1" fieldPosition="0">
        <references count="5">
          <reference field="4294967294" count="1" selected="0">
            <x v="4"/>
          </reference>
          <reference field="1" count="1" selected="0">
            <x v="0"/>
          </reference>
          <reference field="2" count="1" selected="0">
            <x v="1"/>
          </reference>
          <reference field="3" count="1" selected="0">
            <x v="32"/>
          </reference>
          <reference field="4" count="1">
            <x v="76"/>
          </reference>
        </references>
      </pivotArea>
    </format>
    <format dxfId="34">
      <pivotArea collapsedLevelsAreSubtotals="1" fieldPosition="0">
        <references count="4">
          <reference field="4294967294" count="1" selected="0">
            <x v="4"/>
          </reference>
          <reference field="1" count="1" selected="0">
            <x v="0"/>
          </reference>
          <reference field="2" count="1" selected="0">
            <x v="1"/>
          </reference>
          <reference field="3" count="1">
            <x v="15"/>
          </reference>
        </references>
      </pivotArea>
    </format>
    <format dxfId="33">
      <pivotArea collapsedLevelsAreSubtotals="1" fieldPosition="0">
        <references count="4">
          <reference field="4294967294" count="1" selected="0">
            <x v="4"/>
          </reference>
          <reference field="1" count="1" selected="0">
            <x v="0"/>
          </reference>
          <reference field="2" count="1" selected="0">
            <x v="1"/>
          </reference>
          <reference field="3" count="1">
            <x v="22"/>
          </reference>
        </references>
      </pivotArea>
    </format>
    <format dxfId="32">
      <pivotArea collapsedLevelsAreSubtotals="1" fieldPosition="0">
        <references count="4">
          <reference field="4294967294" count="1" selected="0">
            <x v="4"/>
          </reference>
          <reference field="1" count="1" selected="0">
            <x v="0"/>
          </reference>
          <reference field="2" count="1" selected="0">
            <x v="1"/>
          </reference>
          <reference field="3" count="1">
            <x v="1"/>
          </reference>
        </references>
      </pivotArea>
    </format>
    <format dxfId="31">
      <pivotArea collapsedLevelsAreSubtotals="1" fieldPosition="0">
        <references count="4">
          <reference field="4294967294" count="1" selected="0">
            <x v="4"/>
          </reference>
          <reference field="1" count="1" selected="0">
            <x v="0"/>
          </reference>
          <reference field="2" count="1" selected="0">
            <x v="1"/>
          </reference>
          <reference field="3" count="1">
            <x v="6"/>
          </reference>
        </references>
      </pivotArea>
    </format>
    <format dxfId="30">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57"/>
          </reference>
        </references>
      </pivotArea>
    </format>
    <format dxfId="29">
      <pivotArea collapsedLevelsAreSubtotals="1" fieldPosition="0">
        <references count="5">
          <reference field="4294967294" count="1" selected="0">
            <x v="4"/>
          </reference>
          <reference field="1" count="1" selected="0">
            <x v="0"/>
          </reference>
          <reference field="2" count="1" selected="0">
            <x v="1"/>
          </reference>
          <reference field="3" count="1" selected="0">
            <x v="6"/>
          </reference>
          <reference field="4" count="1">
            <x v="0"/>
          </reference>
        </references>
      </pivotArea>
    </format>
    <format dxfId="28">
      <pivotArea collapsedLevelsAreSubtotals="1" fieldPosition="0">
        <references count="4">
          <reference field="4294967294" count="1" selected="0">
            <x v="4"/>
          </reference>
          <reference field="1" count="1" selected="0">
            <x v="0"/>
          </reference>
          <reference field="2" count="1" selected="0">
            <x v="1"/>
          </reference>
          <reference field="3" count="1">
            <x v="23"/>
          </reference>
        </references>
      </pivotArea>
    </format>
    <format dxfId="27">
      <pivotArea collapsedLevelsAreSubtotals="1" fieldPosition="0">
        <references count="4">
          <reference field="4294967294" count="1" selected="0">
            <x v="4"/>
          </reference>
          <reference field="1" count="1" selected="0">
            <x v="0"/>
          </reference>
          <reference field="2" count="1" selected="0">
            <x v="1"/>
          </reference>
          <reference field="3" count="1">
            <x v="4"/>
          </reference>
        </references>
      </pivotArea>
    </format>
    <format dxfId="26">
      <pivotArea collapsedLevelsAreSubtotals="1" fieldPosition="0">
        <references count="4">
          <reference field="4294967294" count="1" selected="0">
            <x v="4"/>
          </reference>
          <reference field="1" count="1" selected="0">
            <x v="0"/>
          </reference>
          <reference field="2" count="1" selected="0">
            <x v="1"/>
          </reference>
          <reference field="3" count="1">
            <x v="24"/>
          </reference>
        </references>
      </pivotArea>
    </format>
    <format dxfId="25">
      <pivotArea collapsedLevelsAreSubtotals="1" fieldPosition="0">
        <references count="4">
          <reference field="4294967294" count="1" selected="0">
            <x v="4"/>
          </reference>
          <reference field="1" count="1" selected="0">
            <x v="0"/>
          </reference>
          <reference field="2" count="1" selected="0">
            <x v="1"/>
          </reference>
          <reference field="3" count="1">
            <x v="10"/>
          </reference>
        </references>
      </pivotArea>
    </format>
    <format dxfId="24">
      <pivotArea collapsedLevelsAreSubtotals="1" fieldPosition="0">
        <references count="4">
          <reference field="4294967294" count="1" selected="0">
            <x v="4"/>
          </reference>
          <reference field="1" count="1" selected="0">
            <x v="0"/>
          </reference>
          <reference field="2" count="1" selected="0">
            <x v="1"/>
          </reference>
          <reference field="3" count="1">
            <x v="30"/>
          </reference>
        </references>
      </pivotArea>
    </format>
    <format dxfId="23">
      <pivotArea collapsedLevelsAreSubtotals="1" fieldPosition="0">
        <references count="4">
          <reference field="4294967294" count="1" selected="0">
            <x v="4"/>
          </reference>
          <reference field="1" count="1" selected="0">
            <x v="0"/>
          </reference>
          <reference field="2" count="1" selected="0">
            <x v="1"/>
          </reference>
          <reference field="3" count="1">
            <x v="26"/>
          </reference>
        </references>
      </pivotArea>
    </format>
    <format dxfId="22">
      <pivotArea collapsedLevelsAreSubtotals="1" fieldPosition="0">
        <references count="4">
          <reference field="4294967294" count="1" selected="0">
            <x v="4"/>
          </reference>
          <reference field="1" count="1" selected="0">
            <x v="0"/>
          </reference>
          <reference field="2" count="1" selected="0">
            <x v="1"/>
          </reference>
          <reference field="3" count="1">
            <x v="16"/>
          </reference>
        </references>
      </pivotArea>
    </format>
    <format dxfId="21">
      <pivotArea collapsedLevelsAreSubtotals="1" fieldPosition="0">
        <references count="4">
          <reference field="4294967294" count="1" selected="0">
            <x v="4"/>
          </reference>
          <reference field="1" count="1" selected="0">
            <x v="0"/>
          </reference>
          <reference field="2" count="1" selected="0">
            <x v="1"/>
          </reference>
          <reference field="3" count="1">
            <x v="31"/>
          </reference>
        </references>
      </pivotArea>
    </format>
    <format dxfId="20">
      <pivotArea collapsedLevelsAreSubtotals="1" fieldPosition="0">
        <references count="4">
          <reference field="4294967294" count="1" selected="0">
            <x v="4"/>
          </reference>
          <reference field="1" count="1" selected="0">
            <x v="0"/>
          </reference>
          <reference field="2" count="1" selected="0">
            <x v="1"/>
          </reference>
          <reference field="3" count="1">
            <x v="17"/>
          </reference>
        </references>
      </pivotArea>
    </format>
    <format dxfId="19">
      <pivotArea collapsedLevelsAreSubtotals="1" fieldPosition="0">
        <references count="4">
          <reference field="4294967294" count="1" selected="0">
            <x v="4"/>
          </reference>
          <reference field="1" count="1" selected="0">
            <x v="0"/>
          </reference>
          <reference field="2" count="1" selected="0">
            <x v="1"/>
          </reference>
          <reference field="3" count="1">
            <x v="33"/>
          </reference>
        </references>
      </pivotArea>
    </format>
    <format dxfId="18">
      <pivotArea collapsedLevelsAreSubtotals="1" fieldPosition="0">
        <references count="4">
          <reference field="4294967294" count="1" selected="0">
            <x v="4"/>
          </reference>
          <reference field="1" count="1" selected="0">
            <x v="0"/>
          </reference>
          <reference field="2" count="1" selected="0">
            <x v="1"/>
          </reference>
          <reference field="3" count="1">
            <x v="34"/>
          </reference>
        </references>
      </pivotArea>
    </format>
    <format dxfId="17">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9"/>
          </reference>
        </references>
      </pivotArea>
    </format>
    <format dxfId="16">
      <pivotArea collapsedLevelsAreSubtotals="1" fieldPosition="0">
        <references count="5">
          <reference field="4294967294" count="1" selected="0">
            <x v="4"/>
          </reference>
          <reference field="1" count="1" selected="0">
            <x v="0"/>
          </reference>
          <reference field="2" count="1" selected="0">
            <x v="1"/>
          </reference>
          <reference field="3" count="1" selected="0">
            <x v="34"/>
          </reference>
          <reference field="4" count="1">
            <x v="78"/>
          </reference>
        </references>
      </pivotArea>
    </format>
    <format dxfId="15">
      <pivotArea collapsedLevelsAreSubtotals="1" fieldPosition="0">
        <references count="4">
          <reference field="4294967294" count="1" selected="0">
            <x v="4"/>
          </reference>
          <reference field="1" count="1" selected="0">
            <x v="0"/>
          </reference>
          <reference field="2" count="1" selected="0">
            <x v="1"/>
          </reference>
          <reference field="3" count="1">
            <x v="36"/>
          </reference>
        </references>
      </pivotArea>
    </format>
    <format dxfId="14">
      <pivotArea collapsedLevelsAreSubtotals="1" fieldPosition="0">
        <references count="4">
          <reference field="4294967294" count="1" selected="0">
            <x v="4"/>
          </reference>
          <reference field="1" count="1" selected="0">
            <x v="0"/>
          </reference>
          <reference field="2" count="1" selected="0">
            <x v="1"/>
          </reference>
          <reference field="3" count="1">
            <x v="37"/>
          </reference>
        </references>
      </pivotArea>
    </format>
    <format dxfId="13">
      <pivotArea collapsedLevelsAreSubtotals="1" fieldPosition="0">
        <references count="4">
          <reference field="4294967294" count="1" selected="0">
            <x v="4"/>
          </reference>
          <reference field="1" count="1" selected="0">
            <x v="0"/>
          </reference>
          <reference field="2" count="1" selected="0">
            <x v="1"/>
          </reference>
          <reference field="3" count="1">
            <x v="20"/>
          </reference>
        </references>
      </pivotArea>
    </format>
    <format dxfId="12">
      <pivotArea collapsedLevelsAreSubtotals="1" fieldPosition="0">
        <references count="4">
          <reference field="4294967294" count="1" selected="0">
            <x v="4"/>
          </reference>
          <reference field="1" count="1" selected="0">
            <x v="0"/>
          </reference>
          <reference field="2" count="1" selected="0">
            <x v="1"/>
          </reference>
          <reference field="3" count="1">
            <x v="21"/>
          </reference>
        </references>
      </pivotArea>
    </format>
    <format dxfId="11">
      <pivotArea outline="0" collapsedLevelsAreSubtotals="1" fieldPosition="0">
        <references count="1">
          <reference field="4294967294" count="2" selected="0">
            <x v="1"/>
            <x v="2"/>
          </reference>
        </references>
      </pivotArea>
    </format>
    <format dxfId="10">
      <pivotArea dataOnly="0" labelOnly="1" outline="0" fieldPosition="0">
        <references count="1">
          <reference field="4294967294" count="2">
            <x v="1"/>
            <x v="2"/>
          </reference>
        </references>
      </pivotArea>
    </format>
    <format dxfId="9">
      <pivotArea outline="0" collapsedLevelsAreSubtotals="1" fieldPosition="0">
        <references count="1">
          <reference field="4294967294" count="3" selected="0">
            <x v="7"/>
            <x v="8"/>
            <x v="9"/>
          </reference>
        </references>
      </pivotArea>
    </format>
    <format dxfId="8">
      <pivotArea outline="0" collapsedLevelsAreSubtotals="1" fieldPosition="0">
        <references count="1">
          <reference field="4294967294" count="3" selected="0">
            <x v="3"/>
            <x v="4"/>
            <x v="5"/>
          </reference>
        </references>
      </pivotArea>
    </format>
  </formats>
  <pivotTableStyleInfo name="PivotStyleLight16" showRowHeaders="1" showColHeaders="1" showRowStripes="0" showColStripes="0" showLastColumn="1"/>
  <filters count="1">
    <filter fld="5" type="valueNotEqual" evalOrder="-1" id="1" iMeasureFld="1">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B6E598A-42CF-4EB3-AD4A-C32AB7B316D5}" name="PivotTable1" cacheId="158" applyNumberFormats="0" applyBorderFormats="0" applyFontFormats="0" applyPatternFormats="0" applyAlignmentFormats="0" applyWidthHeightFormats="1" dataCaption="Values" updatedVersion="8" minRefreshableVersion="3" useAutoFormatting="1" rowGrandTotals="0" colGrandTotals="0" itemPrintTitles="1" createdVersion="7" indent="0" compact="0" compactData="0" gridDropZones="1" multipleFieldFilters="0" colHeaderCaption="Zones">
  <location ref="A3:E55" firstHeaderRow="1" firstDataRow="3" firstDataCol="3"/>
  <pivotFields count="17">
    <pivotField compact="0" numFmtId="3" outline="0" showAll="0"/>
    <pivotField compact="0" outline="0" showAll="0"/>
    <pivotField axis="axisCol" compact="0" outline="0" showAll="0">
      <items count="3">
        <item x="0"/>
        <item x="1"/>
        <item t="default"/>
      </items>
    </pivotField>
    <pivotField axis="axisRow" compact="0" outline="0" showAll="0" defaultSubtotal="0">
      <items count="2">
        <item x="1"/>
        <item x="0"/>
      </items>
    </pivotField>
    <pivotField compact="0" outline="0" showAll="0"/>
    <pivotField compact="0" outline="0" showAll="0" defaultSubtotal="0"/>
    <pivotField axis="axisRow" compact="0" outline="0" showAll="0">
      <items count="28">
        <item x="21"/>
        <item x="23"/>
        <item x="15"/>
        <item x="3"/>
        <item x="1"/>
        <item x="4"/>
        <item x="5"/>
        <item x="18"/>
        <item x="19"/>
        <item x="20"/>
        <item x="26"/>
        <item x="0"/>
        <item x="6"/>
        <item x="7"/>
        <item x="8"/>
        <item x="11"/>
        <item x="12"/>
        <item x="16"/>
        <item x="17"/>
        <item x="22"/>
        <item x="24"/>
        <item x="2"/>
        <item x="9"/>
        <item x="10"/>
        <item x="13"/>
        <item x="14"/>
        <item x="25"/>
        <item t="default"/>
      </items>
    </pivotField>
    <pivotField compact="0" outline="0" showAll="0"/>
    <pivotField axis="axisRow" compact="0" outline="0" showAll="0" defaultSubtotal="0">
      <items count="7">
        <item x="4"/>
        <item x="0"/>
        <item x="5"/>
        <item x="6"/>
        <item x="1"/>
        <item x="2"/>
        <item x="3"/>
      </items>
    </pivotField>
    <pivotField axis="axisCol" compact="0" outline="0" showAll="0" defaultSubtotal="0">
      <items count="1">
        <item x="0"/>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s>
  <rowFields count="3">
    <field x="3"/>
    <field x="8"/>
    <field x="6"/>
  </rowFields>
  <rowItems count="50">
    <i>
      <x/>
      <x/>
      <x/>
    </i>
    <i r="2">
      <x v="2"/>
    </i>
    <i r="2">
      <x v="9"/>
    </i>
    <i r="2">
      <x v="15"/>
    </i>
    <i r="2">
      <x v="16"/>
    </i>
    <i r="2">
      <x v="17"/>
    </i>
    <i r="2">
      <x v="18"/>
    </i>
    <i r="2">
      <x v="19"/>
    </i>
    <i r="2">
      <x v="20"/>
    </i>
    <i r="2">
      <x v="26"/>
    </i>
    <i r="1">
      <x v="2"/>
      <x/>
    </i>
    <i r="2">
      <x v="1"/>
    </i>
    <i r="2">
      <x v="2"/>
    </i>
    <i r="2">
      <x v="7"/>
    </i>
    <i r="2">
      <x v="8"/>
    </i>
    <i r="2">
      <x v="9"/>
    </i>
    <i r="2">
      <x v="10"/>
    </i>
    <i r="2">
      <x v="15"/>
    </i>
    <i r="2">
      <x v="16"/>
    </i>
    <i r="2">
      <x v="17"/>
    </i>
    <i r="2">
      <x v="18"/>
    </i>
    <i r="2">
      <x v="19"/>
    </i>
    <i r="2">
      <x v="20"/>
    </i>
    <i r="2">
      <x v="26"/>
    </i>
    <i r="1">
      <x v="3"/>
      <x/>
    </i>
    <i r="2">
      <x v="2"/>
    </i>
    <i r="2">
      <x v="9"/>
    </i>
    <i r="2">
      <x v="17"/>
    </i>
    <i r="2">
      <x v="19"/>
    </i>
    <i>
      <x v="1"/>
      <x v="1"/>
      <x v="2"/>
    </i>
    <i r="2">
      <x v="3"/>
    </i>
    <i r="2">
      <x v="4"/>
    </i>
    <i r="2">
      <x v="5"/>
    </i>
    <i r="2">
      <x v="6"/>
    </i>
    <i r="2">
      <x v="11"/>
    </i>
    <i r="2">
      <x v="12"/>
    </i>
    <i r="2">
      <x v="13"/>
    </i>
    <i r="2">
      <x v="14"/>
    </i>
    <i r="2">
      <x v="15"/>
    </i>
    <i r="2">
      <x v="16"/>
    </i>
    <i r="2">
      <x v="21"/>
    </i>
    <i r="2">
      <x v="25"/>
    </i>
    <i r="1">
      <x v="4"/>
      <x v="22"/>
    </i>
    <i r="2">
      <x v="23"/>
    </i>
    <i r="2">
      <x v="24"/>
    </i>
    <i r="1">
      <x v="5"/>
      <x v="22"/>
    </i>
    <i r="2">
      <x v="23"/>
    </i>
    <i r="2">
      <x v="24"/>
    </i>
    <i r="1">
      <x v="6"/>
      <x v="2"/>
    </i>
    <i r="2">
      <x v="25"/>
    </i>
  </rowItems>
  <colFields count="2">
    <field x="9"/>
    <field x="2"/>
  </colFields>
  <colItems count="2">
    <i>
      <x/>
      <x/>
    </i>
    <i r="1">
      <x v="1"/>
    </i>
  </colItems>
  <dataFields count="1">
    <dataField name="Sum of Discount %" fld="13" baseField="0" baseItem="0" numFmtId="10"/>
  </dataFields>
  <formats count="4">
    <format dxfId="7">
      <pivotArea outline="0" collapsedLevelsAreSubtotals="1" fieldPosition="0"/>
    </format>
    <format dxfId="6">
      <pivotArea field="9" type="button" dataOnly="0" labelOnly="1" outline="0" axis="axisCol" fieldPosition="0"/>
    </format>
    <format dxfId="5">
      <pivotArea type="topRight" dataOnly="0" labelOnly="1" outline="0" fieldPosition="0"/>
    </format>
    <format dxfId="4">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4FCA1DB-17FB-498A-B7A2-A1854DFE0BDB}" name="PivotTable2" cacheId="15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C12" firstHeaderRow="0" firstDataRow="1" firstDataCol="1" rowPageCount="1" colPageCount="1"/>
  <pivotFields count="11">
    <pivotField axis="axisRow" showAll="0">
      <items count="3">
        <item x="0"/>
        <item x="1"/>
        <item t="default"/>
      </items>
    </pivotField>
    <pivotField axis="axisRow" showAll="0">
      <items count="4">
        <item x="0"/>
        <item x="2"/>
        <item x="1"/>
        <item t="default"/>
      </items>
    </pivotField>
    <pivotField axis="axisRow" showAll="0">
      <items count="2">
        <item x="0"/>
        <item t="default"/>
      </items>
    </pivotField>
    <pivotField axis="axisPage" showAll="0">
      <items count="16">
        <item x="0"/>
        <item x="5"/>
        <item x="2"/>
        <item x="12"/>
        <item x="13"/>
        <item x="14"/>
        <item x="4"/>
        <item x="6"/>
        <item x="7"/>
        <item x="1"/>
        <item x="10"/>
        <item x="3"/>
        <item x="8"/>
        <item x="9"/>
        <item x="11"/>
        <item t="default"/>
      </items>
    </pivotField>
    <pivotField showAll="0"/>
    <pivotField showAll="0"/>
    <pivotField showAll="0"/>
    <pivotField dataField="1" numFmtId="164" showAll="0"/>
    <pivotField dataField="1" numFmtId="166" showAll="0"/>
    <pivotField showAll="0"/>
    <pivotField showAll="0"/>
  </pivotFields>
  <rowFields count="3">
    <field x="0"/>
    <field x="1"/>
    <field x="2"/>
  </rowFields>
  <rowItems count="9">
    <i>
      <x/>
    </i>
    <i r="1">
      <x/>
    </i>
    <i r="2">
      <x/>
    </i>
    <i r="1">
      <x v="2"/>
    </i>
    <i r="2">
      <x/>
    </i>
    <i>
      <x v="1"/>
    </i>
    <i r="1">
      <x v="1"/>
    </i>
    <i r="2">
      <x/>
    </i>
    <i t="grand">
      <x/>
    </i>
  </rowItems>
  <colFields count="1">
    <field x="-2"/>
  </colFields>
  <colItems count="2">
    <i>
      <x/>
    </i>
    <i i="1">
      <x v="1"/>
    </i>
  </colItems>
  <pageFields count="1">
    <pageField fld="3" hier="-1"/>
  </pageFields>
  <dataFields count="2">
    <dataField name="Count" fld="8" baseField="0" baseItem="0" numFmtId="166"/>
    <dataField name="Invoiced Charge" fld="7" baseField="0" baseItem="0" numFmtId="164"/>
  </dataFields>
  <formats count="2">
    <format dxfId="1">
      <pivotArea outline="0" collapsedLevelsAreSubtotals="1" fieldPosition="0"/>
    </format>
    <format dxfId="0">
      <pivotArea outline="0" collapsedLevelsAreSubtotals="1" fieldPosition="0">
        <references count="1">
          <reference field="4294967294" count="1" selected="0">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C85233-D1CD-415A-B2FC-4966505541A7}" name="PivotTable1" cacheId="143"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6:F7" firstHeaderRow="0" firstDataRow="1" firstDataCol="0" rowPageCount="4" colPageCount="1"/>
  <pivotFields count="11">
    <pivotField axis="axisPage" showAll="0">
      <items count="3">
        <item x="0"/>
        <item x="1"/>
        <item t="default"/>
      </items>
    </pivotField>
    <pivotField axis="axisPage" showAll="0">
      <items count="4">
        <item x="0"/>
        <item x="2"/>
        <item x="1"/>
        <item t="default"/>
      </items>
    </pivotField>
    <pivotField axis="axisPage" showAll="0">
      <items count="2">
        <item x="0"/>
        <item t="default"/>
      </items>
    </pivotField>
    <pivotField axis="axisPage" showAll="0">
      <items count="16">
        <item x="0"/>
        <item x="5"/>
        <item x="2"/>
        <item x="12"/>
        <item x="13"/>
        <item x="14"/>
        <item x="4"/>
        <item x="6"/>
        <item x="7"/>
        <item x="1"/>
        <item x="10"/>
        <item x="3"/>
        <item x="8"/>
        <item x="9"/>
        <item x="11"/>
        <item t="default"/>
      </items>
    </pivotField>
    <pivotField showAll="0"/>
    <pivotField showAll="0"/>
    <pivotField showAll="0"/>
    <pivotField dataField="1" numFmtId="164" showAll="0"/>
    <pivotField dataField="1" numFmtId="166" showAll="0"/>
    <pivotField showAll="0"/>
    <pivotField showAll="0"/>
  </pivotFields>
  <rowItems count="1">
    <i/>
  </rowItems>
  <colFields count="1">
    <field x="-2"/>
  </colFields>
  <colItems count="2">
    <i>
      <x/>
    </i>
    <i i="1">
      <x v="1"/>
    </i>
  </colItems>
  <pageFields count="4">
    <pageField fld="0" hier="-1"/>
    <pageField fld="1" hier="-1"/>
    <pageField fld="2" hier="-1"/>
    <pageField fld="3" hier="-1"/>
  </pageFields>
  <dataFields count="2">
    <dataField name="Count" fld="8" baseField="0" baseItem="0" numFmtId="166"/>
    <dataField name="Invoiced Charge" fld="7" baseField="0" baseItem="0" numFmtId="164"/>
  </dataFields>
  <formats count="2">
    <format dxfId="3">
      <pivotArea outline="0" collapsedLevelsAreSubtotals="1" fieldPosition="0"/>
    </format>
    <format dxfId="2">
      <pivotArea outline="0" collapsedLevelsAreSubtotals="1" fieldPosition="0">
        <references count="1">
          <reference field="4294967294" count="1" selected="0">
            <x v="1"/>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FedEx True">
      <a:dk1>
        <a:srgbClr val="3B3B3B"/>
      </a:dk1>
      <a:lt1>
        <a:srgbClr val="FFFFFF"/>
      </a:lt1>
      <a:dk2>
        <a:srgbClr val="260946"/>
      </a:dk2>
      <a:lt2>
        <a:srgbClr val="999999"/>
      </a:lt2>
      <a:accent1>
        <a:srgbClr val="660099"/>
      </a:accent1>
      <a:accent2>
        <a:srgbClr val="FF6600"/>
      </a:accent2>
      <a:accent3>
        <a:srgbClr val="00CC00"/>
      </a:accent3>
      <a:accent4>
        <a:srgbClr val="0099CC"/>
      </a:accent4>
      <a:accent5>
        <a:srgbClr val="FF0033"/>
      </a:accent5>
      <a:accent6>
        <a:srgbClr val="FFCC00"/>
      </a:accent6>
      <a:hlink>
        <a:srgbClr val="00B0F0"/>
      </a:hlink>
      <a:folHlink>
        <a:srgbClr val="7030A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I30"/>
  <sheetViews>
    <sheetView zoomScaleNormal="100" workbookViewId="0">
      <selection activeCell="H7" sqref="H7"/>
    </sheetView>
  </sheetViews>
  <sheetFormatPr defaultColWidth="9.1796875" defaultRowHeight="14.5" x14ac:dyDescent="0.35"/>
  <cols>
    <col min="1" max="1" width="3" style="3" customWidth="1"/>
    <col min="2" max="2" width="13.7265625" style="3" customWidth="1"/>
    <col min="3" max="3" width="15.1796875" style="3" customWidth="1"/>
    <col min="4" max="4" width="6.1796875" style="3" customWidth="1"/>
    <col min="5" max="5" width="13.7265625" style="3" customWidth="1"/>
    <col min="6" max="6" width="15.1796875" style="3" customWidth="1"/>
    <col min="7" max="7" width="6.1796875" style="3" customWidth="1"/>
    <col min="8" max="8" width="15.54296875" style="3" bestFit="1" customWidth="1"/>
    <col min="9" max="9" width="15.1796875" style="3" customWidth="1"/>
    <col min="10" max="17" width="10.453125" style="3" customWidth="1"/>
    <col min="18" max="18" width="20.26953125" style="3" bestFit="1" customWidth="1"/>
    <col min="19" max="19" width="54.7265625" style="3" customWidth="1"/>
    <col min="20" max="20" width="10.453125" style="3" customWidth="1"/>
    <col min="21" max="21" width="15.1796875" style="3" customWidth="1"/>
    <col min="22" max="22" width="11.1796875" style="3" customWidth="1"/>
    <col min="23" max="26" width="10.453125" style="3" customWidth="1"/>
    <col min="27" max="16384" width="9.1796875" style="3"/>
  </cols>
  <sheetData>
    <row r="1" spans="2:9" x14ac:dyDescent="0.35">
      <c r="B1" s="565" t="s">
        <v>1311</v>
      </c>
      <c r="C1" s="566"/>
      <c r="D1" s="13"/>
      <c r="E1" s="569" t="s">
        <v>1317</v>
      </c>
      <c r="F1" s="569"/>
      <c r="G1" s="13"/>
      <c r="H1" s="570" t="s">
        <v>1318</v>
      </c>
      <c r="I1" s="571"/>
    </row>
    <row r="2" spans="2:9" x14ac:dyDescent="0.35">
      <c r="B2" s="44" t="s">
        <v>1</v>
      </c>
      <c r="C2" s="45" t="s">
        <v>13</v>
      </c>
      <c r="D2" s="13"/>
      <c r="E2" s="199" t="s">
        <v>1320</v>
      </c>
      <c r="F2" s="198">
        <v>202503</v>
      </c>
      <c r="G2" s="13"/>
      <c r="H2" s="199" t="s">
        <v>1637</v>
      </c>
      <c r="I2" s="325">
        <f ca="1">TODAY()</f>
        <v>46267</v>
      </c>
    </row>
    <row r="3" spans="2:9" x14ac:dyDescent="0.35">
      <c r="B3" s="46" t="s">
        <v>1319</v>
      </c>
      <c r="C3" s="47"/>
      <c r="D3" s="13"/>
      <c r="E3" s="199" t="s">
        <v>1321</v>
      </c>
      <c r="F3" s="198">
        <v>202512</v>
      </c>
      <c r="G3" s="13"/>
      <c r="H3" s="199" t="s">
        <v>1638</v>
      </c>
      <c r="I3" s="325">
        <f ca="1">TODAY()</f>
        <v>46267</v>
      </c>
    </row>
    <row r="4" spans="2:9" x14ac:dyDescent="0.35">
      <c r="B4" s="202"/>
      <c r="C4" s="203"/>
      <c r="D4" s="14"/>
      <c r="E4" s="14"/>
      <c r="F4" s="14"/>
      <c r="G4" s="14"/>
      <c r="H4" s="14"/>
      <c r="I4" s="14"/>
    </row>
    <row r="5" spans="2:9" x14ac:dyDescent="0.35">
      <c r="B5" s="572" t="s">
        <v>14</v>
      </c>
      <c r="C5" s="572"/>
      <c r="D5" s="572"/>
      <c r="E5" s="572"/>
      <c r="F5" s="572"/>
      <c r="G5" s="572"/>
      <c r="H5" s="572"/>
      <c r="I5" s="572"/>
    </row>
    <row r="6" spans="2:9" x14ac:dyDescent="0.35">
      <c r="B6" s="202" t="s">
        <v>940</v>
      </c>
      <c r="C6" s="203"/>
      <c r="D6" s="14"/>
      <c r="E6" s="14"/>
      <c r="F6" s="14"/>
      <c r="G6" s="14"/>
      <c r="H6" s="14"/>
      <c r="I6" s="14"/>
    </row>
    <row r="7" spans="2:9" x14ac:dyDescent="0.35">
      <c r="B7" s="196"/>
      <c r="C7" s="197"/>
      <c r="D7" s="14"/>
      <c r="E7" s="14"/>
      <c r="F7" s="14"/>
      <c r="G7" s="14"/>
      <c r="H7" s="14"/>
      <c r="I7" s="14"/>
    </row>
    <row r="8" spans="2:9" x14ac:dyDescent="0.35">
      <c r="B8" s="567" t="s">
        <v>1312</v>
      </c>
      <c r="C8" s="568"/>
      <c r="D8" s="14"/>
      <c r="E8" s="567" t="s">
        <v>1322</v>
      </c>
      <c r="F8" s="568"/>
      <c r="G8" s="14"/>
      <c r="H8" s="567" t="s">
        <v>1323</v>
      </c>
      <c r="I8" s="568"/>
    </row>
    <row r="9" spans="2:9" x14ac:dyDescent="0.35">
      <c r="B9" s="50"/>
      <c r="C9" s="471">
        <v>488185414</v>
      </c>
      <c r="D9" s="43"/>
      <c r="E9" s="50"/>
      <c r="F9" s="51"/>
      <c r="G9" s="43"/>
      <c r="H9" s="50"/>
      <c r="I9" s="51"/>
    </row>
    <row r="10" spans="2:9" ht="15" customHeight="1" x14ac:dyDescent="0.35">
      <c r="B10" s="48"/>
      <c r="C10" s="49"/>
      <c r="D10" s="200"/>
      <c r="E10" s="48"/>
      <c r="F10" s="49"/>
      <c r="G10" s="43"/>
      <c r="H10" s="48"/>
      <c r="I10" s="49"/>
    </row>
    <row r="11" spans="2:9" x14ac:dyDescent="0.35">
      <c r="B11" s="48"/>
      <c r="C11" s="49"/>
      <c r="D11" s="195"/>
      <c r="E11" s="48"/>
      <c r="F11" s="49"/>
      <c r="G11" s="195"/>
      <c r="H11" s="48"/>
      <c r="I11" s="49"/>
    </row>
    <row r="12" spans="2:9" x14ac:dyDescent="0.35">
      <c r="B12" s="48"/>
      <c r="C12" s="49"/>
      <c r="D12" s="195"/>
      <c r="E12" s="48"/>
      <c r="F12" s="49"/>
      <c r="G12" s="195"/>
      <c r="H12" s="48"/>
      <c r="I12" s="49"/>
    </row>
    <row r="13" spans="2:9" x14ac:dyDescent="0.35">
      <c r="B13" s="50"/>
      <c r="C13" s="52"/>
      <c r="E13" s="50"/>
      <c r="F13" s="52"/>
      <c r="H13" s="50"/>
      <c r="I13" s="52"/>
    </row>
    <row r="14" spans="2:9" x14ac:dyDescent="0.35">
      <c r="D14" s="53"/>
      <c r="E14" s="53"/>
      <c r="F14" s="53"/>
      <c r="G14" s="53"/>
      <c r="H14" s="53"/>
      <c r="I14" s="15"/>
    </row>
    <row r="15" spans="2:9" ht="15.75" customHeight="1" x14ac:dyDescent="0.35">
      <c r="B15" s="573" t="s">
        <v>15</v>
      </c>
      <c r="C15" s="573"/>
      <c r="D15" s="573"/>
      <c r="E15" s="573"/>
      <c r="F15" s="573"/>
      <c r="G15" s="573"/>
      <c r="H15" s="573"/>
      <c r="I15" s="573"/>
    </row>
    <row r="16" spans="2:9" ht="15" customHeight="1" x14ac:dyDescent="0.35">
      <c r="B16" s="201" t="s">
        <v>940</v>
      </c>
      <c r="D16" s="53"/>
      <c r="E16" s="53"/>
      <c r="F16" s="53"/>
      <c r="G16" s="53"/>
      <c r="H16" s="53"/>
    </row>
    <row r="17" spans="2:9" ht="15.75" customHeight="1" x14ac:dyDescent="0.45">
      <c r="D17" s="563"/>
      <c r="E17" s="564"/>
      <c r="F17" s="564"/>
      <c r="G17" s="564"/>
      <c r="H17" s="564"/>
    </row>
    <row r="18" spans="2:9" ht="15.75" customHeight="1" x14ac:dyDescent="0.35">
      <c r="B18" s="561" t="s">
        <v>1326</v>
      </c>
      <c r="C18" s="562"/>
      <c r="D18" s="14"/>
      <c r="E18" s="561" t="s">
        <v>1325</v>
      </c>
      <c r="F18" s="562"/>
      <c r="G18" s="14"/>
      <c r="H18" s="561" t="s">
        <v>1324</v>
      </c>
      <c r="I18" s="562"/>
    </row>
    <row r="19" spans="2:9" ht="15" customHeight="1" x14ac:dyDescent="0.35">
      <c r="B19" s="50"/>
      <c r="C19" s="471">
        <v>488185414</v>
      </c>
      <c r="D19" s="43"/>
      <c r="E19" s="50"/>
      <c r="F19" s="51"/>
      <c r="G19" s="43"/>
      <c r="H19" s="50"/>
      <c r="I19" s="51"/>
    </row>
    <row r="20" spans="2:9" ht="15" customHeight="1" x14ac:dyDescent="0.35">
      <c r="B20" s="48"/>
      <c r="C20" s="49"/>
      <c r="D20" s="200"/>
      <c r="E20" s="48"/>
      <c r="F20" s="49"/>
      <c r="G20" s="43"/>
      <c r="H20" s="48"/>
      <c r="I20" s="49"/>
    </row>
    <row r="21" spans="2:9" ht="15" customHeight="1" x14ac:dyDescent="0.35">
      <c r="B21" s="48"/>
      <c r="C21" s="49"/>
      <c r="D21" s="195"/>
      <c r="E21" s="48"/>
      <c r="F21" s="49"/>
      <c r="G21" s="195"/>
      <c r="H21" s="48"/>
      <c r="I21" s="49"/>
    </row>
    <row r="22" spans="2:9" ht="15" customHeight="1" x14ac:dyDescent="0.35">
      <c r="B22" s="48"/>
      <c r="C22" s="49"/>
      <c r="D22" s="195"/>
      <c r="E22" s="48"/>
      <c r="F22" s="49"/>
      <c r="G22" s="195"/>
      <c r="H22" s="48"/>
      <c r="I22" s="49"/>
    </row>
    <row r="23" spans="2:9" ht="15" customHeight="1" x14ac:dyDescent="0.35">
      <c r="B23" s="50"/>
      <c r="C23" s="52"/>
      <c r="E23" s="50"/>
      <c r="F23" s="52"/>
      <c r="H23" s="50"/>
      <c r="I23" s="52"/>
    </row>
    <row r="24" spans="2:9" ht="15" customHeight="1" x14ac:dyDescent="0.35"/>
    <row r="25" spans="2:9" ht="15" customHeight="1" x14ac:dyDescent="0.35">
      <c r="B25" s="205" t="s">
        <v>1421</v>
      </c>
    </row>
    <row r="26" spans="2:9" ht="15" customHeight="1" x14ac:dyDescent="0.35">
      <c r="B26" s="3" t="s">
        <v>1422</v>
      </c>
    </row>
    <row r="27" spans="2:9" ht="15" customHeight="1" x14ac:dyDescent="0.35">
      <c r="B27" s="3" t="s">
        <v>1423</v>
      </c>
    </row>
    <row r="28" spans="2:9" ht="15" customHeight="1" x14ac:dyDescent="0.35">
      <c r="B28" s="3" t="s">
        <v>1424</v>
      </c>
    </row>
    <row r="29" spans="2:9" ht="15" customHeight="1" x14ac:dyDescent="0.35">
      <c r="B29" s="3" t="s">
        <v>1425</v>
      </c>
    </row>
    <row r="30" spans="2:9" ht="15" customHeight="1" x14ac:dyDescent="0.35">
      <c r="B30" s="3" t="s">
        <v>1426</v>
      </c>
    </row>
  </sheetData>
  <sheetProtection selectLockedCells="1"/>
  <mergeCells count="12">
    <mergeCell ref="B18:C18"/>
    <mergeCell ref="E18:F18"/>
    <mergeCell ref="H18:I18"/>
    <mergeCell ref="D17:H17"/>
    <mergeCell ref="B1:C1"/>
    <mergeCell ref="B8:C8"/>
    <mergeCell ref="E1:F1"/>
    <mergeCell ref="H1:I1"/>
    <mergeCell ref="E8:F8"/>
    <mergeCell ref="H8:I8"/>
    <mergeCell ref="B5:I5"/>
    <mergeCell ref="B15:I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Report">
                <anchor moveWithCells="1">
                  <from>
                    <xdr:col>9</xdr:col>
                    <xdr:colOff>603250</xdr:colOff>
                    <xdr:row>4</xdr:row>
                    <xdr:rowOff>184150</xdr:rowOff>
                  </from>
                  <to>
                    <xdr:col>14</xdr:col>
                    <xdr:colOff>355600</xdr:colOff>
                    <xdr:row>13</xdr:row>
                    <xdr:rowOff>0</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2</xdr:col>
                    <xdr:colOff>698500</xdr:colOff>
                    <xdr:row>2</xdr:row>
                    <xdr:rowOff>38100</xdr:rowOff>
                  </from>
                  <to>
                    <xdr:col>2</xdr:col>
                    <xdr:colOff>869950</xdr:colOff>
                    <xdr:row>2</xdr:row>
                    <xdr:rowOff>165100</xdr:rowOff>
                  </to>
                </anchor>
              </controlPr>
            </control>
          </mc:Choice>
        </mc:AlternateContent>
        <mc:AlternateContent xmlns:mc="http://schemas.openxmlformats.org/markup-compatibility/2006">
          <mc:Choice Requires="x14">
            <control shapeId="1032" r:id="rId6" name="Check Box 8">
              <controlPr defaultSize="0" autoFill="0" autoLine="0" autoPict="0">
                <anchor moveWithCells="1">
                  <from>
                    <xdr:col>2</xdr:col>
                    <xdr:colOff>0</xdr:colOff>
                    <xdr:row>4</xdr:row>
                    <xdr:rowOff>171450</xdr:rowOff>
                  </from>
                  <to>
                    <xdr:col>4</xdr:col>
                    <xdr:colOff>146050</xdr:colOff>
                    <xdr:row>6</xdr:row>
                    <xdr:rowOff>0</xdr:rowOff>
                  </to>
                </anchor>
              </controlPr>
            </control>
          </mc:Choice>
        </mc:AlternateContent>
        <mc:AlternateContent xmlns:mc="http://schemas.openxmlformats.org/markup-compatibility/2006">
          <mc:Choice Requires="x14">
            <control shapeId="1033" r:id="rId7" name="Check Box 9">
              <controlPr defaultSize="0" autoFill="0" autoLine="0" autoPict="0">
                <anchor moveWithCells="1">
                  <from>
                    <xdr:col>2</xdr:col>
                    <xdr:colOff>0</xdr:colOff>
                    <xdr:row>5</xdr:row>
                    <xdr:rowOff>165100</xdr:rowOff>
                  </from>
                  <to>
                    <xdr:col>4</xdr:col>
                    <xdr:colOff>285750</xdr:colOff>
                    <xdr:row>6</xdr:row>
                    <xdr:rowOff>152400</xdr:rowOff>
                  </to>
                </anchor>
              </controlPr>
            </control>
          </mc:Choice>
        </mc:AlternateContent>
        <mc:AlternateContent xmlns:mc="http://schemas.openxmlformats.org/markup-compatibility/2006">
          <mc:Choice Requires="x14">
            <control shapeId="1034" r:id="rId8" name="Check Box 10">
              <controlPr defaultSize="0" autoFill="0" autoLine="0" autoPict="0">
                <anchor moveWithCells="1">
                  <from>
                    <xdr:col>2</xdr:col>
                    <xdr:colOff>95250</xdr:colOff>
                    <xdr:row>14</xdr:row>
                    <xdr:rowOff>171450</xdr:rowOff>
                  </from>
                  <to>
                    <xdr:col>3</xdr:col>
                    <xdr:colOff>146050</xdr:colOff>
                    <xdr:row>16</xdr:row>
                    <xdr:rowOff>0</xdr:rowOff>
                  </to>
                </anchor>
              </controlPr>
            </control>
          </mc:Choice>
        </mc:AlternateContent>
        <mc:AlternateContent xmlns:mc="http://schemas.openxmlformats.org/markup-compatibility/2006">
          <mc:Choice Requires="x14">
            <control shapeId="1035" r:id="rId9" name="Check Box 11">
              <controlPr defaultSize="0" autoFill="0" autoLine="0" autoPict="0">
                <anchor moveWithCells="1">
                  <from>
                    <xdr:col>4</xdr:col>
                    <xdr:colOff>457200</xdr:colOff>
                    <xdr:row>14</xdr:row>
                    <xdr:rowOff>171450</xdr:rowOff>
                  </from>
                  <to>
                    <xdr:col>5</xdr:col>
                    <xdr:colOff>603250</xdr:colOff>
                    <xdr:row>16</xdr:row>
                    <xdr:rowOff>0</xdr:rowOff>
                  </to>
                </anchor>
              </controlPr>
            </control>
          </mc:Choice>
        </mc:AlternateContent>
        <mc:AlternateContent xmlns:mc="http://schemas.openxmlformats.org/markup-compatibility/2006">
          <mc:Choice Requires="x14">
            <control shapeId="1036" r:id="rId10" name="Check Box 12">
              <controlPr defaultSize="0" autoFill="0" autoLine="0" autoPict="0">
                <anchor moveWithCells="1">
                  <from>
                    <xdr:col>2</xdr:col>
                    <xdr:colOff>95250</xdr:colOff>
                    <xdr:row>16</xdr:row>
                    <xdr:rowOff>12700</xdr:rowOff>
                  </from>
                  <to>
                    <xdr:col>3</xdr:col>
                    <xdr:colOff>361950</xdr:colOff>
                    <xdr:row>17</xdr:row>
                    <xdr:rowOff>0</xdr:rowOff>
                  </to>
                </anchor>
              </controlPr>
            </control>
          </mc:Choice>
        </mc:AlternateContent>
        <mc:AlternateContent xmlns:mc="http://schemas.openxmlformats.org/markup-compatibility/2006">
          <mc:Choice Requires="x14">
            <control shapeId="1037" r:id="rId11" name="Drop Down 13">
              <controlPr defaultSize="0" autoLine="0" autoPict="0">
                <anchor moveWithCells="1">
                  <from>
                    <xdr:col>1</xdr:col>
                    <xdr:colOff>19050</xdr:colOff>
                    <xdr:row>8</xdr:row>
                    <xdr:rowOff>31750</xdr:rowOff>
                  </from>
                  <to>
                    <xdr:col>1</xdr:col>
                    <xdr:colOff>869950</xdr:colOff>
                    <xdr:row>8</xdr:row>
                    <xdr:rowOff>184150</xdr:rowOff>
                  </to>
                </anchor>
              </controlPr>
            </control>
          </mc:Choice>
        </mc:AlternateContent>
        <mc:AlternateContent xmlns:mc="http://schemas.openxmlformats.org/markup-compatibility/2006">
          <mc:Choice Requires="x14">
            <control shapeId="1039" r:id="rId12" name="Drop Down 15">
              <controlPr defaultSize="0" autoLine="0" autoPict="0">
                <anchor moveWithCells="1">
                  <from>
                    <xdr:col>1</xdr:col>
                    <xdr:colOff>19050</xdr:colOff>
                    <xdr:row>9</xdr:row>
                    <xdr:rowOff>31750</xdr:rowOff>
                  </from>
                  <to>
                    <xdr:col>1</xdr:col>
                    <xdr:colOff>869950</xdr:colOff>
                    <xdr:row>9</xdr:row>
                    <xdr:rowOff>184150</xdr:rowOff>
                  </to>
                </anchor>
              </controlPr>
            </control>
          </mc:Choice>
        </mc:AlternateContent>
        <mc:AlternateContent xmlns:mc="http://schemas.openxmlformats.org/markup-compatibility/2006">
          <mc:Choice Requires="x14">
            <control shapeId="1051" r:id="rId13" name="Check Box 27">
              <controlPr defaultSize="0" autoFill="0" autoLine="0" autoPict="0">
                <anchor moveWithCells="1">
                  <from>
                    <xdr:col>4</xdr:col>
                    <xdr:colOff>412750</xdr:colOff>
                    <xdr:row>5</xdr:row>
                    <xdr:rowOff>19050</xdr:rowOff>
                  </from>
                  <to>
                    <xdr:col>5</xdr:col>
                    <xdr:colOff>933450</xdr:colOff>
                    <xdr:row>6</xdr:row>
                    <xdr:rowOff>0</xdr:rowOff>
                  </to>
                </anchor>
              </controlPr>
            </control>
          </mc:Choice>
        </mc:AlternateContent>
        <mc:AlternateContent xmlns:mc="http://schemas.openxmlformats.org/markup-compatibility/2006">
          <mc:Choice Requires="x14">
            <control shapeId="1053" r:id="rId14" name="Check Box 29">
              <controlPr defaultSize="0" autoFill="0" autoLine="0" autoPict="0">
                <anchor moveWithCells="1">
                  <from>
                    <xdr:col>4</xdr:col>
                    <xdr:colOff>412750</xdr:colOff>
                    <xdr:row>5</xdr:row>
                    <xdr:rowOff>171450</xdr:rowOff>
                  </from>
                  <to>
                    <xdr:col>6</xdr:col>
                    <xdr:colOff>190500</xdr:colOff>
                    <xdr:row>6</xdr:row>
                    <xdr:rowOff>165100</xdr:rowOff>
                  </to>
                </anchor>
              </controlPr>
            </control>
          </mc:Choice>
        </mc:AlternateContent>
        <mc:AlternateContent xmlns:mc="http://schemas.openxmlformats.org/markup-compatibility/2006">
          <mc:Choice Requires="x14">
            <control shapeId="1059" r:id="rId15" name="Drop Down 35">
              <controlPr defaultSize="0" autoLine="0" autoPict="0">
                <anchor moveWithCells="1">
                  <from>
                    <xdr:col>1</xdr:col>
                    <xdr:colOff>19050</xdr:colOff>
                    <xdr:row>18</xdr:row>
                    <xdr:rowOff>31750</xdr:rowOff>
                  </from>
                  <to>
                    <xdr:col>1</xdr:col>
                    <xdr:colOff>869950</xdr:colOff>
                    <xdr:row>18</xdr:row>
                    <xdr:rowOff>184150</xdr:rowOff>
                  </to>
                </anchor>
              </controlPr>
            </control>
          </mc:Choice>
        </mc:AlternateContent>
        <mc:AlternateContent xmlns:mc="http://schemas.openxmlformats.org/markup-compatibility/2006">
          <mc:Choice Requires="x14">
            <control shapeId="1060" r:id="rId16" name="Drop Down 36">
              <controlPr defaultSize="0" autoLine="0" autoPict="0">
                <anchor moveWithCells="1">
                  <from>
                    <xdr:col>1</xdr:col>
                    <xdr:colOff>19050</xdr:colOff>
                    <xdr:row>19</xdr:row>
                    <xdr:rowOff>31750</xdr:rowOff>
                  </from>
                  <to>
                    <xdr:col>1</xdr:col>
                    <xdr:colOff>869950</xdr:colOff>
                    <xdr:row>19</xdr:row>
                    <xdr:rowOff>184150</xdr:rowOff>
                  </to>
                </anchor>
              </controlPr>
            </control>
          </mc:Choice>
        </mc:AlternateContent>
        <mc:AlternateContent xmlns:mc="http://schemas.openxmlformats.org/markup-compatibility/2006">
          <mc:Choice Requires="x14">
            <control shapeId="1074" r:id="rId17" name="Drop Down 50">
              <controlPr defaultSize="0" autoLine="0" autoPict="0">
                <anchor moveWithCells="1">
                  <from>
                    <xdr:col>1</xdr:col>
                    <xdr:colOff>19050</xdr:colOff>
                    <xdr:row>10</xdr:row>
                    <xdr:rowOff>31750</xdr:rowOff>
                  </from>
                  <to>
                    <xdr:col>1</xdr:col>
                    <xdr:colOff>869950</xdr:colOff>
                    <xdr:row>10</xdr:row>
                    <xdr:rowOff>184150</xdr:rowOff>
                  </to>
                </anchor>
              </controlPr>
            </control>
          </mc:Choice>
        </mc:AlternateContent>
        <mc:AlternateContent xmlns:mc="http://schemas.openxmlformats.org/markup-compatibility/2006">
          <mc:Choice Requires="x14">
            <control shapeId="1075" r:id="rId18" name="Drop Down 51">
              <controlPr defaultSize="0" autoLine="0" autoPict="0">
                <anchor moveWithCells="1">
                  <from>
                    <xdr:col>1</xdr:col>
                    <xdr:colOff>19050</xdr:colOff>
                    <xdr:row>11</xdr:row>
                    <xdr:rowOff>31750</xdr:rowOff>
                  </from>
                  <to>
                    <xdr:col>1</xdr:col>
                    <xdr:colOff>869950</xdr:colOff>
                    <xdr:row>11</xdr:row>
                    <xdr:rowOff>184150</xdr:rowOff>
                  </to>
                </anchor>
              </controlPr>
            </control>
          </mc:Choice>
        </mc:AlternateContent>
        <mc:AlternateContent xmlns:mc="http://schemas.openxmlformats.org/markup-compatibility/2006">
          <mc:Choice Requires="x14">
            <control shapeId="1076" r:id="rId19" name="Drop Down 52">
              <controlPr defaultSize="0" autoLine="0" autoPict="0">
                <anchor moveWithCells="1">
                  <from>
                    <xdr:col>1</xdr:col>
                    <xdr:colOff>19050</xdr:colOff>
                    <xdr:row>12</xdr:row>
                    <xdr:rowOff>31750</xdr:rowOff>
                  </from>
                  <to>
                    <xdr:col>1</xdr:col>
                    <xdr:colOff>869950</xdr:colOff>
                    <xdr:row>12</xdr:row>
                    <xdr:rowOff>184150</xdr:rowOff>
                  </to>
                </anchor>
              </controlPr>
            </control>
          </mc:Choice>
        </mc:AlternateContent>
        <mc:AlternateContent xmlns:mc="http://schemas.openxmlformats.org/markup-compatibility/2006">
          <mc:Choice Requires="x14">
            <control shapeId="1077" r:id="rId20" name="Drop Down 53">
              <controlPr defaultSize="0" autoLine="0" autoPict="0">
                <anchor moveWithCells="1">
                  <from>
                    <xdr:col>4</xdr:col>
                    <xdr:colOff>19050</xdr:colOff>
                    <xdr:row>8</xdr:row>
                    <xdr:rowOff>31750</xdr:rowOff>
                  </from>
                  <to>
                    <xdr:col>4</xdr:col>
                    <xdr:colOff>869950</xdr:colOff>
                    <xdr:row>8</xdr:row>
                    <xdr:rowOff>184150</xdr:rowOff>
                  </to>
                </anchor>
              </controlPr>
            </control>
          </mc:Choice>
        </mc:AlternateContent>
        <mc:AlternateContent xmlns:mc="http://schemas.openxmlformats.org/markup-compatibility/2006">
          <mc:Choice Requires="x14">
            <control shapeId="1078" r:id="rId21" name="Drop Down 54">
              <controlPr defaultSize="0" autoLine="0" autoPict="0">
                <anchor moveWithCells="1">
                  <from>
                    <xdr:col>4</xdr:col>
                    <xdr:colOff>19050</xdr:colOff>
                    <xdr:row>9</xdr:row>
                    <xdr:rowOff>31750</xdr:rowOff>
                  </from>
                  <to>
                    <xdr:col>4</xdr:col>
                    <xdr:colOff>869950</xdr:colOff>
                    <xdr:row>9</xdr:row>
                    <xdr:rowOff>184150</xdr:rowOff>
                  </to>
                </anchor>
              </controlPr>
            </control>
          </mc:Choice>
        </mc:AlternateContent>
        <mc:AlternateContent xmlns:mc="http://schemas.openxmlformats.org/markup-compatibility/2006">
          <mc:Choice Requires="x14">
            <control shapeId="1079" r:id="rId22" name="Drop Down 55">
              <controlPr defaultSize="0" autoLine="0" autoPict="0">
                <anchor moveWithCells="1">
                  <from>
                    <xdr:col>4</xdr:col>
                    <xdr:colOff>19050</xdr:colOff>
                    <xdr:row>10</xdr:row>
                    <xdr:rowOff>31750</xdr:rowOff>
                  </from>
                  <to>
                    <xdr:col>4</xdr:col>
                    <xdr:colOff>869950</xdr:colOff>
                    <xdr:row>10</xdr:row>
                    <xdr:rowOff>184150</xdr:rowOff>
                  </to>
                </anchor>
              </controlPr>
            </control>
          </mc:Choice>
        </mc:AlternateContent>
        <mc:AlternateContent xmlns:mc="http://schemas.openxmlformats.org/markup-compatibility/2006">
          <mc:Choice Requires="x14">
            <control shapeId="1080" r:id="rId23" name="Drop Down 56">
              <controlPr defaultSize="0" autoLine="0" autoPict="0">
                <anchor moveWithCells="1">
                  <from>
                    <xdr:col>4</xdr:col>
                    <xdr:colOff>19050</xdr:colOff>
                    <xdr:row>11</xdr:row>
                    <xdr:rowOff>31750</xdr:rowOff>
                  </from>
                  <to>
                    <xdr:col>4</xdr:col>
                    <xdr:colOff>869950</xdr:colOff>
                    <xdr:row>11</xdr:row>
                    <xdr:rowOff>184150</xdr:rowOff>
                  </to>
                </anchor>
              </controlPr>
            </control>
          </mc:Choice>
        </mc:AlternateContent>
        <mc:AlternateContent xmlns:mc="http://schemas.openxmlformats.org/markup-compatibility/2006">
          <mc:Choice Requires="x14">
            <control shapeId="1081" r:id="rId24" name="Drop Down 57">
              <controlPr defaultSize="0" autoLine="0" autoPict="0">
                <anchor moveWithCells="1">
                  <from>
                    <xdr:col>4</xdr:col>
                    <xdr:colOff>19050</xdr:colOff>
                    <xdr:row>12</xdr:row>
                    <xdr:rowOff>31750</xdr:rowOff>
                  </from>
                  <to>
                    <xdr:col>4</xdr:col>
                    <xdr:colOff>869950</xdr:colOff>
                    <xdr:row>12</xdr:row>
                    <xdr:rowOff>184150</xdr:rowOff>
                  </to>
                </anchor>
              </controlPr>
            </control>
          </mc:Choice>
        </mc:AlternateContent>
        <mc:AlternateContent xmlns:mc="http://schemas.openxmlformats.org/markup-compatibility/2006">
          <mc:Choice Requires="x14">
            <control shapeId="1082" r:id="rId25" name="Drop Down 58">
              <controlPr defaultSize="0" autoLine="0" autoPict="0">
                <anchor moveWithCells="1">
                  <from>
                    <xdr:col>7</xdr:col>
                    <xdr:colOff>19050</xdr:colOff>
                    <xdr:row>8</xdr:row>
                    <xdr:rowOff>31750</xdr:rowOff>
                  </from>
                  <to>
                    <xdr:col>7</xdr:col>
                    <xdr:colOff>869950</xdr:colOff>
                    <xdr:row>8</xdr:row>
                    <xdr:rowOff>184150</xdr:rowOff>
                  </to>
                </anchor>
              </controlPr>
            </control>
          </mc:Choice>
        </mc:AlternateContent>
        <mc:AlternateContent xmlns:mc="http://schemas.openxmlformats.org/markup-compatibility/2006">
          <mc:Choice Requires="x14">
            <control shapeId="1083" r:id="rId26" name="Drop Down 59">
              <controlPr defaultSize="0" autoLine="0" autoPict="0">
                <anchor moveWithCells="1">
                  <from>
                    <xdr:col>7</xdr:col>
                    <xdr:colOff>19050</xdr:colOff>
                    <xdr:row>9</xdr:row>
                    <xdr:rowOff>31750</xdr:rowOff>
                  </from>
                  <to>
                    <xdr:col>7</xdr:col>
                    <xdr:colOff>869950</xdr:colOff>
                    <xdr:row>9</xdr:row>
                    <xdr:rowOff>184150</xdr:rowOff>
                  </to>
                </anchor>
              </controlPr>
            </control>
          </mc:Choice>
        </mc:AlternateContent>
        <mc:AlternateContent xmlns:mc="http://schemas.openxmlformats.org/markup-compatibility/2006">
          <mc:Choice Requires="x14">
            <control shapeId="1084" r:id="rId27" name="Drop Down 60">
              <controlPr defaultSize="0" autoLine="0" autoPict="0">
                <anchor moveWithCells="1">
                  <from>
                    <xdr:col>7</xdr:col>
                    <xdr:colOff>19050</xdr:colOff>
                    <xdr:row>10</xdr:row>
                    <xdr:rowOff>31750</xdr:rowOff>
                  </from>
                  <to>
                    <xdr:col>7</xdr:col>
                    <xdr:colOff>869950</xdr:colOff>
                    <xdr:row>10</xdr:row>
                    <xdr:rowOff>184150</xdr:rowOff>
                  </to>
                </anchor>
              </controlPr>
            </control>
          </mc:Choice>
        </mc:AlternateContent>
        <mc:AlternateContent xmlns:mc="http://schemas.openxmlformats.org/markup-compatibility/2006">
          <mc:Choice Requires="x14">
            <control shapeId="1085" r:id="rId28" name="Drop Down 61">
              <controlPr defaultSize="0" autoLine="0" autoPict="0">
                <anchor moveWithCells="1">
                  <from>
                    <xdr:col>7</xdr:col>
                    <xdr:colOff>19050</xdr:colOff>
                    <xdr:row>11</xdr:row>
                    <xdr:rowOff>31750</xdr:rowOff>
                  </from>
                  <to>
                    <xdr:col>7</xdr:col>
                    <xdr:colOff>869950</xdr:colOff>
                    <xdr:row>11</xdr:row>
                    <xdr:rowOff>184150</xdr:rowOff>
                  </to>
                </anchor>
              </controlPr>
            </control>
          </mc:Choice>
        </mc:AlternateContent>
        <mc:AlternateContent xmlns:mc="http://schemas.openxmlformats.org/markup-compatibility/2006">
          <mc:Choice Requires="x14">
            <control shapeId="1086" r:id="rId29" name="Drop Down 62">
              <controlPr defaultSize="0" autoLine="0" autoPict="0">
                <anchor moveWithCells="1">
                  <from>
                    <xdr:col>7</xdr:col>
                    <xdr:colOff>19050</xdr:colOff>
                    <xdr:row>12</xdr:row>
                    <xdr:rowOff>31750</xdr:rowOff>
                  </from>
                  <to>
                    <xdr:col>7</xdr:col>
                    <xdr:colOff>869950</xdr:colOff>
                    <xdr:row>12</xdr:row>
                    <xdr:rowOff>184150</xdr:rowOff>
                  </to>
                </anchor>
              </controlPr>
            </control>
          </mc:Choice>
        </mc:AlternateContent>
        <mc:AlternateContent xmlns:mc="http://schemas.openxmlformats.org/markup-compatibility/2006">
          <mc:Choice Requires="x14">
            <control shapeId="1087" r:id="rId30" name="Drop Down 63">
              <controlPr defaultSize="0" autoLine="0" autoPict="0">
                <anchor moveWithCells="1">
                  <from>
                    <xdr:col>1</xdr:col>
                    <xdr:colOff>19050</xdr:colOff>
                    <xdr:row>20</xdr:row>
                    <xdr:rowOff>31750</xdr:rowOff>
                  </from>
                  <to>
                    <xdr:col>1</xdr:col>
                    <xdr:colOff>869950</xdr:colOff>
                    <xdr:row>20</xdr:row>
                    <xdr:rowOff>184150</xdr:rowOff>
                  </to>
                </anchor>
              </controlPr>
            </control>
          </mc:Choice>
        </mc:AlternateContent>
        <mc:AlternateContent xmlns:mc="http://schemas.openxmlformats.org/markup-compatibility/2006">
          <mc:Choice Requires="x14">
            <control shapeId="1088" r:id="rId31" name="Drop Down 64">
              <controlPr defaultSize="0" autoLine="0" autoPict="0">
                <anchor moveWithCells="1">
                  <from>
                    <xdr:col>1</xdr:col>
                    <xdr:colOff>19050</xdr:colOff>
                    <xdr:row>21</xdr:row>
                    <xdr:rowOff>31750</xdr:rowOff>
                  </from>
                  <to>
                    <xdr:col>1</xdr:col>
                    <xdr:colOff>869950</xdr:colOff>
                    <xdr:row>21</xdr:row>
                    <xdr:rowOff>184150</xdr:rowOff>
                  </to>
                </anchor>
              </controlPr>
            </control>
          </mc:Choice>
        </mc:AlternateContent>
        <mc:AlternateContent xmlns:mc="http://schemas.openxmlformats.org/markup-compatibility/2006">
          <mc:Choice Requires="x14">
            <control shapeId="1089" r:id="rId32" name="Drop Down 65">
              <controlPr defaultSize="0" autoLine="0" autoPict="0">
                <anchor moveWithCells="1">
                  <from>
                    <xdr:col>1</xdr:col>
                    <xdr:colOff>19050</xdr:colOff>
                    <xdr:row>22</xdr:row>
                    <xdr:rowOff>31750</xdr:rowOff>
                  </from>
                  <to>
                    <xdr:col>1</xdr:col>
                    <xdr:colOff>869950</xdr:colOff>
                    <xdr:row>22</xdr:row>
                    <xdr:rowOff>184150</xdr:rowOff>
                  </to>
                </anchor>
              </controlPr>
            </control>
          </mc:Choice>
        </mc:AlternateContent>
        <mc:AlternateContent xmlns:mc="http://schemas.openxmlformats.org/markup-compatibility/2006">
          <mc:Choice Requires="x14">
            <control shapeId="1090" r:id="rId33" name="Drop Down 66">
              <controlPr defaultSize="0" autoLine="0" autoPict="0">
                <anchor moveWithCells="1">
                  <from>
                    <xdr:col>4</xdr:col>
                    <xdr:colOff>19050</xdr:colOff>
                    <xdr:row>18</xdr:row>
                    <xdr:rowOff>31750</xdr:rowOff>
                  </from>
                  <to>
                    <xdr:col>4</xdr:col>
                    <xdr:colOff>869950</xdr:colOff>
                    <xdr:row>18</xdr:row>
                    <xdr:rowOff>184150</xdr:rowOff>
                  </to>
                </anchor>
              </controlPr>
            </control>
          </mc:Choice>
        </mc:AlternateContent>
        <mc:AlternateContent xmlns:mc="http://schemas.openxmlformats.org/markup-compatibility/2006">
          <mc:Choice Requires="x14">
            <control shapeId="1091" r:id="rId34" name="Drop Down 67">
              <controlPr defaultSize="0" autoLine="0" autoPict="0">
                <anchor moveWithCells="1">
                  <from>
                    <xdr:col>4</xdr:col>
                    <xdr:colOff>19050</xdr:colOff>
                    <xdr:row>19</xdr:row>
                    <xdr:rowOff>31750</xdr:rowOff>
                  </from>
                  <to>
                    <xdr:col>4</xdr:col>
                    <xdr:colOff>869950</xdr:colOff>
                    <xdr:row>19</xdr:row>
                    <xdr:rowOff>184150</xdr:rowOff>
                  </to>
                </anchor>
              </controlPr>
            </control>
          </mc:Choice>
        </mc:AlternateContent>
        <mc:AlternateContent xmlns:mc="http://schemas.openxmlformats.org/markup-compatibility/2006">
          <mc:Choice Requires="x14">
            <control shapeId="1092" r:id="rId35" name="Drop Down 68">
              <controlPr defaultSize="0" autoLine="0" autoPict="0">
                <anchor moveWithCells="1">
                  <from>
                    <xdr:col>4</xdr:col>
                    <xdr:colOff>19050</xdr:colOff>
                    <xdr:row>20</xdr:row>
                    <xdr:rowOff>31750</xdr:rowOff>
                  </from>
                  <to>
                    <xdr:col>4</xdr:col>
                    <xdr:colOff>869950</xdr:colOff>
                    <xdr:row>20</xdr:row>
                    <xdr:rowOff>184150</xdr:rowOff>
                  </to>
                </anchor>
              </controlPr>
            </control>
          </mc:Choice>
        </mc:AlternateContent>
        <mc:AlternateContent xmlns:mc="http://schemas.openxmlformats.org/markup-compatibility/2006">
          <mc:Choice Requires="x14">
            <control shapeId="1093" r:id="rId36" name="Drop Down 69">
              <controlPr defaultSize="0" autoLine="0" autoPict="0">
                <anchor moveWithCells="1">
                  <from>
                    <xdr:col>4</xdr:col>
                    <xdr:colOff>19050</xdr:colOff>
                    <xdr:row>21</xdr:row>
                    <xdr:rowOff>31750</xdr:rowOff>
                  </from>
                  <to>
                    <xdr:col>4</xdr:col>
                    <xdr:colOff>869950</xdr:colOff>
                    <xdr:row>21</xdr:row>
                    <xdr:rowOff>184150</xdr:rowOff>
                  </to>
                </anchor>
              </controlPr>
            </control>
          </mc:Choice>
        </mc:AlternateContent>
        <mc:AlternateContent xmlns:mc="http://schemas.openxmlformats.org/markup-compatibility/2006">
          <mc:Choice Requires="x14">
            <control shapeId="1094" r:id="rId37" name="Drop Down 70">
              <controlPr defaultSize="0" autoLine="0" autoPict="0">
                <anchor moveWithCells="1">
                  <from>
                    <xdr:col>4</xdr:col>
                    <xdr:colOff>19050</xdr:colOff>
                    <xdr:row>22</xdr:row>
                    <xdr:rowOff>31750</xdr:rowOff>
                  </from>
                  <to>
                    <xdr:col>4</xdr:col>
                    <xdr:colOff>869950</xdr:colOff>
                    <xdr:row>22</xdr:row>
                    <xdr:rowOff>184150</xdr:rowOff>
                  </to>
                </anchor>
              </controlPr>
            </control>
          </mc:Choice>
        </mc:AlternateContent>
        <mc:AlternateContent xmlns:mc="http://schemas.openxmlformats.org/markup-compatibility/2006">
          <mc:Choice Requires="x14">
            <control shapeId="1095" r:id="rId38" name="Drop Down 71">
              <controlPr defaultSize="0" autoLine="0" autoPict="0">
                <anchor moveWithCells="1">
                  <from>
                    <xdr:col>7</xdr:col>
                    <xdr:colOff>19050</xdr:colOff>
                    <xdr:row>18</xdr:row>
                    <xdr:rowOff>31750</xdr:rowOff>
                  </from>
                  <to>
                    <xdr:col>7</xdr:col>
                    <xdr:colOff>869950</xdr:colOff>
                    <xdr:row>18</xdr:row>
                    <xdr:rowOff>184150</xdr:rowOff>
                  </to>
                </anchor>
              </controlPr>
            </control>
          </mc:Choice>
        </mc:AlternateContent>
        <mc:AlternateContent xmlns:mc="http://schemas.openxmlformats.org/markup-compatibility/2006">
          <mc:Choice Requires="x14">
            <control shapeId="1096" r:id="rId39" name="Drop Down 72">
              <controlPr defaultSize="0" autoLine="0" autoPict="0">
                <anchor moveWithCells="1">
                  <from>
                    <xdr:col>7</xdr:col>
                    <xdr:colOff>19050</xdr:colOff>
                    <xdr:row>19</xdr:row>
                    <xdr:rowOff>31750</xdr:rowOff>
                  </from>
                  <to>
                    <xdr:col>7</xdr:col>
                    <xdr:colOff>869950</xdr:colOff>
                    <xdr:row>19</xdr:row>
                    <xdr:rowOff>184150</xdr:rowOff>
                  </to>
                </anchor>
              </controlPr>
            </control>
          </mc:Choice>
        </mc:AlternateContent>
        <mc:AlternateContent xmlns:mc="http://schemas.openxmlformats.org/markup-compatibility/2006">
          <mc:Choice Requires="x14">
            <control shapeId="1097" r:id="rId40" name="Drop Down 73">
              <controlPr defaultSize="0" autoLine="0" autoPict="0">
                <anchor moveWithCells="1">
                  <from>
                    <xdr:col>7</xdr:col>
                    <xdr:colOff>19050</xdr:colOff>
                    <xdr:row>20</xdr:row>
                    <xdr:rowOff>31750</xdr:rowOff>
                  </from>
                  <to>
                    <xdr:col>7</xdr:col>
                    <xdr:colOff>869950</xdr:colOff>
                    <xdr:row>20</xdr:row>
                    <xdr:rowOff>184150</xdr:rowOff>
                  </to>
                </anchor>
              </controlPr>
            </control>
          </mc:Choice>
        </mc:AlternateContent>
        <mc:AlternateContent xmlns:mc="http://schemas.openxmlformats.org/markup-compatibility/2006">
          <mc:Choice Requires="x14">
            <control shapeId="1098" r:id="rId41" name="Drop Down 74">
              <controlPr defaultSize="0" autoLine="0" autoPict="0">
                <anchor moveWithCells="1">
                  <from>
                    <xdr:col>7</xdr:col>
                    <xdr:colOff>19050</xdr:colOff>
                    <xdr:row>21</xdr:row>
                    <xdr:rowOff>31750</xdr:rowOff>
                  </from>
                  <to>
                    <xdr:col>7</xdr:col>
                    <xdr:colOff>869950</xdr:colOff>
                    <xdr:row>21</xdr:row>
                    <xdr:rowOff>184150</xdr:rowOff>
                  </to>
                </anchor>
              </controlPr>
            </control>
          </mc:Choice>
        </mc:AlternateContent>
        <mc:AlternateContent xmlns:mc="http://schemas.openxmlformats.org/markup-compatibility/2006">
          <mc:Choice Requires="x14">
            <control shapeId="1099" r:id="rId42" name="Drop Down 75">
              <controlPr defaultSize="0" autoLine="0" autoPict="0">
                <anchor moveWithCells="1">
                  <from>
                    <xdr:col>7</xdr:col>
                    <xdr:colOff>19050</xdr:colOff>
                    <xdr:row>22</xdr:row>
                    <xdr:rowOff>31750</xdr:rowOff>
                  </from>
                  <to>
                    <xdr:col>7</xdr:col>
                    <xdr:colOff>869950</xdr:colOff>
                    <xdr:row>22</xdr:row>
                    <xdr:rowOff>184150</xdr:rowOff>
                  </to>
                </anchor>
              </controlPr>
            </control>
          </mc:Choice>
        </mc:AlternateContent>
        <mc:AlternateContent xmlns:mc="http://schemas.openxmlformats.org/markup-compatibility/2006">
          <mc:Choice Requires="x14">
            <control shapeId="1100" r:id="rId43" name="Button 76">
              <controlPr defaultSize="0" print="0" autoFill="0" autoPict="0" macro="[0]!Report_Issue">
                <anchor moveWithCells="1" sizeWithCells="1">
                  <from>
                    <xdr:col>9</xdr:col>
                    <xdr:colOff>647700</xdr:colOff>
                    <xdr:row>15</xdr:row>
                    <xdr:rowOff>171450</xdr:rowOff>
                  </from>
                  <to>
                    <xdr:col>14</xdr:col>
                    <xdr:colOff>361950</xdr:colOff>
                    <xdr:row>19</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E49DA-A8C8-4723-A81C-31353F3D9AD7}">
  <sheetPr codeName="Sheet21">
    <tabColor theme="5"/>
  </sheetPr>
  <dimension ref="A2:A13"/>
  <sheetViews>
    <sheetView tabSelected="1" workbookViewId="0">
      <selection activeCell="A19" sqref="A19"/>
    </sheetView>
  </sheetViews>
  <sheetFormatPr defaultRowHeight="14.5" x14ac:dyDescent="0.35"/>
  <cols>
    <col min="1" max="1" width="127.453125" customWidth="1"/>
  </cols>
  <sheetData>
    <row r="2" spans="1:1" ht="15.5" x14ac:dyDescent="0.35">
      <c r="A2" s="1" t="s">
        <v>1686</v>
      </c>
    </row>
    <row r="3" spans="1:1" ht="15.5" x14ac:dyDescent="0.35">
      <c r="A3" s="65" t="s">
        <v>1687</v>
      </c>
    </row>
    <row r="4" spans="1:1" ht="31" x14ac:dyDescent="0.35">
      <c r="A4" s="462" t="s">
        <v>1688</v>
      </c>
    </row>
    <row r="5" spans="1:1" ht="46.5" x14ac:dyDescent="0.35">
      <c r="A5" s="462" t="s">
        <v>1689</v>
      </c>
    </row>
    <row r="8" spans="1:1" ht="32.25" customHeight="1" x14ac:dyDescent="0.35">
      <c r="A8" s="463" t="s">
        <v>1690</v>
      </c>
    </row>
    <row r="9" spans="1:1" ht="34.5" customHeight="1" x14ac:dyDescent="0.35">
      <c r="A9" s="463" t="s">
        <v>1691</v>
      </c>
    </row>
    <row r="10" spans="1:1" ht="62" x14ac:dyDescent="0.35">
      <c r="A10" s="462" t="s">
        <v>1692</v>
      </c>
    </row>
    <row r="11" spans="1:1" ht="15.5" x14ac:dyDescent="0.35">
      <c r="A11" s="464" t="s">
        <v>1693</v>
      </c>
    </row>
    <row r="12" spans="1:1" ht="31" x14ac:dyDescent="0.35">
      <c r="A12" s="462" t="s">
        <v>1694</v>
      </c>
    </row>
    <row r="13" spans="1:1" ht="46.5" x14ac:dyDescent="0.35">
      <c r="A13" s="462" t="s">
        <v>1695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Hide_OpCo_Tabs">
                <anchor moveWithCells="1" sizeWithCells="1">
                  <from>
                    <xdr:col>0</xdr:col>
                    <xdr:colOff>5048250</xdr:colOff>
                    <xdr:row>7</xdr:row>
                    <xdr:rowOff>76200</xdr:rowOff>
                  </from>
                  <to>
                    <xdr:col>0</xdr:col>
                    <xdr:colOff>7467600</xdr:colOff>
                    <xdr:row>7</xdr:row>
                    <xdr:rowOff>400050</xdr:rowOff>
                  </to>
                </anchor>
              </controlPr>
            </control>
          </mc:Choice>
        </mc:AlternateContent>
        <mc:AlternateContent xmlns:mc="http://schemas.openxmlformats.org/markup-compatibility/2006">
          <mc:Choice Requires="x14">
            <control shapeId="22530" r:id="rId4" name="Button 2">
              <controlPr defaultSize="0" print="0" autoFill="0" autoPict="0" macro="[0]!Unhide_OpCo_Tabs">
                <anchor moveWithCells="1" sizeWithCells="1">
                  <from>
                    <xdr:col>0</xdr:col>
                    <xdr:colOff>5048250</xdr:colOff>
                    <xdr:row>8</xdr:row>
                    <xdr:rowOff>76200</xdr:rowOff>
                  </from>
                  <to>
                    <xdr:col>0</xdr:col>
                    <xdr:colOff>7467600</xdr:colOff>
                    <xdr:row>8</xdr:row>
                    <xdr:rowOff>400050</xdr:rowOff>
                  </to>
                </anchor>
              </controlPr>
            </control>
          </mc:Choice>
        </mc:AlternateContent>
        <mc:AlternateContent xmlns:mc="http://schemas.openxmlformats.org/markup-compatibility/2006">
          <mc:Choice Requires="x14">
            <control shapeId="22531" r:id="rId5" name="Button 3">
              <controlPr defaultSize="0" print="0" autoFill="0" autoPict="0" macro="[0]!Report_Issue">
                <anchor moveWithCells="1" sizeWithCells="1">
                  <from>
                    <xdr:col>0</xdr:col>
                    <xdr:colOff>2838450</xdr:colOff>
                    <xdr:row>13</xdr:row>
                    <xdr:rowOff>133350</xdr:rowOff>
                  </from>
                  <to>
                    <xdr:col>0</xdr:col>
                    <xdr:colOff>5518150</xdr:colOff>
                    <xdr:row>15</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2"/>
  <sheetViews>
    <sheetView workbookViewId="0"/>
  </sheetViews>
  <sheetFormatPr defaultColWidth="9.1796875" defaultRowHeight="14.5" x14ac:dyDescent="0.35"/>
  <cols>
    <col min="1" max="1" width="137.81640625" style="3" customWidth="1"/>
    <col min="2" max="2" width="22.1796875" style="3" customWidth="1"/>
    <col min="3" max="16384" width="9.1796875" style="3"/>
  </cols>
  <sheetData>
    <row r="1" spans="1:1" ht="409.5" customHeight="1" x14ac:dyDescent="0.35">
      <c r="A1" s="5" t="s">
        <v>4</v>
      </c>
    </row>
    <row r="2" spans="1:1" x14ac:dyDescent="0.35">
      <c r="A2" s="6" t="s">
        <v>5</v>
      </c>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CDE50-1EDA-4465-8BA8-E9E5EB8F7675}">
  <sheetPr codeName="Sheet12"/>
  <dimension ref="A1:D4"/>
  <sheetViews>
    <sheetView workbookViewId="0"/>
  </sheetViews>
  <sheetFormatPr defaultColWidth="9.1796875" defaultRowHeight="14.5" x14ac:dyDescent="0.35"/>
  <cols>
    <col min="1" max="1" width="13.1796875" style="62" customWidth="1"/>
    <col min="2" max="2" width="46" bestFit="1" customWidth="1"/>
    <col min="3" max="3" width="19.54296875" style="59" customWidth="1"/>
    <col min="4" max="4" width="97.453125" customWidth="1"/>
  </cols>
  <sheetData>
    <row r="1" spans="1:4" ht="18.5" x14ac:dyDescent="0.45">
      <c r="A1" s="58" t="s">
        <v>913</v>
      </c>
    </row>
    <row r="2" spans="1:4" x14ac:dyDescent="0.35">
      <c r="A2" s="60" t="s">
        <v>914</v>
      </c>
      <c r="B2" s="61" t="s">
        <v>915</v>
      </c>
      <c r="C2" s="61" t="s">
        <v>916</v>
      </c>
      <c r="D2" s="61" t="s">
        <v>917</v>
      </c>
    </row>
    <row r="3" spans="1:4" x14ac:dyDescent="0.35">
      <c r="A3" s="62">
        <v>44986</v>
      </c>
      <c r="B3" t="s">
        <v>1366</v>
      </c>
      <c r="C3" s="59" t="s">
        <v>918</v>
      </c>
      <c r="D3" t="s">
        <v>1367</v>
      </c>
    </row>
    <row r="4" spans="1:4" x14ac:dyDescent="0.35">
      <c r="A4" s="62">
        <v>45913</v>
      </c>
      <c r="B4" t="s">
        <v>1814</v>
      </c>
      <c r="C4" s="59" t="s">
        <v>1815</v>
      </c>
      <c r="D4" t="s">
        <v>1816</v>
      </c>
    </row>
  </sheetData>
  <autoFilter ref="A2:D2" xr:uid="{9F5699F2-161F-461F-B342-0D09F19FA115}"/>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81"/>
  <sheetViews>
    <sheetView topLeftCell="C23" zoomScale="90" zoomScaleNormal="90" workbookViewId="0">
      <selection activeCell="J42" sqref="J42"/>
    </sheetView>
  </sheetViews>
  <sheetFormatPr defaultRowHeight="14.5" x14ac:dyDescent="0.35"/>
  <cols>
    <col min="1" max="1" width="16.81640625" bestFit="1" customWidth="1"/>
    <col min="2" max="2" width="84.81640625" customWidth="1"/>
    <col min="3" max="3" width="39.90625" customWidth="1"/>
    <col min="4" max="4" width="27" customWidth="1"/>
    <col min="5" max="5" width="28.1796875" customWidth="1"/>
    <col min="6" max="6" width="14.26953125" customWidth="1"/>
    <col min="7" max="7" width="2.453125" customWidth="1"/>
    <col min="8" max="8" width="20.26953125" bestFit="1" customWidth="1"/>
    <col min="9" max="9" width="23.1796875" customWidth="1"/>
    <col min="10" max="10" width="16" customWidth="1"/>
    <col min="11" max="11" width="28.1796875" customWidth="1"/>
    <col min="12" max="12" width="13" customWidth="1"/>
    <col min="13" max="13" width="38.453125" bestFit="1" customWidth="1"/>
    <col min="14" max="14" width="100.26953125" bestFit="1" customWidth="1"/>
    <col min="15" max="15" width="12.1796875" customWidth="1"/>
    <col min="16" max="16" width="26.81640625" customWidth="1"/>
    <col min="18" max="18" width="44.26953125" customWidth="1"/>
    <col min="22" max="22" width="11.1796875" bestFit="1" customWidth="1"/>
    <col min="25" max="25" width="11.1796875" bestFit="1" customWidth="1"/>
  </cols>
  <sheetData>
    <row r="1" spans="1:24" ht="13.5" customHeight="1" x14ac:dyDescent="0.45">
      <c r="A1" s="18"/>
      <c r="B1" s="18"/>
      <c r="C1" s="19"/>
      <c r="D1" s="19" t="s">
        <v>1347</v>
      </c>
      <c r="E1" s="42" t="s">
        <v>1361</v>
      </c>
      <c r="F1" s="243" t="s">
        <v>7</v>
      </c>
      <c r="G1" s="31"/>
      <c r="H1" s="242" t="s">
        <v>1353</v>
      </c>
    </row>
    <row r="2" spans="1:24" ht="13.5" customHeight="1" x14ac:dyDescent="0.35">
      <c r="A2" s="575" t="s">
        <v>12</v>
      </c>
      <c r="B2" s="20" t="b">
        <v>0</v>
      </c>
      <c r="C2" s="20" t="str">
        <f>CONCATENATE("SELECT 
",$R$6," 
")</f>
        <v xml:space="preserve">SELECT 
CASE  WHEN cntry_enti_nbr = 488185414 THEN 'Ex_Cat_1' 
 Else 'Other' END AS Categories, 
</v>
      </c>
      <c r="D2" s="20" t="str">
        <f>IF($B$4=TRUE,C2,"")</f>
        <v/>
      </c>
      <c r="E2" s="20" t="str">
        <f>CONCATENATE(D1,D2,D3,D4,D32)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 Roll 
GROUP BY 1, 2, 3, 4, 5, 6, 7</v>
      </c>
      <c r="F2" s="245" t="b">
        <v>1</v>
      </c>
      <c r="J2" s="17"/>
      <c r="L2" s="42"/>
    </row>
    <row r="3" spans="1:24" ht="13.5" customHeight="1" x14ac:dyDescent="0.35">
      <c r="A3" s="575"/>
      <c r="B3" s="20" t="b">
        <v>0</v>
      </c>
      <c r="C3" s="20" t="s">
        <v>1672</v>
      </c>
      <c r="D3" s="20" t="str">
        <f>IF($B$4=TRUE,C3,"")</f>
        <v/>
      </c>
      <c r="F3" s="34">
        <f>Selection!F2</f>
        <v>202503</v>
      </c>
      <c r="H3" s="3" t="s">
        <v>1314</v>
      </c>
      <c r="I3" s="3">
        <v>1</v>
      </c>
      <c r="J3" s="3" t="s">
        <v>1334</v>
      </c>
      <c r="K3" s="3" t="s">
        <v>1339</v>
      </c>
      <c r="L3" s="3" t="s">
        <v>1331</v>
      </c>
      <c r="M3" s="3"/>
      <c r="N3" s="3"/>
      <c r="O3" s="3"/>
      <c r="P3" s="3"/>
    </row>
    <row r="4" spans="1:24" ht="13.5" customHeight="1" x14ac:dyDescent="0.35">
      <c r="A4" s="575"/>
      <c r="B4" s="20" t="b">
        <f>IF(OR(B2=TRUE,B3=TRUE),TRUE,FALSE)</f>
        <v>0</v>
      </c>
      <c r="C4" s="20" t="str">
        <f>CONCATENATE($F$8,$M$5)</f>
        <v xml:space="preserve">cast('2025-03-01' as date) AND cast('2025-12-31'  as date)AND cht.cntry_enti_nbr IN (488185414) </v>
      </c>
      <c r="D4" s="20" t="str">
        <f>IF($B$4=TRUE,C4,"")</f>
        <v/>
      </c>
      <c r="E4" s="17"/>
      <c r="F4" s="34">
        <f>Selection!F3</f>
        <v>202512</v>
      </c>
      <c r="H4" s="3" t="s">
        <v>1315</v>
      </c>
      <c r="I4" s="3">
        <v>2</v>
      </c>
      <c r="J4" s="3" t="s">
        <v>1335</v>
      </c>
      <c r="K4" s="3" t="s">
        <v>1338</v>
      </c>
      <c r="L4" s="3" t="s">
        <v>1340</v>
      </c>
      <c r="M4" s="212" t="s">
        <v>1330</v>
      </c>
      <c r="N4" s="211"/>
      <c r="O4" s="211"/>
      <c r="P4" s="211"/>
    </row>
    <row r="5" spans="1:24" ht="13.5" customHeight="1" x14ac:dyDescent="0.35">
      <c r="A5" s="229"/>
      <c r="B5" s="230"/>
      <c r="C5" s="231" t="s">
        <v>1349</v>
      </c>
      <c r="D5" s="230"/>
      <c r="F5" s="35">
        <f>DATE(LEFT(F3,4),RIGHT(F3,2),1)</f>
        <v>45717</v>
      </c>
      <c r="H5" s="3" t="s">
        <v>1316</v>
      </c>
      <c r="I5" s="3">
        <v>3</v>
      </c>
      <c r="J5" s="3" t="s">
        <v>1336</v>
      </c>
      <c r="K5" s="3" t="s">
        <v>1338</v>
      </c>
      <c r="L5" s="3" t="s">
        <v>1332</v>
      </c>
      <c r="M5" s="228" t="str">
        <f>IF(SUM($M$10:$M$27)&gt;0,$M$6,$N$6)</f>
        <v xml:space="preserve">AND cht.cntry_enti_nbr IN (488185414) </v>
      </c>
      <c r="N5" s="211"/>
      <c r="O5" s="211"/>
      <c r="P5" s="211"/>
    </row>
    <row r="6" spans="1:24" ht="13.5" customHeight="1" x14ac:dyDescent="0.35">
      <c r="A6" s="229"/>
      <c r="B6" s="230"/>
      <c r="C6" s="230" t="s">
        <v>1282</v>
      </c>
      <c r="D6" s="230" t="str">
        <f t="shared" ref="D6:D7" si="0">IF($B$2=TRUE,C6,"")</f>
        <v/>
      </c>
      <c r="F6" s="35">
        <f>DATE(LEFT(F4,4),RIGHT(F4,2)+1,1)-1</f>
        <v>46022</v>
      </c>
      <c r="H6" s="3" t="s">
        <v>1313</v>
      </c>
      <c r="I6" s="3">
        <v>4</v>
      </c>
      <c r="J6" s="3" t="s">
        <v>1337</v>
      </c>
      <c r="K6" s="3" t="s">
        <v>1365</v>
      </c>
      <c r="L6" s="3" t="s">
        <v>1333</v>
      </c>
      <c r="M6" s="211" t="str">
        <f>IF(COUNTIF($I$10:$I$26,1)&gt;0,CONCATENATE("AND cht.cntry_enti_nbr IN (",$M$8,") "),$N$6)</f>
        <v xml:space="preserve">AND cht.cntry_enti_nbr IN (488185414) </v>
      </c>
      <c r="N6" s="211" t="str">
        <f>CONCATENATE("AND (",$N$7,$O$6,$O$7,$P$6,$P$7,")")</f>
        <v>AND ()</v>
      </c>
      <c r="O6" s="211" t="str">
        <f>IF(AND(SUM($P$10:$P$24)&gt;0,SUM($S$10:$S$24)&gt;0)," OR ","")</f>
        <v/>
      </c>
      <c r="P6" s="211" t="str">
        <f>IF(AND(SUM($P$10:$S$24)&gt;0,SUM($V$10:$V$24)&gt;0)," OR ","")</f>
        <v/>
      </c>
      <c r="R6" s="225" t="str">
        <f>CONCATENATE("CASE ",U8,T8,S8,R8," Else 'Other' END AS Categories, 
")</f>
        <v xml:space="preserve">CASE  WHEN cntry_enti_nbr = 488185414 THEN 'Ex_Cat_1' 
 Else 'Other' END AS Categories, 
</v>
      </c>
    </row>
    <row r="7" spans="1:24" ht="13.5" customHeight="1" x14ac:dyDescent="0.35">
      <c r="A7" s="229"/>
      <c r="B7" s="230"/>
      <c r="C7" s="230" t="str">
        <f>CONCATENATE($F$8,$M$5)</f>
        <v xml:space="preserve">cast('2025-03-01' as date) AND cast('2025-12-31'  as date)AND cht.cntry_enti_nbr IN (488185414) </v>
      </c>
      <c r="D7" s="230" t="str">
        <f t="shared" si="0"/>
        <v/>
      </c>
      <c r="F7" s="244" t="s">
        <v>1356</v>
      </c>
      <c r="G7" s="33"/>
      <c r="H7" s="3" t="s">
        <v>914</v>
      </c>
      <c r="I7" s="4">
        <f ca="1">Selection!I2</f>
        <v>46267</v>
      </c>
      <c r="J7" s="4">
        <f ca="1">Selection!I3</f>
        <v>46267</v>
      </c>
      <c r="K7" s="3"/>
      <c r="L7" s="3"/>
      <c r="M7" s="211"/>
      <c r="N7" s="211" t="str">
        <f>IF(COUNTIF(I10:I26,2)&gt;0,CONCATENATE(" cht.grp_enti_nbr IN (",$N$8,") "),"")</f>
        <v/>
      </c>
      <c r="O7" s="211" t="str">
        <f>IF(COUNTIF(I10:I26,3)&gt;0,CONCATENATE(" cht.sbgrp_enti_nbr IN (",$O$8,") "),"")</f>
        <v/>
      </c>
      <c r="P7" s="211" t="str">
        <f>IF(COUNTIF(I10:I26,4)&gt;0,CONCATENATE(" cht.cust_acct_nbr IN ('",$P$8,"')"),"")</f>
        <v/>
      </c>
      <c r="Q7" s="8"/>
      <c r="R7" s="226" t="s">
        <v>1346</v>
      </c>
      <c r="S7" s="222" t="s">
        <v>1315</v>
      </c>
      <c r="T7" s="222" t="s">
        <v>1316</v>
      </c>
      <c r="U7" s="222" t="s">
        <v>1313</v>
      </c>
    </row>
    <row r="8" spans="1:24" ht="13.5" customHeight="1" x14ac:dyDescent="0.35">
      <c r="A8" s="18"/>
      <c r="B8" s="21"/>
      <c r="C8" s="22" t="s">
        <v>10</v>
      </c>
      <c r="D8" s="22" t="str">
        <f>IF(AND($B$2=TRUE,OR($B$9=TRUE,$B$17=TRUE,$B$25=TRUE,$B$29=TRUE)),$C$8,"")</f>
        <v/>
      </c>
      <c r="E8" s="42" t="s">
        <v>1360</v>
      </c>
      <c r="F8" s="246" t="str">
        <f>"cast(" &amp;CONCATENATE(TEXT(F5,"'yyyy-mm-dd'")," as date) AND cast(",TEXT(F6,"'yyyy-mm-dd' ")) &amp; " as date)"</f>
        <v>cast('2025-03-01' as date) AND cast('2025-12-31'  as date)</v>
      </c>
      <c r="G8" s="33"/>
      <c r="H8" s="3"/>
      <c r="I8" s="326" t="str">
        <f ca="1">" AND CAST("&amp;CONCATENATE(TEXT(I7,"'yyyy-mm-dd'"))&amp;" AS DATE) BETWEEN begin_date AND (end_date - 1)"</f>
        <v xml:space="preserve"> AND CAST('2026-09-02' AS DATE) BETWEEN begin_date AND (end_date - 1)</v>
      </c>
      <c r="J8" s="3"/>
      <c r="K8" s="3"/>
      <c r="M8" s="211" t="str">
        <f>_xlfn.TEXTJOIN(", ",TRUE,M10:M24)</f>
        <v>488185414</v>
      </c>
      <c r="N8" s="211" t="str">
        <f>_xlfn.TEXTJOIN(", ",TRUE,$P$10:$P$24)</f>
        <v/>
      </c>
      <c r="O8" s="211" t="str">
        <f>_xlfn.TEXTJOIN(", ",TRUE,$S$10:$S$24)</f>
        <v/>
      </c>
      <c r="P8" s="211" t="str">
        <f>_xlfn.TEXTJOIN(" ', ' ",TRUE,$V$10:$V$24)</f>
        <v/>
      </c>
      <c r="Q8" s="8"/>
      <c r="R8" s="226" t="str">
        <f>CONCATENATE(N10,N11,N12,N13,N14,N15,N16,N17,N18,N19,N20,N21,N22,N23,N24)</f>
        <v xml:space="preserve"> WHEN cntry_enti_nbr = 488185414 THEN 'Ex_Cat_1' 
</v>
      </c>
      <c r="S8" s="226" t="str">
        <f>CONCATENATE(Q10,Q11,Q12,Q13,Q14,Q15,Q16,Q17,Q18,Q19,Q20,Q21,Q22,Q23,Q24)</f>
        <v/>
      </c>
      <c r="T8" s="226" t="str">
        <f>CONCATENATE(T10,T11,T12,T13,T14,T15,T16,T17,T18,T19,T20,T21,T22,T23,T24)</f>
        <v/>
      </c>
      <c r="U8" s="226" t="str">
        <f>CONCATENATE(W10,W11,W12,W13,W14,W15,W16,W17,W18,W19,W20,W21,W22,W23,W24)</f>
        <v/>
      </c>
    </row>
    <row r="9" spans="1:24" ht="13.5" customHeight="1" x14ac:dyDescent="0.35">
      <c r="A9" s="576" t="s">
        <v>1362</v>
      </c>
      <c r="B9" s="36" t="b">
        <v>0</v>
      </c>
      <c r="C9" s="36" t="str">
        <f>CONCATENATE("SELECT 
",$R$38," 
")</f>
        <v xml:space="preserve">SELECT 
CASE  WHEN cntry_enti_nbr = 488185414 THEN 'Gr_Cat_1' 
 Else 'Other' END AS Categories, 
</v>
      </c>
      <c r="D9" s="36" t="str">
        <f t="shared" ref="D9:D15" si="1">IF($B$9=TRUE,C9,"")</f>
        <v/>
      </c>
      <c r="E9" s="36" t="str">
        <f>CONCATENATE(D1,D9,D10,D11,D12,D13,D14,D15,D32)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 Roll 
GROUP BY 1, 2, 3, 4, 5, 6, 7</v>
      </c>
      <c r="F9" s="34"/>
      <c r="G9" s="33"/>
      <c r="H9" s="205" t="s">
        <v>1327</v>
      </c>
      <c r="I9" s="326" t="str">
        <f ca="1">" AND CAST("&amp;CONCATENATE(TEXT(J7,"'yyyy-mm-dd'"))&amp;" AS DATE) BETWEEN begin_date AND (end_date - 1)"</f>
        <v xml:space="preserve"> AND CAST('2026-09-02' AS DATE) BETWEEN begin_date AND (end_date - 1)</v>
      </c>
      <c r="J9" s="3"/>
      <c r="K9" s="209" t="str">
        <f>CONCATENATE(" AND (",K10,K16,K22,")")</f>
        <v xml:space="preserve"> AND ((cntry_enti_nbr = 488185414 AND level_cd = 'CTRY'  ) )</v>
      </c>
      <c r="M9" s="204" t="s">
        <v>1314</v>
      </c>
      <c r="N9" s="222" t="s">
        <v>1345</v>
      </c>
      <c r="O9" s="213" t="s">
        <v>1314</v>
      </c>
      <c r="P9" s="204" t="s">
        <v>1315</v>
      </c>
      <c r="Q9" s="222" t="s">
        <v>1315</v>
      </c>
      <c r="R9" s="213" t="s">
        <v>1315</v>
      </c>
      <c r="S9" s="204" t="s">
        <v>1316</v>
      </c>
      <c r="T9" s="222" t="s">
        <v>1316</v>
      </c>
      <c r="U9" s="213" t="s">
        <v>1316</v>
      </c>
      <c r="V9" s="204" t="s">
        <v>1313</v>
      </c>
      <c r="W9" s="222" t="s">
        <v>1313</v>
      </c>
      <c r="X9" s="213" t="s">
        <v>1313</v>
      </c>
    </row>
    <row r="10" spans="1:24" ht="13.5" customHeight="1" x14ac:dyDescent="0.35">
      <c r="A10" s="576"/>
      <c r="B10" s="36"/>
      <c r="C10" s="250" t="s">
        <v>1673</v>
      </c>
      <c r="D10" s="36" t="str">
        <f t="shared" si="1"/>
        <v/>
      </c>
      <c r="F10" s="34" t="b">
        <v>0</v>
      </c>
      <c r="G10" s="33"/>
      <c r="H10" s="3">
        <v>1</v>
      </c>
      <c r="I10" s="3">
        <f>H10</f>
        <v>1</v>
      </c>
      <c r="J10" s="3">
        <f>Selection!C9</f>
        <v>488185414</v>
      </c>
      <c r="K10" s="210" t="str">
        <f>IF(I10=0,"",CONCATENATE("(",VLOOKUP(I10,I3:L6,3,FALSE),J10,VLOOKUP(I10,I3:L6,4,FALSE),") "))</f>
        <v xml:space="preserve">(cntry_enti_nbr = 488185414 AND level_cd = 'CTRY'  ) </v>
      </c>
      <c r="M10" s="204">
        <f>IF(I10=1,VALUE(J10),"")</f>
        <v>488185414</v>
      </c>
      <c r="N10" s="222" t="str">
        <f t="shared" ref="N10:O14" si="2">IF($I10=1,CONCATENATE(" WHEN cntry_enti_nbr = ",$J10," THEN 'Ex_Cat_1' 
"),"")</f>
        <v xml:space="preserve"> WHEN cntry_enti_nbr = 488185414 THEN 'Ex_Cat_1' 
</v>
      </c>
      <c r="O10" s="213" t="str">
        <f t="shared" si="2"/>
        <v xml:space="preserve"> WHEN cntry_enti_nbr = 488185414 THEN 'Ex_Cat_1' 
</v>
      </c>
      <c r="P10" s="204" t="str">
        <f>IF(I10=2,VALUE(J10),"")</f>
        <v/>
      </c>
      <c r="Q10" s="222" t="str">
        <f>IF($I10=2,CONCATENATE(" WHEN grp_enti_nbr = ",$J10," THEN 'Ex_Cat_1' 
"),"")</f>
        <v/>
      </c>
      <c r="R10" s="213" t="str">
        <f>IF($I10=2,CONCATENATE(" WHEN psgwa.cust_grp_id_nbr = ",$J10," THEN 'Ex_Cat_1' 
"),"")</f>
        <v/>
      </c>
      <c r="S10" s="204" t="str">
        <f>IF(I10=3,VALUE(J10),"")</f>
        <v/>
      </c>
      <c r="T10" s="222" t="str">
        <f>IF($I10=3,CONCATENATE(" WHEN sbgrp_enti_nbr = ",$J10," THEN 'Ex_Cat_1' 
"),"")</f>
        <v/>
      </c>
      <c r="U10" s="213" t="str">
        <f>IF($I10=3,CONCATENATE(" WHEN psgwa.cust_grp_id_nbr = ",$J10," THEN 'Ex_Cat_1' 
"),"")</f>
        <v/>
      </c>
      <c r="V10" s="204" t="str">
        <f>IF(I10=4,VALUE(J10),"")</f>
        <v/>
      </c>
      <c r="W10" s="222" t="str">
        <f>IF($I10=4,CONCATENATE(" WHEN cht.cust_acct_nbr = '",$J10,"' THEN 'Ex_Cat_1' 
"),"")</f>
        <v/>
      </c>
      <c r="X10" s="213" t="str">
        <f>IF($I10=4,CONCATENATE(" WHEN cvm.cust_acct_nbr = '",$J10,"' THEN 'Ex_Cat_1' 
"),"")</f>
        <v/>
      </c>
    </row>
    <row r="11" spans="1:24" ht="13.5" customHeight="1" x14ac:dyDescent="0.35">
      <c r="A11" s="576"/>
      <c r="B11" s="37"/>
      <c r="C11" s="37" t="str">
        <f>CONCATENATE($F$8,$M$37)</f>
        <v xml:space="preserve">cast('2025-03-01' as date) AND cast('2025-12-31'  as date)AND cht.cntry_enti_nbr IN (488185414) </v>
      </c>
      <c r="D11" s="36" t="str">
        <f t="shared" si="1"/>
        <v/>
      </c>
      <c r="F11" s="247" t="str">
        <f>CONCATENATE(" Surcharge Pricing Template ",Queries!F12)</f>
        <v xml:space="preserve"> Surcharge Pricing Template Mar2025-Dec2025</v>
      </c>
      <c r="G11" s="33"/>
      <c r="H11" s="3">
        <v>1</v>
      </c>
      <c r="I11" s="3">
        <f>H11-1</f>
        <v>0</v>
      </c>
      <c r="J11" s="3">
        <f>Selection!C10</f>
        <v>0</v>
      </c>
      <c r="K11" s="3"/>
      <c r="M11" s="204" t="str">
        <f t="shared" ref="M11:M24" si="3">IF(I11=1,VALUE(J11),"")</f>
        <v/>
      </c>
      <c r="N11" s="222" t="str">
        <f t="shared" si="2"/>
        <v/>
      </c>
      <c r="O11" s="213" t="str">
        <f t="shared" si="2"/>
        <v/>
      </c>
      <c r="P11" s="204" t="str">
        <f t="shared" ref="P11:P24" si="4">IF(I11=2,VALUE(J11),"")</f>
        <v/>
      </c>
      <c r="Q11" s="222" t="str">
        <f>IF($I11=2,CONCATENATE(" WHEN grp_enti_nbr = ",$J11," THEN 'Ex_Cat_1' 
"),"")</f>
        <v/>
      </c>
      <c r="R11" s="213" t="str">
        <f>IF($I11=2,CONCATENATE(" WHEN psgwa.cust_grp_id_nbr = ",$J11," THEN 'Ex_Cat_1' 
"),"")</f>
        <v/>
      </c>
      <c r="S11" s="204" t="str">
        <f t="shared" ref="S11:S24" si="5">IF(I11=3,VALUE(J11),"")</f>
        <v/>
      </c>
      <c r="T11" s="222" t="str">
        <f>IF($I11=3,CONCATENATE(" WHEN sbgrp_enti_nbr = ",$J11," THEN 'Ex_Cat_1' 
"),"")</f>
        <v/>
      </c>
      <c r="U11" s="213" t="str">
        <f>IF($I11=3,CONCATENATE(" WHEN psgwa.cust_grp_id_nbr = ",$J11," THEN 'Ex_Cat_1' 
"),"")</f>
        <v/>
      </c>
      <c r="V11" s="204" t="str">
        <f t="shared" ref="V11:V24" si="6">IF(I11=4,VALUE(J11),"")</f>
        <v/>
      </c>
      <c r="W11" s="222" t="str">
        <f>IF($I11=4,CONCATENATE(" WHEN cht.cust_acct_nbr = '",$J11,"' THEN 'Ex_Cat_1' 
"),"")</f>
        <v/>
      </c>
      <c r="X11" s="213" t="str">
        <f>IF($I11=4,CONCATENATE(" WHEN cvm.cust_acct_nbr = '",$J11,"' THEN 'Ex_Cat_1' 
"),"")</f>
        <v/>
      </c>
    </row>
    <row r="12" spans="1:24" ht="13.5" customHeight="1" x14ac:dyDescent="0.35">
      <c r="A12" s="576"/>
      <c r="B12" s="37"/>
      <c r="C12" s="36" t="s">
        <v>10</v>
      </c>
      <c r="D12" s="36" t="str">
        <f t="shared" si="1"/>
        <v/>
      </c>
      <c r="F12" s="34" t="str">
        <f>CONCATENATE(TEXT(F5,"mmmyyyy"),"-",TEXT(F6,"mmmyyyy"))</f>
        <v>Mar2025-Dec2025</v>
      </c>
      <c r="G12" s="33"/>
      <c r="H12" s="3">
        <v>1</v>
      </c>
      <c r="I12" s="3">
        <f>H12-1</f>
        <v>0</v>
      </c>
      <c r="J12" s="3">
        <f>Selection!C11</f>
        <v>0</v>
      </c>
      <c r="K12" s="3"/>
      <c r="M12" s="204" t="str">
        <f t="shared" si="3"/>
        <v/>
      </c>
      <c r="N12" s="222" t="str">
        <f t="shared" si="2"/>
        <v/>
      </c>
      <c r="O12" s="213" t="str">
        <f t="shared" si="2"/>
        <v/>
      </c>
      <c r="P12" s="204" t="str">
        <f t="shared" si="4"/>
        <v/>
      </c>
      <c r="Q12" s="222" t="str">
        <f>IF($I12=2,CONCATENATE(" WHEN grp_enti_nbr = ",$J12," THEN 'Ex_Cat_1' 
"),"")</f>
        <v/>
      </c>
      <c r="R12" s="213" t="str">
        <f>IF($I12=2,CONCATENATE(" WHEN psgwa.cust_grp_id_nbr = ",$J12," THEN 'Ex_Cat_1' 
"),"")</f>
        <v/>
      </c>
      <c r="S12" s="204" t="str">
        <f t="shared" si="5"/>
        <v/>
      </c>
      <c r="T12" s="222" t="str">
        <f>IF($I12=3,CONCATENATE(" WHEN sbgrp_enti_nbr = ",$J12," THEN 'Ex_Cat_1' 
"),"")</f>
        <v/>
      </c>
      <c r="U12" s="213" t="str">
        <f>IF($I12=3,CONCATENATE(" WHEN psgwa.cust_grp_id_nbr = ",$J12," THEN 'Ex_Cat_1' 
"),"")</f>
        <v/>
      </c>
      <c r="V12" s="204" t="str">
        <f t="shared" si="6"/>
        <v/>
      </c>
      <c r="W12" s="222" t="str">
        <f>IF($I12=4,CONCATENATE(" WHEN cht.cust_acct_nbr = '",$J12,"' THEN 'Ex_Cat_1' 
"),"")</f>
        <v/>
      </c>
      <c r="X12" s="213" t="str">
        <f>IF($I12=4,CONCATENATE(" WHEN cvm.cust_acct_nbr = '",$J12,"' THEN 'Ex_Cat_1' 
"),"")</f>
        <v/>
      </c>
    </row>
    <row r="13" spans="1:24" ht="13.5" customHeight="1" x14ac:dyDescent="0.35">
      <c r="A13" s="576"/>
      <c r="B13" s="37"/>
      <c r="C13" s="36" t="str">
        <f>CONCATENATE("SELECT 
",$R$38," 
")</f>
        <v xml:space="preserve">SELECT 
CASE  WHEN cntry_enti_nbr = 488185414 THEN 'Gr_Cat_1' 
 Else 'Other' END AS Categories, 
</v>
      </c>
      <c r="D13" s="36" t="str">
        <f t="shared" si="1"/>
        <v/>
      </c>
      <c r="G13" s="33"/>
      <c r="H13" s="3">
        <v>1</v>
      </c>
      <c r="I13" s="3">
        <f>H13-1</f>
        <v>0</v>
      </c>
      <c r="J13" s="3">
        <f>Selection!C12</f>
        <v>0</v>
      </c>
      <c r="K13" s="3"/>
      <c r="M13" s="204" t="str">
        <f t="shared" si="3"/>
        <v/>
      </c>
      <c r="N13" s="222" t="str">
        <f t="shared" si="2"/>
        <v/>
      </c>
      <c r="O13" s="213" t="str">
        <f t="shared" si="2"/>
        <v/>
      </c>
      <c r="P13" s="204" t="str">
        <f t="shared" si="4"/>
        <v/>
      </c>
      <c r="Q13" s="222" t="str">
        <f>IF($I13=2,CONCATENATE(" WHEN grp_enti_nbr = ",$J13," THEN 'Ex_Cat_1' 
"),"")</f>
        <v/>
      </c>
      <c r="R13" s="213" t="str">
        <f>IF($I13=2,CONCATENATE(" WHEN psgwa.cust_grp_id_nbr = ",$J13," THEN 'Ex_Cat_1' 
"),"")</f>
        <v/>
      </c>
      <c r="S13" s="204" t="str">
        <f t="shared" si="5"/>
        <v/>
      </c>
      <c r="T13" s="222" t="str">
        <f>IF($I13=3,CONCATENATE(" WHEN sbgrp_enti_nbr = ",$J13," THEN 'Ex_Cat_1' 
"),"")</f>
        <v/>
      </c>
      <c r="U13" s="213" t="str">
        <f>IF($I13=3,CONCATENATE(" WHEN psgwa.cust_grp_id_nbr = ",$J13," THEN 'Ex_Cat_1' 
"),"")</f>
        <v/>
      </c>
      <c r="V13" s="204" t="str">
        <f t="shared" si="6"/>
        <v/>
      </c>
      <c r="W13" s="222" t="str">
        <f>IF($I13=4,CONCATENATE(" WHEN cht.cust_acct_nbr = '",$J13,"' THEN 'Ex_Cat_1' 
"),"")</f>
        <v/>
      </c>
      <c r="X13" s="213" t="str">
        <f>IF($I13=4,CONCATENATE(" WHEN cvm.cust_acct_nbr = '",$J13,"' THEN 'Ex_Cat_1' 
"),"")</f>
        <v/>
      </c>
    </row>
    <row r="14" spans="1:24" ht="13.5" customHeight="1" x14ac:dyDescent="0.35">
      <c r="A14" s="576"/>
      <c r="B14" s="37"/>
      <c r="C14" s="250" t="s">
        <v>1364</v>
      </c>
      <c r="D14" s="36" t="str">
        <f t="shared" si="1"/>
        <v/>
      </c>
      <c r="G14" s="33"/>
      <c r="H14" s="3">
        <v>1</v>
      </c>
      <c r="I14" s="3">
        <f>H14-1</f>
        <v>0</v>
      </c>
      <c r="J14" s="3">
        <f>Selection!C13</f>
        <v>0</v>
      </c>
      <c r="K14" s="3"/>
      <c r="M14" s="204" t="str">
        <f t="shared" si="3"/>
        <v/>
      </c>
      <c r="N14" s="222" t="str">
        <f t="shared" si="2"/>
        <v/>
      </c>
      <c r="O14" s="213" t="str">
        <f t="shared" si="2"/>
        <v/>
      </c>
      <c r="P14" s="204" t="str">
        <f t="shared" si="4"/>
        <v/>
      </c>
      <c r="Q14" s="222" t="str">
        <f>IF($I14=2,CONCATENATE(" WHEN grp_enti_nbr = ",$J14," THEN 'Ex_Cat_1' 
"),"")</f>
        <v/>
      </c>
      <c r="R14" s="213" t="str">
        <f>IF($I14=2,CONCATENATE(" WHEN psgwa.cust_grp_id_nbr = ",$J14," THEN 'Ex_Cat_1' 
"),"")</f>
        <v/>
      </c>
      <c r="S14" s="204" t="str">
        <f t="shared" si="5"/>
        <v/>
      </c>
      <c r="T14" s="222" t="str">
        <f>IF($I14=3,CONCATENATE(" WHEN sbgrp_enti_nbr = ",$J14," THEN 'Ex_Cat_1' 
"),"")</f>
        <v/>
      </c>
      <c r="U14" s="213" t="str">
        <f>IF($I14=3,CONCATENATE(" WHEN psgwa.cust_grp_id_nbr = ",$J14," THEN 'Ex_Cat_1' 
"),"")</f>
        <v/>
      </c>
      <c r="V14" s="204" t="str">
        <f t="shared" si="6"/>
        <v/>
      </c>
      <c r="W14" s="222" t="str">
        <f>IF($I14=4,CONCATENATE(" WHEN cht.cust_acct_nbr = '",$J14,"' THEN 'Ex_Cat_1' 
"),"")</f>
        <v/>
      </c>
      <c r="X14" s="213" t="str">
        <f>IF($I14=4,CONCATENATE(" WHEN cvm.cust_acct_nbr = '",$J14,"' THEN 'Ex_Cat_1' 
"),"")</f>
        <v/>
      </c>
    </row>
    <row r="15" spans="1:24" ht="12.75" customHeight="1" x14ac:dyDescent="0.35">
      <c r="A15" s="576"/>
      <c r="B15" s="37"/>
      <c r="C15" s="37" t="str">
        <f>CONCATENATE($F$8,$M$37)</f>
        <v xml:space="preserve">cast('2025-03-01' as date) AND cast('2025-12-31'  as date)AND cht.cntry_enti_nbr IN (488185414) </v>
      </c>
      <c r="D15" s="36" t="str">
        <f t="shared" si="1"/>
        <v/>
      </c>
      <c r="H15" s="205" t="s">
        <v>1328</v>
      </c>
      <c r="I15" s="3"/>
      <c r="J15" s="3"/>
      <c r="K15" s="3"/>
      <c r="M15" s="29" t="str">
        <f t="shared" si="3"/>
        <v/>
      </c>
      <c r="N15" s="11" t="str">
        <f t="shared" ref="N15:O19" si="7">IF($I16=1,CONCATENATE(" WHEN cntry_enti_nbr = ",$J16," THEN 'Ex_Cat_2' 
"),"")</f>
        <v/>
      </c>
      <c r="O15" s="214" t="str">
        <f t="shared" si="7"/>
        <v/>
      </c>
      <c r="P15" s="29" t="str">
        <f t="shared" si="4"/>
        <v/>
      </c>
      <c r="Q15" s="11" t="str">
        <f>IF($I16=2,CONCATENATE(" WHEN grp_enti_nbr = ",$J16," THEN 'Ex_Cat_2' 
"),"")</f>
        <v/>
      </c>
      <c r="R15" s="214" t="str">
        <f>IF($I16=2,CONCATENATE(" WHEN psgwa.cust_grp_id_nbr = ",$J16," THEN 'Ex_Cat_2' 
"),"")</f>
        <v/>
      </c>
      <c r="S15" s="29" t="str">
        <f t="shared" si="5"/>
        <v/>
      </c>
      <c r="T15" s="11" t="str">
        <f>IF($I16=3,CONCATENATE(" WHEN sbgrp_enti_nbr = ",$J16," THEN 'Ex_Cat_2' 
"),"")</f>
        <v/>
      </c>
      <c r="U15" s="214" t="str">
        <f>IF($I16=3,CONCATENATE(" WHEN psgwa.cust_grp_id_nbr = ",$J16," THEN 'Ex_Cat_2' 
"),"")</f>
        <v/>
      </c>
      <c r="V15" s="29" t="str">
        <f t="shared" si="6"/>
        <v/>
      </c>
      <c r="W15" s="11" t="str">
        <f>IF($I16=4,CONCATENATE(" WHEN cht.cust_acct_nbr = '",$J16,"' THEN 'Ex_Cat_2' 
"),"")</f>
        <v/>
      </c>
      <c r="X15" s="214" t="str">
        <f>IF($I16=4,CONCATENATE(" WHEN cvm.cust_acct_nbr = '",$J16,"' THEN 'Ex_Cat_2' 
"),"")</f>
        <v/>
      </c>
    </row>
    <row r="16" spans="1:24" ht="13.5" customHeight="1" x14ac:dyDescent="0.35">
      <c r="A16" s="248"/>
      <c r="B16" s="11"/>
      <c r="C16" s="85" t="s">
        <v>10</v>
      </c>
      <c r="D16" s="85" t="str">
        <f>IF(AND($B$9=TRUE,OR($B$17=TRUE,$B$25=TRUE,$B$29=TRUE)),$C$16,"")</f>
        <v/>
      </c>
      <c r="E16" s="42" t="s">
        <v>1359</v>
      </c>
      <c r="F16" t="str">
        <f>IF(SUM(I16:I20)&gt;0,"TRUE","FALSE")</f>
        <v>FALSE</v>
      </c>
      <c r="H16" s="3">
        <v>1</v>
      </c>
      <c r="I16" s="3">
        <f>H16-1</f>
        <v>0</v>
      </c>
      <c r="J16" s="3">
        <f>Selection!F9</f>
        <v>0</v>
      </c>
      <c r="K16" s="210" t="str">
        <f>IF(I16=0,"",CONCATENATE(" OR (",VLOOKUP(I16,I3:L6,3,FALSE),J16,VLOOKUP(I16,I3:L6,4,FALSE),")"))</f>
        <v/>
      </c>
      <c r="M16" s="29" t="str">
        <f t="shared" si="3"/>
        <v/>
      </c>
      <c r="N16" s="11" t="str">
        <f t="shared" si="7"/>
        <v/>
      </c>
      <c r="O16" s="214" t="str">
        <f t="shared" si="7"/>
        <v/>
      </c>
      <c r="P16" s="29" t="str">
        <f t="shared" si="4"/>
        <v/>
      </c>
      <c r="Q16" s="11" t="str">
        <f>IF($I17=2,CONCATENATE(" WHEN grp_enti_nbr = ",$J17," THEN 'Ex_Cat_2' 
"),"")</f>
        <v/>
      </c>
      <c r="R16" s="214" t="str">
        <f>IF($I17=2,CONCATENATE(" WHEN psgwa.cust_grp_id_nbr = ",$J17," THEN 'Ex_Cat_2' 
"),"")</f>
        <v/>
      </c>
      <c r="S16" s="29" t="str">
        <f t="shared" si="5"/>
        <v/>
      </c>
      <c r="T16" s="11" t="str">
        <f>IF($I17=3,CONCATENATE(" WHEN sbgrp_enti_nbr = ",$J17," THEN 'Ex_Cat_2' 
"),"")</f>
        <v/>
      </c>
      <c r="U16" s="214" t="str">
        <f>IF($I17=3,CONCATENATE(" WHEN psgwa.cust_grp_id_nbr = ",$J17," THEN 'Ex_Cat_2' 
"),"")</f>
        <v/>
      </c>
      <c r="V16" s="29" t="str">
        <f t="shared" si="6"/>
        <v/>
      </c>
      <c r="W16" s="11" t="str">
        <f>IF($I17=4,CONCATENATE(" WHEN cht.cust_acct_nbr = '",$J17,"' THEN 'Ex_Cat_2' 
"),"")</f>
        <v/>
      </c>
      <c r="X16" s="214" t="str">
        <f>IF($I17=4,CONCATENATE(" WHEN cvm.cust_acct_nbr = '",$J17,"' THEN 'Ex_Cat_2' 
"),"")</f>
        <v/>
      </c>
    </row>
    <row r="17" spans="1:24" ht="13.5" customHeight="1" x14ac:dyDescent="0.35">
      <c r="A17" s="577" t="s">
        <v>1363</v>
      </c>
      <c r="B17" s="23" t="b">
        <v>1</v>
      </c>
      <c r="C17" s="23" t="str">
        <f>CONCATENATE("SELECT 
",$R$38," 
")</f>
        <v xml:space="preserve">SELECT 
CASE  WHEN cntry_enti_nbr = 488185414 THEN 'Gr_Cat_1' 
 Else 'Other' END AS Categories, 
</v>
      </c>
      <c r="D17" s="23" t="str">
        <f t="shared" ref="D17:D22" si="8">IF($B$17=TRUE,C17,"")</f>
        <v xml:space="preserve">SELECT 
CASE  WHEN cntry_enti_nbr = 488185414 THEN 'Gr_Cat_1' 
 Else 'Other' END AS Categories, 
</v>
      </c>
      <c r="E17" s="23" t="str">
        <f>CONCATENATE(D1,D17,D18,D19,D20,D21,D22,D23,D32)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488185414 THEN 'Gr_Cat_1' 
 Else 'Other' END AS Categories,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CAST(bill.dstc_rgn_cd AS VarChar(2)) AS _Zone,
1 AS Occurrences
FROM UI_ISH_PROD_DB.billed_dom_ground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bill.ab_inv_typ_ind NOT IN ('0') 
AND m.misc_amt &gt;= 0  
AND Surcharge_Code NOT IN ('D-057','D-055')
AND  bill.ab_inv_typ_ind NOT IN ('0') AND bill.inv_dt BETWEEN cast('2025-03-01' as date) AND cast('2025-12-31'  as date)AND cht.cntry_enti_nbr IN (488185414)  UNION ALL SELECT 
CASE  WHEN cntry_enti_nbr = 488185414 THEN 'Gr_Cat_1' 
 Else 'Other' END AS Categories,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Case
WHEN bill.DSTC_RGN_CD IN (' ','00')
THEN 'Non Zone'
else CAST(bill.dstc_rgn_cd AS VarChar(2)) end AS _Zone,
1 AS Occurrences
FROM UI_ISH_PROD_DB.BILLED_DOM_GRND_CUSTLVL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m.misc_amt &gt;= 0  AND Surcharge_Code NOT IN ('D-057','D-055')
AND  bill.ab_inv_typ_ind NOT IN ('0') AND bill.inv_dt BETWEEN cast('2025-03-01' as date) AND cast('2025-12-31'  as date)AND cht.cntry_enti_nbr IN (488185414) ) Roll 
GROUP BY 1, 2, 3, 4, 5, 6, 7</v>
      </c>
      <c r="H17" s="3">
        <v>1</v>
      </c>
      <c r="I17" s="3">
        <f>H17-1</f>
        <v>0</v>
      </c>
      <c r="J17" s="3">
        <f>Selection!F10</f>
        <v>0</v>
      </c>
      <c r="K17" s="3"/>
      <c r="M17" s="29" t="str">
        <f t="shared" si="3"/>
        <v/>
      </c>
      <c r="N17" s="11" t="str">
        <f t="shared" si="7"/>
        <v/>
      </c>
      <c r="O17" s="214" t="str">
        <f t="shared" si="7"/>
        <v/>
      </c>
      <c r="P17" s="29" t="str">
        <f t="shared" si="4"/>
        <v/>
      </c>
      <c r="Q17" s="11" t="str">
        <f>IF($I18=2,CONCATENATE(" WHEN grp_enti_nbr = ",$J18," THEN 'Ex_Cat_2' 
"),"")</f>
        <v/>
      </c>
      <c r="R17" s="214" t="str">
        <f>IF($I18=2,CONCATENATE(" WHEN psgwa.cust_grp_id_nbr = ",$J18," THEN 'Ex_Cat_2' 
"),"")</f>
        <v/>
      </c>
      <c r="S17" s="29" t="str">
        <f t="shared" si="5"/>
        <v/>
      </c>
      <c r="T17" s="11" t="str">
        <f>IF($I18=3,CONCATENATE(" WHEN sbgrp_enti_nbr = ",$J18," THEN 'Ex_Cat_2' 
"),"")</f>
        <v/>
      </c>
      <c r="U17" s="214" t="str">
        <f>IF($I18=3,CONCATENATE(" WHEN psgwa.cust_grp_id_nbr = ",$J18," THEN 'Ex_Cat_2' 
"),"")</f>
        <v/>
      </c>
      <c r="V17" s="29" t="str">
        <f t="shared" si="6"/>
        <v/>
      </c>
      <c r="W17" s="11" t="str">
        <f>IF($I18=4,CONCATENATE(" WHEN cht.cust_acct_nbr = '",$J18,"' THEN 'Ex_Cat_2' 
"),"")</f>
        <v/>
      </c>
      <c r="X17" s="214" t="str">
        <f>IF($I18=4,CONCATENATE(" WHEN cvm.cust_acct_nbr = '",$J18,"' THEN 'Ex_Cat_2' 
"),"")</f>
        <v/>
      </c>
    </row>
    <row r="18" spans="1:24" ht="13.5" customHeight="1" x14ac:dyDescent="0.35">
      <c r="A18" s="577"/>
      <c r="B18" s="23"/>
      <c r="C18" s="251" t="s">
        <v>1674</v>
      </c>
      <c r="D18" s="23" t="str">
        <f t="shared" si="8"/>
        <v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CAST(bill.dstc_rgn_cd AS VarChar(2)) AS _Zone,
1 AS Occurrences
FROM UI_ISH_PROD_DB.billed_dom_ground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bill.ab_inv_typ_ind NOT IN ('0') 
AND m.misc_amt &gt;= 0  
AND Surcharge_Code NOT IN ('D-057','D-055')
AND  bill.ab_inv_typ_ind NOT IN ('0') AND bill.inv_dt BETWEEN </v>
      </c>
      <c r="H18" s="3">
        <v>1</v>
      </c>
      <c r="I18" s="3">
        <f>H18-1</f>
        <v>0</v>
      </c>
      <c r="J18" s="3">
        <f>Selection!F11</f>
        <v>0</v>
      </c>
      <c r="K18" s="3"/>
      <c r="M18" s="29" t="str">
        <f t="shared" si="3"/>
        <v/>
      </c>
      <c r="N18" s="11" t="str">
        <f t="shared" si="7"/>
        <v/>
      </c>
      <c r="O18" s="214" t="str">
        <f t="shared" si="7"/>
        <v/>
      </c>
      <c r="P18" s="29" t="str">
        <f t="shared" si="4"/>
        <v/>
      </c>
      <c r="Q18" s="11" t="str">
        <f>IF($I19=2,CONCATENATE(" WHEN grp_enti_nbr = ",$J19," THEN 'Ex_Cat_2' 
"),"")</f>
        <v/>
      </c>
      <c r="R18" s="214" t="str">
        <f>IF($I19=2,CONCATENATE(" WHEN psgwa.cust_grp_id_nbr = ",$J19," THEN 'Ex_Cat_2' 
"),"")</f>
        <v/>
      </c>
      <c r="S18" s="29" t="str">
        <f t="shared" si="5"/>
        <v/>
      </c>
      <c r="T18" s="11" t="str">
        <f>IF($I19=3,CONCATENATE(" WHEN sbgrp_enti_nbr = ",$J19," THEN 'Ex_Cat_2' 
"),"")</f>
        <v/>
      </c>
      <c r="U18" s="214" t="str">
        <f>IF($I19=3,CONCATENATE(" WHEN psgwa.cust_grp_id_nbr = ",$J19," THEN 'Ex_Cat_2' 
"),"")</f>
        <v/>
      </c>
      <c r="V18" s="29" t="str">
        <f t="shared" si="6"/>
        <v/>
      </c>
      <c r="W18" s="11" t="str">
        <f>IF($I19=4,CONCATENATE(" WHEN cht.cust_acct_nbr = '",$J19,"' THEN 'Ex_Cat_2' 
"),"")</f>
        <v/>
      </c>
      <c r="X18" s="214" t="str">
        <f>IF($I19=4,CONCATENATE(" WHEN cvm.cust_acct_nbr = '",$J19,"' THEN 'Ex_Cat_2' 
"),"")</f>
        <v/>
      </c>
    </row>
    <row r="19" spans="1:24" ht="13.5" customHeight="1" x14ac:dyDescent="0.35">
      <c r="A19" s="577"/>
      <c r="B19" s="23"/>
      <c r="C19" s="23" t="str">
        <f>CONCATENATE($F$8,$M$37)</f>
        <v xml:space="preserve">cast('2025-03-01' as date) AND cast('2025-12-31'  as date)AND cht.cntry_enti_nbr IN (488185414) </v>
      </c>
      <c r="D19" s="23" t="str">
        <f t="shared" si="8"/>
        <v xml:space="preserve">cast('2025-03-01' as date) AND cast('2025-12-31'  as date)AND cht.cntry_enti_nbr IN (488185414) </v>
      </c>
      <c r="H19" s="3">
        <v>1</v>
      </c>
      <c r="I19" s="3">
        <f>H19-1</f>
        <v>0</v>
      </c>
      <c r="J19" s="3">
        <f>Selection!F12</f>
        <v>0</v>
      </c>
      <c r="K19" s="3"/>
      <c r="M19" s="29" t="str">
        <f t="shared" si="3"/>
        <v/>
      </c>
      <c r="N19" s="11" t="str">
        <f t="shared" si="7"/>
        <v/>
      </c>
      <c r="O19" s="214" t="str">
        <f t="shared" si="7"/>
        <v/>
      </c>
      <c r="P19" s="29" t="str">
        <f t="shared" si="4"/>
        <v/>
      </c>
      <c r="Q19" s="11" t="str">
        <f>IF($I20=2,CONCATENATE(" WHEN grp_enti_nbr = ",$J20," THEN 'Ex_Cat_2' 
"),"")</f>
        <v/>
      </c>
      <c r="R19" s="214" t="str">
        <f>IF($I20=2,CONCATENATE(" WHEN psgwa.cust_grp_id_nbr = ",$J20," THEN 'Ex_Cat_2' 
"),"")</f>
        <v/>
      </c>
      <c r="S19" s="29" t="str">
        <f t="shared" si="5"/>
        <v/>
      </c>
      <c r="T19" s="11" t="str">
        <f>IF($I20=3,CONCATENATE(" WHEN sbgrp_enti_nbr = ",$J20," THEN 'Ex_Cat_2' 
"),"")</f>
        <v/>
      </c>
      <c r="U19" s="214" t="str">
        <f>IF($I20=3,CONCATENATE(" WHEN psgwa.cust_grp_id_nbr = ",$J20," THEN 'Ex_Cat_2' 
"),"")</f>
        <v/>
      </c>
      <c r="V19" s="29" t="str">
        <f t="shared" si="6"/>
        <v/>
      </c>
      <c r="W19" s="11" t="str">
        <f>IF($I20=4,CONCATENATE(" WHEN cht.cust_acct_nbr = '",$J20,"' THEN 'Ex_Cat_2' 
"),"")</f>
        <v/>
      </c>
      <c r="X19" s="214" t="str">
        <f>IF($I20=4,CONCATENATE(" WHEN cvm.cust_acct_nbr = '",$J20,"' THEN 'Ex_Cat_2' 
"),"")</f>
        <v/>
      </c>
    </row>
    <row r="20" spans="1:24" ht="13.5" customHeight="1" x14ac:dyDescent="0.35">
      <c r="A20" s="577"/>
      <c r="B20" s="23"/>
      <c r="C20" s="23" t="s">
        <v>963</v>
      </c>
      <c r="D20" s="23" t="str">
        <f t="shared" si="8"/>
        <v xml:space="preserve"> UNION ALL </v>
      </c>
      <c r="H20" s="3">
        <v>1</v>
      </c>
      <c r="I20" s="3">
        <f>H20-1</f>
        <v>0</v>
      </c>
      <c r="J20" s="3">
        <f>Selection!F13</f>
        <v>0</v>
      </c>
      <c r="K20" s="3"/>
      <c r="M20" s="211" t="str">
        <f t="shared" si="3"/>
        <v/>
      </c>
      <c r="N20" s="223" t="str">
        <f t="shared" ref="N20:O24" si="9">IF($I22=1,CONCATENATE(" WHEN cntry_enti_nbr = ",$J22," THEN 'Ex_Cat_3' 
"),"")</f>
        <v/>
      </c>
      <c r="O20" s="192" t="str">
        <f t="shared" si="9"/>
        <v/>
      </c>
      <c r="P20" s="211" t="str">
        <f t="shared" si="4"/>
        <v/>
      </c>
      <c r="Q20" s="223" t="str">
        <f>IF($I22=2,CONCATENATE(" WHEN grp_enti_nbr = ",$J22," THEN 'Ex_Cat_3' 
"),"")</f>
        <v/>
      </c>
      <c r="R20" s="192" t="str">
        <f>IF($I22=2,CONCATENATE(" WHEN psgwa.cust_grp_id_nbr = ",$J22," THEN 'Ex_Cat_3' 
"),"")</f>
        <v/>
      </c>
      <c r="S20" s="211" t="str">
        <f t="shared" si="5"/>
        <v/>
      </c>
      <c r="T20" s="223" t="str">
        <f>IF($I22=3,CONCATENATE(" WHEN sbgrp_enti_nbr = ",$J22," THEN 'Ex_Cat_3' 
"),"")</f>
        <v/>
      </c>
      <c r="U20" s="192" t="str">
        <f>IF($I22=3,CONCATENATE(" WHEN psgwa.cust_grp_id_nbr = ",$J22," THEN 'Ex_Cat_3' 
"),"")</f>
        <v/>
      </c>
      <c r="V20" s="211" t="str">
        <f t="shared" si="6"/>
        <v/>
      </c>
      <c r="W20" s="223" t="str">
        <f>IF($I22=4,CONCATENATE(" WHEN cht.cust_acct_nbr = '",$J22,"' THEN 'Ex_Cat_3' 
"),"")</f>
        <v/>
      </c>
      <c r="X20" s="192" t="str">
        <f>IF($I22=4,CONCATENATE(" WHEN cvm.cust_acct_nbr = '",$J22,"' THEN 'Ex_Cat_3' 
"),"")</f>
        <v/>
      </c>
    </row>
    <row r="21" spans="1:24" ht="13.5" customHeight="1" x14ac:dyDescent="0.35">
      <c r="A21" s="577"/>
      <c r="B21" s="23"/>
      <c r="C21" s="23" t="str">
        <f>CONCATENATE("SELECT 
",$R$38," 
")</f>
        <v xml:space="preserve">SELECT 
CASE  WHEN cntry_enti_nbr = 488185414 THEN 'Gr_Cat_1' 
 Else 'Other' END AS Categories, 
</v>
      </c>
      <c r="D21" s="23" t="str">
        <f t="shared" si="8"/>
        <v xml:space="preserve">SELECT 
CASE  WHEN cntry_enti_nbr = 488185414 THEN 'Gr_Cat_1' 
 Else 'Other' END AS Categories, 
</v>
      </c>
      <c r="F21" t="str">
        <f>IF(SUM(I22:I26)&gt;0,"TRUE","FALSE")</f>
        <v>FALSE</v>
      </c>
      <c r="H21" s="205" t="s">
        <v>1329</v>
      </c>
      <c r="I21" s="3"/>
      <c r="J21" s="3"/>
      <c r="K21" s="3"/>
      <c r="M21" s="211" t="str">
        <f t="shared" si="3"/>
        <v/>
      </c>
      <c r="N21" s="223" t="str">
        <f t="shared" si="9"/>
        <v/>
      </c>
      <c r="O21" s="192" t="str">
        <f t="shared" si="9"/>
        <v/>
      </c>
      <c r="P21" s="211" t="str">
        <f t="shared" si="4"/>
        <v/>
      </c>
      <c r="Q21" s="223" t="str">
        <f>IF($I23=2,CONCATENATE(" WHEN grp_enti_nbr = ",$J23," THEN 'Ex_Cat_3' 
"),"")</f>
        <v/>
      </c>
      <c r="R21" s="192" t="str">
        <f>IF($I23=2,CONCATENATE(" WHEN psgwa.cust_grp_id_nbr = ",$J23," THEN 'Ex_Cat_3' 
"),"")</f>
        <v/>
      </c>
      <c r="S21" s="211" t="str">
        <f t="shared" si="5"/>
        <v/>
      </c>
      <c r="T21" s="223" t="str">
        <f>IF($I23=3,CONCATENATE(" WHEN sbgrp_enti_nbr = ",$J23," THEN 'Ex_Cat_3' 
"),"")</f>
        <v/>
      </c>
      <c r="U21" s="192" t="str">
        <f>IF($I23=3,CONCATENATE(" WHEN psgwa.cust_grp_id_nbr = ",$J23," THEN 'Ex_Cat_3' 
"),"")</f>
        <v/>
      </c>
      <c r="V21" s="211" t="str">
        <f t="shared" si="6"/>
        <v/>
      </c>
      <c r="W21" s="223" t="str">
        <f>IF($I23=4,CONCATENATE(" WHEN cht.cust_acct_nbr = '",$J23,"' THEN 'Ex_Cat_3' 
"),"")</f>
        <v/>
      </c>
      <c r="X21" s="192" t="str">
        <f>IF($I23=4,CONCATENATE(" WHEN cvm.cust_acct_nbr = '",$J23,"' THEN 'Ex_Cat_3' 
"),"")</f>
        <v/>
      </c>
    </row>
    <row r="22" spans="1:24" ht="13.5" customHeight="1" x14ac:dyDescent="0.35">
      <c r="A22" s="577"/>
      <c r="B22" s="23"/>
      <c r="C22" s="251" t="s">
        <v>1675</v>
      </c>
      <c r="D22" s="23" t="str">
        <f t="shared" si="8"/>
        <v xml:space="preserve"> 'Ground' AS OpCo, 
'Domestic' AS Dom_Intl, 
CASE
   WHEN TRIM(LEADING '0' FROM(SHP_GRND_TRK_PREFIX)) LIKE '997%' THEN 'Call Tag'   
   WHEN grnd_svc_cd  IN ('131','135','136','137','140','141','836','842','847','848') THEN 'Return Manager'
   WHEN grnd_svc_cd  IN('018','025','484','284','214','314') THEN 'Package Return Program'
   WHEN grnd_svc_cd IN ('900') THEN 'Returns System'
   WHEN grnd_srt_key IN ('601','602','611','612','621','622','631','632','641','642') THEN 'Multiweight'
   WHEN svc_bas_cd='92' THEN 'Ground' 
   WHEN svc_bas_cd='90' THEN 'Home Delivery'
   ELSE 'Other '||grnd_srt_key 
END AS Product_Name,
'D-'||m.misc_resn_cd AS Surcharge_Code,
'See Code Table' AS surch_desc, 
m.misc_amt AS misc_amt_usd,
Case
WHEN bill.DSTC_RGN_CD IN (' ','00')
THEN 'Non Zone'
else CAST(bill.dstc_rgn_cd AS VarChar(2)) end AS _Zone,
1 AS Occurrences
FROM UI_ISH_PROD_DB.BILLED_DOM_GRND_CUSTLVL bill
JOIN ui_ish_prod_db.customer cust ON cust.cust_nbr = payr_cust_nbr
JOIN customer_prod_view_db.cust_view_mgmt_hierarchy cht ON cht.cust_view_mgmt_type_cd = 'ACCT' AND cht.expr_tmstp &gt; current_timestamp AND contr_enti_view_flg = 'Y' AND cht.cust_acct_nbr = cust.cust_acct_nbr 
INNER JOIN UI_ISH_PROD_DB.dom_inv_misc m ON bill.INV_UNIQUE_ID = m.inv_unique_id AND bill.AB_SEQ_NBR = m.ab_seq_nbr 
WHERE  m.misc_amt &gt;= 0  AND Surcharge_Code NOT IN ('D-057','D-055')
AND  bill.ab_inv_typ_ind NOT IN ('0') AND bill.inv_dt BETWEEN </v>
      </c>
      <c r="H22" s="3">
        <v>1</v>
      </c>
      <c r="I22" s="3">
        <f>H22-1</f>
        <v>0</v>
      </c>
      <c r="J22" s="3">
        <f>Selection!I9</f>
        <v>0</v>
      </c>
      <c r="K22" s="210" t="str">
        <f>IF(I22=0,"",CONCATENATE(" OR (",VLOOKUP(I22,I3:L6,3,FALSE),J22,VLOOKUP(I22,I3:L6,4,FALSE),")"))</f>
        <v/>
      </c>
      <c r="M22" s="211" t="str">
        <f t="shared" si="3"/>
        <v/>
      </c>
      <c r="N22" s="223" t="str">
        <f t="shared" si="9"/>
        <v/>
      </c>
      <c r="O22" s="192" t="str">
        <f t="shared" si="9"/>
        <v/>
      </c>
      <c r="P22" s="211" t="str">
        <f t="shared" si="4"/>
        <v/>
      </c>
      <c r="Q22" s="223" t="str">
        <f>IF($I24=2,CONCATENATE(" WHEN grp_enti_nbr = ",$J24," THEN 'Ex_Cat_3' 
"),"")</f>
        <v/>
      </c>
      <c r="R22" s="192" t="str">
        <f>IF($I24=2,CONCATENATE(" WHEN psgwa.cust_grp_id_nbr = ",$J24," THEN 'Ex_Cat_3' 
"),"")</f>
        <v/>
      </c>
      <c r="S22" s="211" t="str">
        <f t="shared" si="5"/>
        <v/>
      </c>
      <c r="T22" s="223" t="str">
        <f>IF($I24=3,CONCATENATE(" WHEN sbgrp_enti_nbr = ",$J24," THEN 'Ex_Cat_3' 
"),"")</f>
        <v/>
      </c>
      <c r="U22" s="192" t="str">
        <f>IF($I24=3,CONCATENATE(" WHEN psgwa.cust_grp_id_nbr = ",$J24," THEN 'Ex_Cat_3' 
"),"")</f>
        <v/>
      </c>
      <c r="V22" s="211" t="str">
        <f t="shared" si="6"/>
        <v/>
      </c>
      <c r="W22" s="223" t="str">
        <f>IF($I24=4,CONCATENATE(" WHEN cht.cust_acct_nbr = '",$J24,"' THEN 'Ex_Cat_3' 
"),"")</f>
        <v/>
      </c>
      <c r="X22" s="192" t="str">
        <f>IF($I24=4,CONCATENATE(" WHEN cvm.cust_acct_nbr = '",$J24,"' THEN 'Ex_Cat_3' 
"),"")</f>
        <v/>
      </c>
    </row>
    <row r="23" spans="1:24" ht="13.5" customHeight="1" x14ac:dyDescent="0.35">
      <c r="A23" s="577"/>
      <c r="B23" s="23"/>
      <c r="C23" s="23" t="str">
        <f>CONCATENATE($F$8,$M$37)</f>
        <v xml:space="preserve">cast('2025-03-01' as date) AND cast('2025-12-31'  as date)AND cht.cntry_enti_nbr IN (488185414) </v>
      </c>
      <c r="D23" s="23" t="str">
        <f>IF($B$17=TRUE,C23,"")</f>
        <v xml:space="preserve">cast('2025-03-01' as date) AND cast('2025-12-31'  as date)AND cht.cntry_enti_nbr IN (488185414) </v>
      </c>
      <c r="E23" s="7"/>
      <c r="H23" s="3">
        <v>1</v>
      </c>
      <c r="I23" s="3">
        <f>H23-1</f>
        <v>0</v>
      </c>
      <c r="J23" s="3">
        <f>Selection!I10</f>
        <v>0</v>
      </c>
      <c r="K23" s="3"/>
      <c r="M23" s="211" t="str">
        <f t="shared" si="3"/>
        <v/>
      </c>
      <c r="N23" s="223" t="str">
        <f t="shared" si="9"/>
        <v/>
      </c>
      <c r="O23" s="192" t="str">
        <f t="shared" si="9"/>
        <v/>
      </c>
      <c r="P23" s="211" t="str">
        <f t="shared" si="4"/>
        <v/>
      </c>
      <c r="Q23" s="223" t="str">
        <f>IF($I25=2,CONCATENATE(" WHEN grp_enti_nbr = ",$J25," THEN 'Ex_Cat_3' 
"),"")</f>
        <v/>
      </c>
      <c r="R23" s="192" t="str">
        <f>IF($I25=2,CONCATENATE(" WHEN psgwa.cust_grp_id_nbr = ",$J25," THEN 'Ex_Cat_3' 
"),"")</f>
        <v/>
      </c>
      <c r="S23" s="211" t="str">
        <f t="shared" si="5"/>
        <v/>
      </c>
      <c r="T23" s="223" t="str">
        <f>IF($I25=3,CONCATENATE(" WHEN sbgrp_enti_nbr = ",$J25," THEN 'Ex_Cat_3' 
"),"")</f>
        <v/>
      </c>
      <c r="U23" s="192" t="str">
        <f>IF($I25=3,CONCATENATE(" WHEN psgwa.cust_grp_id_nbr = ",$J25," THEN 'Ex_Cat_3' 
"),"")</f>
        <v/>
      </c>
      <c r="V23" s="211" t="str">
        <f t="shared" si="6"/>
        <v/>
      </c>
      <c r="W23" s="223" t="str">
        <f>IF($I25=4,CONCATENATE(" WHEN cht.cust_acct_nbr = '",$J25,"' THEN 'Ex_Cat_3' 
"),"")</f>
        <v/>
      </c>
      <c r="X23" s="192" t="str">
        <f>IF($I25=4,CONCATENATE(" WHEN cvm.cust_acct_nbr = '",$J25,"' THEN 'Ex_Cat_3' 
"),"")</f>
        <v/>
      </c>
    </row>
    <row r="24" spans="1:24" ht="13.5" customHeight="1" x14ac:dyDescent="0.35">
      <c r="A24" s="18"/>
      <c r="B24" s="22"/>
      <c r="C24" s="22" t="s">
        <v>10</v>
      </c>
      <c r="D24" s="22" t="str">
        <f>IF(AND($B$17=TRUE,OR($B$25=TRUE,$B$29=TRUE)),$C$24,"")</f>
        <v xml:space="preserve">
UNION ALL
</v>
      </c>
      <c r="E24" s="42" t="s">
        <v>1358</v>
      </c>
      <c r="H24" s="3">
        <v>1</v>
      </c>
      <c r="I24" s="3">
        <f>H24-1</f>
        <v>0</v>
      </c>
      <c r="J24" s="3">
        <f>Selection!I11</f>
        <v>0</v>
      </c>
      <c r="K24" s="3"/>
      <c r="M24" s="211" t="str">
        <f t="shared" si="3"/>
        <v/>
      </c>
      <c r="N24" s="223" t="str">
        <f t="shared" si="9"/>
        <v/>
      </c>
      <c r="O24" s="192" t="str">
        <f t="shared" si="9"/>
        <v/>
      </c>
      <c r="P24" s="211" t="str">
        <f t="shared" si="4"/>
        <v/>
      </c>
      <c r="Q24" s="223" t="str">
        <f>IF($I26=2,CONCATENATE(" WHEN grp_enti_nbr = ",$J26," THEN 'Ex_Cat_3' 
"),"")</f>
        <v/>
      </c>
      <c r="R24" s="192" t="str">
        <f>IF($I26=2,CONCATENATE(" WHEN psgwa.cust_grp_id_nbr = ",$J26," THEN 'Ex_Cat_3' 
"),"")</f>
        <v/>
      </c>
      <c r="S24" s="211" t="str">
        <f t="shared" si="5"/>
        <v/>
      </c>
      <c r="T24" s="223" t="str">
        <f>IF($I26=3,CONCATENATE(" WHEN sbgrp_enti_nbr = ",$J26," THEN 'Ex_Cat_3' 
"),"")</f>
        <v/>
      </c>
      <c r="U24" s="192" t="str">
        <f>IF($I26=3,CONCATENATE(" WHEN psgwa.cust_grp_id_nbr = ",$J26," THEN 'Ex_Cat_3' 
"),"")</f>
        <v/>
      </c>
      <c r="V24" s="211" t="str">
        <f t="shared" si="6"/>
        <v/>
      </c>
      <c r="W24" s="223" t="str">
        <f>IF($I26=4,CONCATENATE(" WHEN cht.cust_acct_nbr = '",$J26,"' THEN 'Ex_Cat_3' 
"),"")</f>
        <v/>
      </c>
      <c r="X24" s="192" t="str">
        <f>IF($I26=4,CONCATENATE(" WHEN cvm.cust_acct_nbr = '",$J26,"' THEN 'Ex_Cat_3' 
"),"")</f>
        <v/>
      </c>
    </row>
    <row r="25" spans="1:24" ht="13.5" customHeight="1" x14ac:dyDescent="0.35">
      <c r="A25" s="227" t="s">
        <v>11</v>
      </c>
      <c r="B25" s="24" t="b">
        <v>1</v>
      </c>
      <c r="C25" s="25" t="str">
        <f>CONCATENATE("SELECT 
",$R$6," 
")</f>
        <v xml:space="preserve">SELECT 
CASE  WHEN cntry_enti_nbr = 488185414 THEN 'Ex_Cat_1' 
 Else 'Other' END AS Categories, 
</v>
      </c>
      <c r="D25" s="25" t="str">
        <f>IF($B$27=TRUE,C25,"")</f>
        <v xml:space="preserve">SELECT 
CASE  WHEN cntry_enti_nbr = 488185414 THEN 'Ex_Cat_1' 
 Else 'Other' END AS Categories, 
</v>
      </c>
      <c r="E25" s="25" t="str">
        <f>CONCATENATE(D1,D25,D26,D27,D32)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488185414 THEN 'Ex_Cat_1' 
 Else 'Other' END AS Categories, 
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cast('2025-03-01' as date) AND cast('2025-12-31'  as date)AND cht.cntry_enti_nbr IN (488185414) ) Roll 
GROUP BY 1, 2, 3, 4, 5, 6, 7</v>
      </c>
      <c r="H25" s="3">
        <v>1</v>
      </c>
      <c r="I25" s="3">
        <f>H25-1</f>
        <v>0</v>
      </c>
      <c r="J25" s="3">
        <f>Selection!I12</f>
        <v>0</v>
      </c>
      <c r="K25" s="3"/>
      <c r="N25" s="224" t="s">
        <v>1345</v>
      </c>
      <c r="O25" t="s">
        <v>1315</v>
      </c>
      <c r="P25" t="s">
        <v>1316</v>
      </c>
      <c r="Q25" t="s">
        <v>1313</v>
      </c>
    </row>
    <row r="26" spans="1:24" ht="11.25" customHeight="1" x14ac:dyDescent="0.35">
      <c r="A26" s="227"/>
      <c r="B26" s="24" t="b">
        <v>0</v>
      </c>
      <c r="C26" s="25" t="s">
        <v>1676</v>
      </c>
      <c r="D26" s="25" t="str">
        <f>IF($B$27=TRUE,C26,"")</f>
        <v xml:space="preserve">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v>
      </c>
      <c r="H26" s="3">
        <v>1</v>
      </c>
      <c r="I26" s="3">
        <f>H26-1</f>
        <v>0</v>
      </c>
      <c r="J26" s="3">
        <f>Selection!I13</f>
        <v>0</v>
      </c>
      <c r="K26" s="3"/>
      <c r="M26" s="3"/>
      <c r="N26" s="215" t="str">
        <f>CONCATENATE(O10,O11,O12,O13,O14,O15,O16,O17,O18,O19,O20,O21,O22,O23,O24)</f>
        <v xml:space="preserve"> WHEN cntry_enti_nbr = 488185414 THEN 'Ex_Cat_1' 
</v>
      </c>
      <c r="O26" s="215" t="str">
        <f>CONCATENATE(R10,R11,R12,R13,R14,R15,R16,R17,R18,R19,R20,R21,R22,R23,R24)</f>
        <v/>
      </c>
      <c r="P26" s="215" t="str">
        <f>CONCATENATE(U10,U11,U12,U13,U14,U15,U16,U17,U18,U19,U20,U21,U22,U23,U24)</f>
        <v/>
      </c>
      <c r="Q26" s="215" t="str">
        <f>CONCATENATE(X10,X11,X12,X13,X14,X15,X16,X17,X18,X19,X20,X21,X22,X23,X24)</f>
        <v/>
      </c>
      <c r="U26" s="8"/>
    </row>
    <row r="27" spans="1:24" ht="11.25" customHeight="1" x14ac:dyDescent="0.35">
      <c r="A27" s="227"/>
      <c r="B27" s="26" t="b">
        <f>IF(OR(B25=TRUE,B26=TRUE),TRUE,FALSE)</f>
        <v>1</v>
      </c>
      <c r="C27" s="25" t="str">
        <f>CONCATENATE($F$8,$M$5)</f>
        <v xml:space="preserve">cast('2025-03-01' as date) AND cast('2025-12-31'  as date)AND cht.cntry_enti_nbr IN (488185414) </v>
      </c>
      <c r="D27" s="25" t="str">
        <f>IF($B$27=TRUE,C27,"")</f>
        <v xml:space="preserve">cast('2025-03-01' as date) AND cast('2025-12-31'  as date)AND cht.cntry_enti_nbr IN (488185414) </v>
      </c>
      <c r="E27" s="33"/>
      <c r="H27" s="3"/>
      <c r="I27" s="3"/>
      <c r="J27" s="3"/>
      <c r="K27" s="3"/>
      <c r="M27" s="3"/>
      <c r="N27" s="209" t="str">
        <f>CONCATENATE("CASE ",Q26,P26,O26,N26," Else 'Other' END AS Express_Categories, 
")</f>
        <v xml:space="preserve">CASE  WHEN cntry_enti_nbr = 488185414 THEN 'Ex_Cat_1' 
 Else 'Other' END AS Express_Categories, 
</v>
      </c>
      <c r="O27" s="3"/>
      <c r="P27" s="3"/>
      <c r="T27" s="8"/>
      <c r="U27" s="8"/>
    </row>
    <row r="28" spans="1:24" ht="16.5" customHeight="1" x14ac:dyDescent="0.35">
      <c r="A28" s="18"/>
      <c r="B28" s="22"/>
      <c r="C28" s="22" t="s">
        <v>10</v>
      </c>
      <c r="D28" s="22" t="str">
        <f>IF(AND($B$25=TRUE,$B$29=TRUE),$C$28,"")</f>
        <v/>
      </c>
      <c r="E28" s="42" t="s">
        <v>1357</v>
      </c>
      <c r="H28" s="8"/>
      <c r="I28" s="8"/>
      <c r="J28" s="8"/>
      <c r="K28" s="8"/>
      <c r="L28" s="8"/>
      <c r="M28" s="216" t="str">
        <f>IF(COUNTIF(I10:I26,1)&gt;0,$M$29,$N$29)</f>
        <v xml:space="preserve"> cntry_enti_nbr IN (488185414) </v>
      </c>
      <c r="N28" s="213"/>
      <c r="O28" s="213"/>
      <c r="P28" s="213"/>
    </row>
    <row r="29" spans="1:24" ht="11.25" customHeight="1" x14ac:dyDescent="0.35">
      <c r="A29" s="249" t="s">
        <v>939</v>
      </c>
      <c r="B29" s="29" t="b">
        <v>0</v>
      </c>
      <c r="C29" s="30" t="str">
        <f>CONCATENATE("SELECT 
",$R$38," 
")</f>
        <v xml:space="preserve">SELECT 
CASE  WHEN cntry_enti_nbr = 488185414 THEN 'Gr_Cat_1' 
 Else 'Other' END AS Categories, 
</v>
      </c>
      <c r="D29" s="30" t="str">
        <f>IF($B$29=TRUE,C29,"")</f>
        <v/>
      </c>
      <c r="E29" s="30" t="str">
        <f>CONCATENATE(D1,D29,D30,D31,D32)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 Roll 
GROUP BY 1, 2, 3, 4, 5, 6, 7</v>
      </c>
      <c r="H29" s="8"/>
      <c r="I29" s="8"/>
      <c r="J29" s="8"/>
      <c r="K29" s="8"/>
      <c r="L29" s="8"/>
      <c r="M29" s="214" t="str">
        <f>IF(COUNTIF(I10:I26,1)&gt;0,CONCATENATE(" cntry_enti_nbr IN (",$M$8,") "),$N$29)</f>
        <v xml:space="preserve"> cntry_enti_nbr IN (488185414) </v>
      </c>
      <c r="N29" s="214" t="str">
        <f>CONCATENATE(" (",$N$30,$O$29,$O$30,$P$29,$P$30,") ")</f>
        <v xml:space="preserve"> () </v>
      </c>
      <c r="O29" s="214" t="str">
        <f>IF(AND(SUM($P$10:$P$24)&gt;0,SUM($S$10:$S$24)&gt;0)," OR ","")</f>
        <v/>
      </c>
      <c r="P29" s="214" t="str">
        <f>IF(AND(SUM($P$10:$S$24)&gt;0,SUM($V$10:$V$24)&gt;0)," OR ","")</f>
        <v/>
      </c>
    </row>
    <row r="30" spans="1:24" ht="11.25" customHeight="1" x14ac:dyDescent="0.35">
      <c r="A30" s="249"/>
      <c r="B30" s="29"/>
      <c r="C30" s="30" t="s">
        <v>1677</v>
      </c>
      <c r="D30" s="30" t="str">
        <f>IF($B$29=TRUE,C30,"")</f>
        <v/>
      </c>
      <c r="H30" s="8"/>
      <c r="I30" s="8"/>
      <c r="J30" s="8"/>
      <c r="K30" s="8"/>
      <c r="L30" s="8"/>
      <c r="M30" s="213"/>
      <c r="N30" s="214" t="str">
        <f>IF(COUNTIF(I10:I26,2)&gt;0,CONCATENATE(" grp_enti_nbr IN (",$N$8,") "),"")</f>
        <v/>
      </c>
      <c r="O30" s="214" t="str">
        <f>IF(COUNTIF(I10:I26,3)&gt;0,CONCATENATE(" sbgrp_enti_nbr IN (",$O$8,") "),"")</f>
        <v/>
      </c>
      <c r="P30" s="214" t="str">
        <f>IF(COUNTIF(I10:I26,4)&gt;0,CONCATENATE(" cust_acct_nbr IN ('",$P$8,"') "),"")</f>
        <v/>
      </c>
    </row>
    <row r="31" spans="1:24" ht="11.25" customHeight="1" x14ac:dyDescent="0.35">
      <c r="A31" s="249"/>
      <c r="B31" s="29"/>
      <c r="C31" s="30" t="str">
        <f>CONCATENATE($F$8,$M$37)</f>
        <v xml:space="preserve">cast('2025-03-01' as date) AND cast('2025-12-31'  as date)AND cht.cntry_enti_nbr IN (488185414) </v>
      </c>
      <c r="D31" s="30" t="str">
        <f>IF($B$29=TRUE,C31,"")</f>
        <v/>
      </c>
      <c r="W31" s="8"/>
    </row>
    <row r="32" spans="1:24" ht="11.25" customHeight="1" x14ac:dyDescent="0.35">
      <c r="A32" s="18"/>
      <c r="B32" s="27"/>
      <c r="C32" s="28"/>
      <c r="D32" s="28" t="s">
        <v>1348</v>
      </c>
      <c r="H32" s="574" t="s">
        <v>1352</v>
      </c>
      <c r="W32" s="8"/>
    </row>
    <row r="33" spans="1:24" ht="11.25" customHeight="1" x14ac:dyDescent="0.35">
      <c r="A33" s="27"/>
      <c r="B33" s="27"/>
      <c r="C33" s="27"/>
      <c r="D33" s="28" t="s">
        <v>945</v>
      </c>
      <c r="E33" s="33"/>
      <c r="H33" s="574"/>
      <c r="I33" s="8"/>
      <c r="J33" s="8"/>
      <c r="K33" s="8"/>
      <c r="L33" s="8"/>
      <c r="M33" s="8"/>
    </row>
    <row r="34" spans="1:24" ht="11.25" customHeight="1" x14ac:dyDescent="0.45">
      <c r="A34" s="39"/>
      <c r="B34" s="39"/>
      <c r="C34" s="7"/>
      <c r="D34" s="7"/>
      <c r="E34" s="33"/>
      <c r="H34" s="241"/>
      <c r="I34" s="8"/>
      <c r="J34" s="8"/>
      <c r="K34" s="8"/>
      <c r="L34" s="8"/>
      <c r="M34" s="8"/>
      <c r="O34" s="8"/>
      <c r="P34" s="8"/>
      <c r="Q34" s="8"/>
    </row>
    <row r="35" spans="1:24" ht="11.25" customHeight="1" x14ac:dyDescent="0.35">
      <c r="A35" s="17"/>
      <c r="B35" s="17"/>
      <c r="C35" s="40"/>
      <c r="D35" s="31"/>
      <c r="E35" s="33"/>
      <c r="H35" s="3" t="s">
        <v>1314</v>
      </c>
      <c r="I35" s="3">
        <v>1</v>
      </c>
      <c r="J35" s="3" t="s">
        <v>1334</v>
      </c>
      <c r="K35" s="3" t="s">
        <v>1339</v>
      </c>
      <c r="L35" s="3" t="s">
        <v>1331</v>
      </c>
      <c r="M35" s="3"/>
      <c r="N35" s="3"/>
      <c r="O35" s="3"/>
      <c r="P35" s="3"/>
    </row>
    <row r="36" spans="1:24" ht="11.25" customHeight="1" x14ac:dyDescent="0.35">
      <c r="A36" s="206" t="s">
        <v>1355</v>
      </c>
      <c r="B36" s="193"/>
      <c r="C36" s="194"/>
      <c r="D36" s="194" t="s">
        <v>1639</v>
      </c>
      <c r="E36" s="191" t="s">
        <v>1355</v>
      </c>
      <c r="H36" s="3" t="s">
        <v>1315</v>
      </c>
      <c r="I36" s="3">
        <v>2</v>
      </c>
      <c r="J36" s="3" t="s">
        <v>1335</v>
      </c>
      <c r="K36" s="3" t="s">
        <v>1338</v>
      </c>
      <c r="L36" s="3" t="s">
        <v>1340</v>
      </c>
      <c r="M36" s="212" t="s">
        <v>1330</v>
      </c>
      <c r="N36" s="211"/>
      <c r="O36" s="211"/>
      <c r="P36" s="211"/>
    </row>
    <row r="37" spans="1:24" ht="11.25" customHeight="1" x14ac:dyDescent="0.35">
      <c r="A37" s="206"/>
      <c r="B37" s="193"/>
      <c r="C37" s="194"/>
      <c r="D37" s="194" t="str">
        <f>$N$27</f>
        <v xml:space="preserve">CASE  WHEN cntry_enti_nbr = 488185414 THEN 'Ex_Cat_1' 
 Else 'Other' END AS Express_Categories, 
</v>
      </c>
      <c r="E37" s="252" t="str">
        <f ca="1">CONCATENATE(D36,D37,D38,D39,D40,D41)</f>
        <v>/*Surcharge Pricing Data Pull
*/
SELECT  UNIQUE
psgwa.cust_grp_id_nbr,
level_cd,
'Eff_Date_1' AS Discount_Date,
CASE  WHEN cntry_enti_nbr = 488185414 THEN 'Ex_Cat_1' 
 Else 'Other' END AS Express_Categories, 
psgwa.srchg_id,
SC.srchg_cd,
SC.srchg_nm as Surcharge_Name,
S.svc_nm as Service,
CASE WHEN svc_nm = 'Continental US - Ground' THEN 'GR'
WHEN svc_nm = 'Continental US - Home Delivery' THEN 'HD'
WHEN svc_nm = 'STANDARD OVERNIGHT' THEN 'SO'
WHEN svc_nm = 'No Service' THEN 'All'
WHEN svc_nm = 'SmartPost Continental US' THEN 'GE'
WHEN svc_nm = 'EXPORT ECONOMY' THEN 'EE'
WHEN svc_nm = 'OVERNIGHT FREIGHT SERVICE' THEN 'DF'
WHEN svc_nm = 'EXPT PDDF' THEN 'IF'
WHEN svc_nm = 'IMPORT ECONOMY' THEN 'IE'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(488185414)     and cvmh.expr_tmstp  &gt; TIMESTAMP '9999-12-31 23:59:59'
    and cvme.expr_tmstp  &gt; TIMESTAMP '9999-12-31 23:59:59')cvm 
     on psgwa.cust_grp_id_nbr = cvm.cust_view_mgmt_nbr 
where service IN ('STANDARD OVERNIGHT','EXPORT ECONOMY','IMPORT ECONOMY','OVERNIGHT FREIGHT SERVICE', 'EXPT PDDF','No Service' )  AND ((cntry_enti_nbr = 488185414 AND level_cd = 'CTRY'  ) ) AND CAST('2026-09-02' AS DATE) BETWEEN begin_date AND (end_date - 1)</v>
      </c>
      <c r="H37" s="3" t="s">
        <v>1316</v>
      </c>
      <c r="I37" s="3">
        <v>3</v>
      </c>
      <c r="J37" s="3" t="s">
        <v>1336</v>
      </c>
      <c r="K37" s="3" t="s">
        <v>1338</v>
      </c>
      <c r="L37" s="3" t="s">
        <v>1332</v>
      </c>
      <c r="M37" s="228" t="str">
        <f>IF(SUM($M$42:$M$56)&gt;0,$M$38,$N$38)</f>
        <v xml:space="preserve">AND cht.cntry_enti_nbr IN (488185414) </v>
      </c>
      <c r="N37" s="211"/>
      <c r="O37" s="211"/>
      <c r="P37" s="211"/>
    </row>
    <row r="38" spans="1:24" ht="11.25" customHeight="1" x14ac:dyDescent="0.35">
      <c r="A38" s="206"/>
      <c r="B38" s="193"/>
      <c r="C38" s="194"/>
      <c r="D38" s="194" t="s">
        <v>1737</v>
      </c>
      <c r="H38" s="3" t="s">
        <v>1313</v>
      </c>
      <c r="I38" s="3">
        <v>4</v>
      </c>
      <c r="J38" s="3" t="s">
        <v>1337</v>
      </c>
      <c r="K38" s="3" t="s">
        <v>1365</v>
      </c>
      <c r="L38" s="3" t="s">
        <v>1333</v>
      </c>
      <c r="M38" s="211" t="str">
        <f>IF(COUNTIF(I42:I58,1)&gt;0,CONCATENATE("AND cht.cntry_enti_nbr IN (",$M$40,") "),$N$38)</f>
        <v xml:space="preserve">AND cht.cntry_enti_nbr IN (488185414) </v>
      </c>
      <c r="N38" s="211" t="str">
        <f>CONCATENATE("AND (",$N$39,$O$38,$O$39,$P$38,$P$39,")")</f>
        <v>AND ()</v>
      </c>
      <c r="O38" s="211" t="str">
        <f>IF(AND(SUM($P$42:$P$56)&gt;0,SUM($S$42:$S$56)&gt;0)," OR ","")</f>
        <v/>
      </c>
      <c r="P38" s="211" t="str">
        <f>IF(AND(SUM($P$42:$S$56)&gt;0,SUM($V$42:$V$56)&gt;0)," OR ","")</f>
        <v/>
      </c>
      <c r="R38" s="225" t="str">
        <f>CONCATENATE("CASE ",U40,T40,S40,R40," Else 'Other' END AS Categories, 
")</f>
        <v xml:space="preserve">CASE  WHEN cntry_enti_nbr = 488185414 THEN 'Gr_Cat_1' 
 Else 'Other' END AS Categories, 
</v>
      </c>
    </row>
    <row r="39" spans="1:24" ht="11.25" customHeight="1" x14ac:dyDescent="0.35">
      <c r="A39" s="206"/>
      <c r="B39" s="193"/>
      <c r="C39" s="194"/>
      <c r="D39" s="194" t="str">
        <f>$M$28</f>
        <v xml:space="preserve"> cntry_enti_nbr IN (488185414) </v>
      </c>
      <c r="H39" s="3"/>
      <c r="I39" s="3"/>
      <c r="J39" s="3"/>
      <c r="K39" s="3"/>
      <c r="L39" s="3"/>
      <c r="M39" s="211"/>
      <c r="N39" s="211" t="str">
        <f>IF(COUNTIF(I42:I58,2)&gt;0,CONCATENATE(" cht.grp_enti_nbr IN (",$N$8,") "),"")</f>
        <v/>
      </c>
      <c r="O39" s="211" t="str">
        <f>IF(COUNTIF(I42:I58,3)&gt;0,CONCATENATE(" cht.sbgrp_enti_nbr IN (",$O$8,") "),"")</f>
        <v/>
      </c>
      <c r="P39" s="211" t="str">
        <f>IF(COUNTIF(I42:I58,4)&gt;0,CONCATENATE(" cht.cust_acct_nbr IN ('",$P$40,"') "),"")</f>
        <v/>
      </c>
      <c r="Q39" s="8"/>
      <c r="R39" s="226" t="s">
        <v>1346</v>
      </c>
      <c r="S39" s="222" t="s">
        <v>1315</v>
      </c>
      <c r="T39" s="222" t="s">
        <v>1316</v>
      </c>
      <c r="U39" s="222" t="s">
        <v>1313</v>
      </c>
    </row>
    <row r="40" spans="1:24" ht="11.25" customHeight="1" x14ac:dyDescent="0.35">
      <c r="A40" s="18"/>
      <c r="B40" s="27"/>
      <c r="C40" s="28"/>
      <c r="D40" s="28" t="s">
        <v>1738</v>
      </c>
      <c r="H40" s="3"/>
      <c r="J40" s="3"/>
      <c r="K40" s="3"/>
      <c r="M40" s="211" t="str">
        <f>_xlfn.TEXTJOIN(", ",TRUE,M42:M56)</f>
        <v>488185414</v>
      </c>
      <c r="N40" s="211" t="str">
        <f>_xlfn.TEXTJOIN(", ",TRUE,$P$42:$P$56)</f>
        <v/>
      </c>
      <c r="O40" s="211" t="str">
        <f>_xlfn.TEXTJOIN(", ",TRUE,$S$42:$S$56)</f>
        <v/>
      </c>
      <c r="P40" s="211" t="str">
        <f>_xlfn.TEXTJOIN("', '",TRUE,$V$42:$V$56)</f>
        <v/>
      </c>
      <c r="Q40" s="8"/>
      <c r="R40" s="226" t="str">
        <f>CONCATENATE(N42,N43,N44,N45,N46,N47,N48,N49,N50,N51,N52,N53,N54,N55,N56)</f>
        <v xml:space="preserve"> WHEN cntry_enti_nbr = 488185414 THEN 'Gr_Cat_1' 
</v>
      </c>
      <c r="S40" s="226" t="str">
        <f>CONCATENATE(Q42,Q43,Q44,Q45,Q46,Q47,Q48,Q49,Q50,Q51,Q52,Q53,Q54,Q55,Q56)</f>
        <v/>
      </c>
      <c r="T40" s="226" t="str">
        <f>CONCATENATE(T42,T43,T44,T45,T46,T47,T48,T49,T50,T51,T52,T53,T54,T55,T56)</f>
        <v/>
      </c>
      <c r="U40" s="226" t="str">
        <f>CONCATENATE(W42,W43,W44,W45,W46,W47,W48,W49,W50,W51,W52,W53,W54,W55,W56)</f>
        <v/>
      </c>
    </row>
    <row r="41" spans="1:24" ht="11.25" customHeight="1" x14ac:dyDescent="0.35">
      <c r="A41" s="207"/>
      <c r="B41" s="207"/>
      <c r="C41" s="208"/>
      <c r="D41" s="207" t="str">
        <f ca="1">$K$9&amp;$I$8</f>
        <v xml:space="preserve"> AND ((cntry_enti_nbr = 488185414 AND level_cd = 'CTRY'  ) ) AND CAST('2026-09-02' AS DATE) BETWEEN begin_date AND (end_date - 1)</v>
      </c>
      <c r="H41" s="205" t="s">
        <v>1327</v>
      </c>
      <c r="I41" s="3"/>
      <c r="J41" s="3"/>
      <c r="K41" s="209" t="str">
        <f>CONCATENATE(" AND (",K42,K48,K54,")")</f>
        <v xml:space="preserve"> AND ((cntry_enti_nbr = 488185414 AND level_cd = 'CTRY'  ) )</v>
      </c>
      <c r="M41" s="204" t="s">
        <v>1314</v>
      </c>
      <c r="N41" s="222" t="s">
        <v>1345</v>
      </c>
      <c r="O41" s="213" t="s">
        <v>1314</v>
      </c>
      <c r="P41" s="204" t="s">
        <v>1315</v>
      </c>
      <c r="Q41" s="222" t="s">
        <v>1315</v>
      </c>
      <c r="R41" s="213" t="s">
        <v>1315</v>
      </c>
      <c r="S41" s="204" t="s">
        <v>1316</v>
      </c>
      <c r="T41" s="222" t="s">
        <v>1316</v>
      </c>
      <c r="U41" s="213" t="s">
        <v>1316</v>
      </c>
      <c r="V41" s="204" t="s">
        <v>1313</v>
      </c>
      <c r="W41" s="222" t="s">
        <v>1313</v>
      </c>
      <c r="X41" s="213" t="s">
        <v>1313</v>
      </c>
    </row>
    <row r="42" spans="1:24" ht="11.25" customHeight="1" x14ac:dyDescent="0.35">
      <c r="A42" s="17"/>
      <c r="B42" s="17"/>
      <c r="C42" s="32"/>
      <c r="E42" s="8"/>
      <c r="H42" s="3">
        <v>1</v>
      </c>
      <c r="I42" s="3">
        <f>H42</f>
        <v>1</v>
      </c>
      <c r="J42" s="3">
        <f>Selection!C19</f>
        <v>488185414</v>
      </c>
      <c r="K42" s="210" t="str">
        <f>IF(I42=0,"",CONCATENATE("(",VLOOKUP(I42,I35:L38,3,FALSE),J42,VLOOKUP(I42,I35:L38,4,FALSE),") "))</f>
        <v xml:space="preserve">(cntry_enti_nbr = 488185414 AND level_cd = 'CTRY'  ) </v>
      </c>
      <c r="M42" s="204">
        <f t="shared" ref="M42:M56" si="10">IF(I42=1,VALUE(J42),"")</f>
        <v>488185414</v>
      </c>
      <c r="N42" s="222" t="str">
        <f t="shared" ref="N42:O46" si="11">IF($I42=1,CONCATENATE(" WHEN cntry_enti_nbr = ",$J42," THEN 'Gr_Cat_1' 
"),"")</f>
        <v xml:space="preserve"> WHEN cntry_enti_nbr = 488185414 THEN 'Gr_Cat_1' 
</v>
      </c>
      <c r="O42" s="213" t="str">
        <f t="shared" si="11"/>
        <v xml:space="preserve"> WHEN cntry_enti_nbr = 488185414 THEN 'Gr_Cat_1' 
</v>
      </c>
      <c r="P42" s="204" t="str">
        <f t="shared" ref="P42:P56" si="12">IF(I42=2,VALUE(J42),"")</f>
        <v/>
      </c>
      <c r="Q42" s="222" t="str">
        <f>IF($I42=2,CONCATENATE(" WHEN grp_enti_nbr = ",$J42," THEN 'Gr_Cat_1' 
"),"")</f>
        <v/>
      </c>
      <c r="R42" s="213" t="str">
        <f>IF($I42=2,CONCATENATE(" WHEN psgwa.cust_grp_id_nbr = ",$J42," THEN 'Gr_Cat_1' 
"),"")</f>
        <v/>
      </c>
      <c r="S42" s="204" t="str">
        <f t="shared" ref="S42:S56" si="13">IF(I42=3,VALUE(J42),"")</f>
        <v/>
      </c>
      <c r="T42" s="222" t="str">
        <f>IF($I42=3,CONCATENATE(" WHEN sbgrp_enti_nbr = ",$J42," THEN 'Gr_Cat_1' 
"),"")</f>
        <v/>
      </c>
      <c r="U42" s="213" t="str">
        <f>IF($I42=3,CONCATENATE(" WHEN psgwa.cust_grp_id_nbr = ",$J42," THEN 'Gr_Cat_1' 
"),"")</f>
        <v/>
      </c>
      <c r="V42" s="204" t="str">
        <f t="shared" ref="V42:V56" si="14">IF(I42=4,VALUE(J42),"")</f>
        <v/>
      </c>
      <c r="W42" s="222" t="str">
        <f>IF($I42=4,CONCATENATE(" WHEN cht.cust_acct_nbr = '",$J42,"' THEN 'Gr_Cat_1' 
"),"")</f>
        <v/>
      </c>
      <c r="X42" s="213" t="str">
        <f>IF($I42=4,CONCATENATE(" WHEN cvm.cust_acct_nbr = '",$J42,"' THEN 'Gr_Cat_1' 
"),"")</f>
        <v/>
      </c>
    </row>
    <row r="43" spans="1:24" ht="14.25" customHeight="1" x14ac:dyDescent="0.35">
      <c r="A43" s="206" t="s">
        <v>1354</v>
      </c>
      <c r="B43" s="193"/>
      <c r="C43" s="194"/>
      <c r="D43" s="194" t="s">
        <v>1639</v>
      </c>
      <c r="E43" s="191" t="s">
        <v>1354</v>
      </c>
      <c r="H43" s="3">
        <v>1</v>
      </c>
      <c r="I43" s="3">
        <f>H43-1</f>
        <v>0</v>
      </c>
      <c r="J43" s="3">
        <f>Selection!C20</f>
        <v>0</v>
      </c>
      <c r="K43" s="3"/>
      <c r="M43" s="204" t="str">
        <f t="shared" si="10"/>
        <v/>
      </c>
      <c r="N43" s="222" t="str">
        <f t="shared" si="11"/>
        <v/>
      </c>
      <c r="O43" s="213" t="str">
        <f t="shared" si="11"/>
        <v/>
      </c>
      <c r="P43" s="204" t="str">
        <f t="shared" si="12"/>
        <v/>
      </c>
      <c r="Q43" s="222" t="str">
        <f>IF($I43=2,CONCATENATE(" WHEN grp_enti_nbr = ",$J43," THEN 'Gr_Cat_1' 
"),"")</f>
        <v/>
      </c>
      <c r="R43" s="213" t="str">
        <f>IF($I43=2,CONCATENATE(" WHEN psgwa.cust_grp_id_nbr = ",$J43," THEN 'Gr_Cat_1' 
"),"")</f>
        <v/>
      </c>
      <c r="S43" s="204" t="str">
        <f t="shared" si="13"/>
        <v/>
      </c>
      <c r="T43" s="222" t="str">
        <f>IF($I43=3,CONCATENATE(" WHEN sbgrp_enti_nbr = ",$J43," THEN 'Gr_Cat_1' 
"),"")</f>
        <v/>
      </c>
      <c r="U43" s="213" t="str">
        <f>IF($I43=3,CONCATENATE(" WHEN psgwa.cust_grp_id_nbr = ",$J43," THEN 'Gr_Cat_1' 
"),"")</f>
        <v/>
      </c>
      <c r="V43" s="204" t="str">
        <f t="shared" si="14"/>
        <v/>
      </c>
      <c r="W43" s="222" t="str">
        <f>IF($I43=4,CONCATENATE(" WHEN cht.cust_acct_nbr = '",$J43,"' THEN 'Gr_Cat_1' 
"),"")</f>
        <v/>
      </c>
      <c r="X43" s="213" t="str">
        <f t="shared" ref="X43:X45" si="15">IF($I43=4,CONCATENATE(" WHEN cvm.cust_acct_nbr = '",$J43,"' THEN 'Gr_Cat_1' 
"),"")</f>
        <v/>
      </c>
    </row>
    <row r="44" spans="1:24" ht="13.5" customHeight="1" x14ac:dyDescent="0.35">
      <c r="A44" s="206"/>
      <c r="B44" s="193"/>
      <c r="C44" s="194"/>
      <c r="D44" s="194" t="str">
        <f>$N$59</f>
        <v xml:space="preserve">CASE  WHEN cntry_enti_nbr = 488185414 THEN 'Gr_Cat_1' 
 Else 'Other' END AS Express_Categories, 
</v>
      </c>
      <c r="E44" s="252" t="str">
        <f ca="1">CONCATENATE(D43,D44,D45,D46,D47,D48)</f>
        <v>/*Surcharge Pricing Data Pull
*/
SELECT  UNIQUE
psgwa.cust_grp_id_nbr,
level_cd,
'Eff_Date_1' AS Discount_Date,
CASE  WHEN cntry_enti_nbr = 488185414 THEN 'Gr_Cat_1' 
 Else 'Other' END AS Express_Categories, 
psgwa.srchg_id,
SC.srchg_cd,
SC.srchg_nm as Surcharge_Name,
S.svc_nm as Service,
CASE WHEN svc_nm = 'Continental US - Ground' THEN 'GR'
WHEN svc_nm = 'International Service - US to CA' THEN 'IG'
WHEN svc_nm = 'Continental US - Home Delivery' THEN 'HD'
WHEN svc_nm = 'STANDARD OVERNIGHT' THEN 'SO'
WHEN svc_nm = 'SmartPost Continental US' THEN 'GE'
WHEN svc_nm = 'EXPORT ECONOMY' THEN 'EE'
WHEN svc_nm = 'OVERNIGHT FREIGHT SERVICE' THEN 'DF'
WHEN svc_nm = 'EXPT PDDF' THEN 'IF'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(488185414)     and cvmh.expr_tmstp  &gt; TIMESTAMP '9999-12-31 23:59:59'
    and cvme.expr_tmstp  &gt; TIMESTAMP '9999-12-31 23:59:59')cvm 
     on psgwa.cust_grp_id_nbr = cvm.cust_view_mgmt_nbr 
where service IN ('Continental US - Ground', 'Continental US - Home Delivery','SmartPost Continental US','International Service - US to CA')  AND ((cntry_enti_nbr = 488185414 AND level_cd = 'CTRY'  ) ) AND CAST('2026-09-02' AS DATE) BETWEEN begin_date AND (end_date - 1)</v>
      </c>
      <c r="H44" s="3">
        <v>1</v>
      </c>
      <c r="I44" s="3">
        <f>H44-1</f>
        <v>0</v>
      </c>
      <c r="J44" s="3">
        <f>Selection!C21</f>
        <v>0</v>
      </c>
      <c r="K44" s="3"/>
      <c r="M44" s="204" t="str">
        <f t="shared" si="10"/>
        <v/>
      </c>
      <c r="N44" s="222" t="str">
        <f t="shared" si="11"/>
        <v/>
      </c>
      <c r="O44" s="213" t="str">
        <f t="shared" si="11"/>
        <v/>
      </c>
      <c r="P44" s="204" t="str">
        <f t="shared" si="12"/>
        <v/>
      </c>
      <c r="Q44" s="222" t="str">
        <f>IF($I44=2,CONCATENATE(" WHEN grp_enti_nbr = ",$J44," THEN 'Gr_Cat_1' 
"),"")</f>
        <v/>
      </c>
      <c r="R44" s="213" t="str">
        <f>IF($I44=2,CONCATENATE(" WHEN psgwa.cust_grp_id_nbr = ",$J44," THEN 'Gr_Cat_1' 
"),"")</f>
        <v/>
      </c>
      <c r="S44" s="204" t="str">
        <f t="shared" si="13"/>
        <v/>
      </c>
      <c r="T44" s="222" t="str">
        <f>IF($I44=3,CONCATENATE(" WHEN sbgrp_enti_nbr = ",$J44," THEN 'Gr_Cat_1' 
"),"")</f>
        <v/>
      </c>
      <c r="U44" s="213" t="str">
        <f>IF($I44=3,CONCATENATE(" WHEN psgwa.cust_grp_id_nbr = ",$J44," THEN 'Gr_Cat_1' 
"),"")</f>
        <v/>
      </c>
      <c r="V44" s="204" t="str">
        <f t="shared" si="14"/>
        <v/>
      </c>
      <c r="W44" s="222" t="str">
        <f>IF($I44=4,CONCATENATE(" WHEN cht.cust_acct_nbr = '",$J44,"' THEN 'Gr_Cat_1' 
"),"")</f>
        <v/>
      </c>
      <c r="X44" s="213" t="str">
        <f t="shared" si="15"/>
        <v/>
      </c>
    </row>
    <row r="45" spans="1:24" ht="13.5" customHeight="1" x14ac:dyDescent="0.35">
      <c r="A45" s="206"/>
      <c r="B45" s="193"/>
      <c r="C45" s="194"/>
      <c r="D45" s="194" t="s">
        <v>1708</v>
      </c>
      <c r="E45" s="8"/>
      <c r="H45" s="3">
        <v>1</v>
      </c>
      <c r="I45" s="3">
        <f>H45-1</f>
        <v>0</v>
      </c>
      <c r="J45" s="3">
        <f>Selection!C22</f>
        <v>0</v>
      </c>
      <c r="K45" s="3"/>
      <c r="M45" s="204" t="str">
        <f t="shared" si="10"/>
        <v/>
      </c>
      <c r="N45" s="222" t="str">
        <f t="shared" si="11"/>
        <v/>
      </c>
      <c r="O45" s="213" t="str">
        <f t="shared" si="11"/>
        <v/>
      </c>
      <c r="P45" s="204" t="str">
        <f t="shared" si="12"/>
        <v/>
      </c>
      <c r="Q45" s="222" t="str">
        <f>IF($I45=2,CONCATENATE(" WHEN grp_enti_nbr = ",$J45," THEN 'Gr_Cat_1' 
"),"")</f>
        <v/>
      </c>
      <c r="R45" s="213" t="str">
        <f>IF($I45=2,CONCATENATE(" WHEN psgwa.cust_grp_id_nbr = ",$J45," THEN 'Gr_Cat_1' 
"),"")</f>
        <v/>
      </c>
      <c r="S45" s="204" t="str">
        <f t="shared" si="13"/>
        <v/>
      </c>
      <c r="T45" s="222" t="str">
        <f>IF($I45=3,CONCATENATE(" WHEN sbgrp_enti_nbr = ",$J45," THEN 'Gr_Cat_1' 
"),"")</f>
        <v/>
      </c>
      <c r="U45" s="213" t="str">
        <f>IF($I45=3,CONCATENATE(" WHEN psgwa.cust_grp_id_nbr = ",$J45," THEN 'Gr_Cat_1' 
"),"")</f>
        <v/>
      </c>
      <c r="V45" s="204" t="str">
        <f t="shared" si="14"/>
        <v/>
      </c>
      <c r="W45" s="222" t="str">
        <f>IF($I45=4,CONCATENATE(" WHEN cht.cust_acct_nbr = '",$J45,"' THEN 'Gr_Cat_1' 
"),"")</f>
        <v/>
      </c>
      <c r="X45" s="213" t="str">
        <f t="shared" si="15"/>
        <v/>
      </c>
    </row>
    <row r="46" spans="1:24" ht="13.5" customHeight="1" x14ac:dyDescent="0.35">
      <c r="A46" s="206"/>
      <c r="B46" s="193"/>
      <c r="C46" s="194"/>
      <c r="D46" s="194" t="str">
        <f>$M$60</f>
        <v xml:space="preserve"> cntry_enti_nbr IN (488185414) </v>
      </c>
      <c r="E46" s="8"/>
      <c r="H46" s="3">
        <v>1</v>
      </c>
      <c r="I46" s="3">
        <f>H46-1</f>
        <v>0</v>
      </c>
      <c r="J46" s="3">
        <f>Selection!C23</f>
        <v>0</v>
      </c>
      <c r="K46" s="3"/>
      <c r="M46" s="204" t="str">
        <f t="shared" si="10"/>
        <v/>
      </c>
      <c r="N46" s="222" t="str">
        <f t="shared" si="11"/>
        <v/>
      </c>
      <c r="O46" s="213" t="str">
        <f t="shared" si="11"/>
        <v/>
      </c>
      <c r="P46" s="204" t="str">
        <f t="shared" si="12"/>
        <v/>
      </c>
      <c r="Q46" s="222" t="str">
        <f>IF($I46=2,CONCATENATE(" WHEN grp_enti_nbr = ",$J46," THEN 'Gr_Cat_1' 
"),"")</f>
        <v/>
      </c>
      <c r="R46" s="213" t="str">
        <f>IF($I46=2,CONCATENATE(" WHEN psgwa.cust_grp_id_nbr = ",$J46," THEN 'Gr_Cat_1' 
"),"")</f>
        <v/>
      </c>
      <c r="S46" s="204" t="str">
        <f t="shared" si="13"/>
        <v/>
      </c>
      <c r="T46" s="222" t="str">
        <f>IF($I46=3,CONCATENATE(" WHEN sbgrp_enti_nbr = ",$J46," THEN 'Gr_Cat_1' 
"),"")</f>
        <v/>
      </c>
      <c r="U46" s="213" t="str">
        <f>IF($I46=3,CONCATENATE(" WHEN psgwa.cust_grp_id_nbr = ",$J46," THEN 'Gr_Cat_1' 
"),"")</f>
        <v/>
      </c>
      <c r="V46" s="204" t="str">
        <f t="shared" si="14"/>
        <v/>
      </c>
      <c r="W46" s="222" t="str">
        <f>IF($I46=4,CONCATENATE(" WHEN cht.cust_acct_nbr = '",$J46,"' THEN 'Gr_Cat_1' 
"),"")</f>
        <v/>
      </c>
      <c r="X46" s="213" t="str">
        <f>IF($I46=4,CONCATENATE(" WHEN cvm.cust_acct_nbr = '",$J46,"' THEN 'Gr_Cat_1' 
"),"")</f>
        <v/>
      </c>
    </row>
    <row r="47" spans="1:24" ht="13.5" customHeight="1" x14ac:dyDescent="0.35">
      <c r="A47" s="18"/>
      <c r="B47" s="27"/>
      <c r="C47" s="28"/>
      <c r="D47" s="28" t="s">
        <v>1707</v>
      </c>
      <c r="E47" s="8"/>
      <c r="H47" s="205" t="s">
        <v>1328</v>
      </c>
      <c r="I47" s="3"/>
      <c r="J47" s="3"/>
      <c r="K47" s="3"/>
      <c r="M47" s="29" t="str">
        <f t="shared" si="10"/>
        <v/>
      </c>
      <c r="N47" s="11" t="str">
        <f t="shared" ref="N47:O51" si="16">IF($I48=1,CONCATENATE(" WHEN cntry_enti_nbr = ",$J48," THEN 'Gr_Cat_2' 
"),"")</f>
        <v/>
      </c>
      <c r="O47" s="214" t="str">
        <f t="shared" si="16"/>
        <v/>
      </c>
      <c r="P47" s="29" t="str">
        <f t="shared" si="12"/>
        <v/>
      </c>
      <c r="Q47" s="11" t="str">
        <f>IF($I48=2,CONCATENATE(" WHEN grp_enti_nbr = ",$J48," THEN 'Gr_Cat_2' 
"),"")</f>
        <v/>
      </c>
      <c r="R47" s="214" t="str">
        <f>IF($I48=2,CONCATENATE(" WHEN psgwa.cust_grp_id_nbr = ",$J48," THEN 'Gr_Cat_2' 
"),"")</f>
        <v/>
      </c>
      <c r="S47" s="29" t="str">
        <f t="shared" si="13"/>
        <v/>
      </c>
      <c r="T47" s="11" t="str">
        <f>IF($I48=3,CONCATENATE(" WHEN sbgrp_enti_nbr = ",$J48," THEN 'Gr_Cat_2' 
"),"")</f>
        <v/>
      </c>
      <c r="U47" s="214" t="str">
        <f>IF($I48=3,CONCATENATE(" WHEN psgwa.cust_grp_id_nbr = ",$J48," THEN 'Gr_Cat_2' 
"),"")</f>
        <v/>
      </c>
      <c r="V47" s="29" t="str">
        <f t="shared" si="14"/>
        <v/>
      </c>
      <c r="W47" s="11" t="str">
        <f>IF($I48=4,CONCATENATE(" WHEN cht.cust_acct_nbr = '",$J48,"' THEN 'Gr_Cat_2' 
"),"")</f>
        <v/>
      </c>
      <c r="X47" s="214" t="str">
        <f>IF($I48=4,CONCATENATE(" WHEN cvm.cust_acct_nbr = '",$J48,"' THEN 'Gr_Cat_2' 
"),"")</f>
        <v/>
      </c>
    </row>
    <row r="48" spans="1:24" ht="13.5" customHeight="1" x14ac:dyDescent="0.35">
      <c r="A48" s="207"/>
      <c r="B48" s="207"/>
      <c r="C48" s="208"/>
      <c r="D48" s="207" t="str">
        <f ca="1">$K$41&amp;$I$8</f>
        <v xml:space="preserve"> AND ((cntry_enti_nbr = 488185414 AND level_cd = 'CTRY'  ) ) AND CAST('2026-09-02' AS DATE) BETWEEN begin_date AND (end_date - 1)</v>
      </c>
      <c r="E48" s="8"/>
      <c r="F48" t="str">
        <f>IF(SUM(I48:I52)&gt;0,"TRUE","FALSE")</f>
        <v>FALSE</v>
      </c>
      <c r="H48" s="3">
        <v>1</v>
      </c>
      <c r="I48" s="3">
        <f>H48-1</f>
        <v>0</v>
      </c>
      <c r="J48" s="3">
        <f>Selection!F19</f>
        <v>0</v>
      </c>
      <c r="K48" s="210" t="str">
        <f>IF(I48=0,"",CONCATENATE(" OR (",VLOOKUP(I48,I35:L38,3,FALSE),J48,VLOOKUP(I48,I35:L38,4,FALSE),")"))</f>
        <v/>
      </c>
      <c r="M48" s="29" t="str">
        <f t="shared" si="10"/>
        <v/>
      </c>
      <c r="N48" s="11" t="str">
        <f t="shared" si="16"/>
        <v/>
      </c>
      <c r="O48" s="214" t="str">
        <f t="shared" si="16"/>
        <v/>
      </c>
      <c r="P48" s="29" t="str">
        <f t="shared" si="12"/>
        <v/>
      </c>
      <c r="Q48" s="11" t="str">
        <f>IF($I49=2,CONCATENATE(" WHEN grp_enti_nbr = ",$J49," THEN 'Gr_Cat_2' 
"),"")</f>
        <v/>
      </c>
      <c r="R48" s="214" t="str">
        <f>IF($I49=2,CONCATENATE(" WHEN psgwa.cust_grp_id_nbr = ",$J49," THEN 'Gr_Cat_2' 
"),"")</f>
        <v/>
      </c>
      <c r="S48" s="29" t="str">
        <f t="shared" si="13"/>
        <v/>
      </c>
      <c r="T48" s="11" t="str">
        <f>IF($I49=3,CONCATENATE(" WHEN sbgrp_enti_nbr = ",$J49," THEN 'Gr_Cat_2' 
"),"")</f>
        <v/>
      </c>
      <c r="U48" s="214" t="str">
        <f>IF($I49=3,CONCATENATE(" WHEN psgwa.cust_grp_id_nbr = ",$J49," THEN 'Gr_Cat_2' 
"),"")</f>
        <v/>
      </c>
      <c r="V48" s="29" t="str">
        <f t="shared" si="14"/>
        <v/>
      </c>
      <c r="W48" s="11" t="str">
        <f>IF($I49=4,CONCATENATE(" WHEN cht.cust_acct_nbr = '",$J49,"' THEN 'Gr_Cat_2' 
"),"")</f>
        <v/>
      </c>
      <c r="X48" s="214" t="str">
        <f t="shared" ref="X48:X51" si="17">IF($I49=4,CONCATENATE(" WHEN cvm.cust_acct_nbr = '",$J49,"' THEN 'Gr_Cat_2' 
"),"")</f>
        <v/>
      </c>
    </row>
    <row r="49" spans="1:24" ht="13.5" customHeight="1" x14ac:dyDescent="0.35">
      <c r="B49" s="41"/>
      <c r="E49" s="8"/>
      <c r="H49" s="3">
        <v>1</v>
      </c>
      <c r="I49" s="3">
        <f>H49-1</f>
        <v>0</v>
      </c>
      <c r="J49" s="3">
        <f>Selection!F20</f>
        <v>0</v>
      </c>
      <c r="K49" s="3"/>
      <c r="M49" s="29" t="str">
        <f t="shared" si="10"/>
        <v/>
      </c>
      <c r="N49" s="11" t="str">
        <f t="shared" si="16"/>
        <v/>
      </c>
      <c r="O49" s="214" t="str">
        <f t="shared" si="16"/>
        <v/>
      </c>
      <c r="P49" s="29" t="str">
        <f t="shared" si="12"/>
        <v/>
      </c>
      <c r="Q49" s="11" t="str">
        <f>IF($I50=2,CONCATENATE(" WHEN grp_enti_nbr = ",$J50," THEN 'Gr_Cat_2' 
"),"")</f>
        <v/>
      </c>
      <c r="R49" s="214" t="str">
        <f>IF($I50=2,CONCATENATE(" WHEN psgwa.cust_grp_id_nbr = ",$J50," THEN 'Gr_Cat_2' 
"),"")</f>
        <v/>
      </c>
      <c r="S49" s="29" t="str">
        <f t="shared" si="13"/>
        <v/>
      </c>
      <c r="T49" s="11" t="str">
        <f>IF($I50=3,CONCATENATE(" WHEN sbgrp_enti_nbr = ",$J50," THEN 'Gr_Cat_2' 
"),"")</f>
        <v/>
      </c>
      <c r="U49" s="214" t="str">
        <f>IF($I50=3,CONCATENATE(" WHEN psgwa.cust_grp_id_nbr = ",$J50," THEN 'Gr_Cat_2' 
"),"")</f>
        <v/>
      </c>
      <c r="V49" s="29" t="str">
        <f t="shared" si="14"/>
        <v/>
      </c>
      <c r="W49" s="11" t="str">
        <f>IF($I50=4,CONCATENATE(" WHEN cht.cust_acct_nbr = '",$J50,"' THEN 'Gr_Cat_2' 
"),"")</f>
        <v/>
      </c>
      <c r="X49" s="214" t="str">
        <f t="shared" si="17"/>
        <v/>
      </c>
    </row>
    <row r="50" spans="1:24" ht="13.5" customHeight="1" x14ac:dyDescent="0.35">
      <c r="A50" s="206" t="s">
        <v>1355</v>
      </c>
      <c r="B50" s="193"/>
      <c r="C50" s="194"/>
      <c r="D50" s="194" t="s">
        <v>1640</v>
      </c>
      <c r="E50" s="191" t="s">
        <v>1355</v>
      </c>
      <c r="H50" s="3">
        <v>1</v>
      </c>
      <c r="I50" s="3">
        <f>H50-1</f>
        <v>0</v>
      </c>
      <c r="J50" s="3">
        <f>Selection!F21</f>
        <v>0</v>
      </c>
      <c r="K50" s="3"/>
      <c r="M50" s="29" t="str">
        <f t="shared" si="10"/>
        <v/>
      </c>
      <c r="N50" s="11" t="str">
        <f t="shared" si="16"/>
        <v/>
      </c>
      <c r="O50" s="214" t="str">
        <f t="shared" si="16"/>
        <v/>
      </c>
      <c r="P50" s="29" t="str">
        <f t="shared" si="12"/>
        <v/>
      </c>
      <c r="Q50" s="11" t="str">
        <f>IF($I51=2,CONCATENATE(" WHEN grp_enti_nbr = ",$J51," THEN 'Gr_Cat_2' 
"),"")</f>
        <v/>
      </c>
      <c r="R50" s="214" t="str">
        <f>IF($I51=2,CONCATENATE(" WHEN psgwa.cust_grp_id_nbr = ",$J51," THEN 'Gr_Cat_2' 
"),"")</f>
        <v/>
      </c>
      <c r="S50" s="29" t="str">
        <f t="shared" si="13"/>
        <v/>
      </c>
      <c r="T50" s="11" t="str">
        <f>IF($I51=3,CONCATENATE(" WHEN sbgrp_enti_nbr = ",$J51," THEN 'Gr_Cat_2' 
"),"")</f>
        <v/>
      </c>
      <c r="U50" s="214" t="str">
        <f>IF($I51=3,CONCATENATE(" WHEN psgwa.cust_grp_id_nbr = ",$J51," THEN 'Gr_Cat_2' 
"),"")</f>
        <v/>
      </c>
      <c r="V50" s="29" t="str">
        <f t="shared" si="14"/>
        <v/>
      </c>
      <c r="W50" s="11" t="str">
        <f>IF($I51=4,CONCATENATE(" WHEN cht.cust_acct_nbr = '",$J51,"' THEN 'Gr_Cat_2' 
"),"")</f>
        <v/>
      </c>
      <c r="X50" s="214" t="str">
        <f t="shared" si="17"/>
        <v/>
      </c>
    </row>
    <row r="51" spans="1:24" ht="13.5" customHeight="1" x14ac:dyDescent="0.35">
      <c r="A51" s="206"/>
      <c r="B51" s="193"/>
      <c r="C51" s="194"/>
      <c r="D51" s="194" t="str">
        <f>$N$27</f>
        <v xml:space="preserve">CASE  WHEN cntry_enti_nbr = 488185414 THEN 'Ex_Cat_1' 
 Else 'Other' END AS Express_Categories, 
</v>
      </c>
      <c r="E51" s="252" t="str">
        <f ca="1">CONCATENATE(D50,D51,D52,D53,D54,D55)</f>
        <v>/*Surcharge Pricing Data Pull
*/
SELECT  UNIQUE
psgwa.cust_grp_id_nbr,
level_cd,
'Eff_Date_2' AS Discount_Date,
CASE  WHEN cntry_enti_nbr = 488185414 THEN 'Ex_Cat_1' 
 Else 'Other' END AS Express_Categories, 
psgwa.srchg_id,
SC.srchg_cd,
SC.srchg_nm as Surcharge_Name,
S.svc_nm as Service,
CASE WHEN svc_nm = 'Continental US - Ground' THEN 'GR'
WHEN svc_nm = 'Continental US - Home Delivery' THEN 'HD'
WHEN svc_nm = 'STANDARD OVERNIGHT' THEN 'SO'
WHEN svc_nm = 'No Service' THEN 'All'
WHEN svc_nm = 'SmartPost Continental US' THEN 'GE'
WHEN svc_nm = 'EXPORT ECONOMY' THEN 'EE'
WHEN svc_nm = 'OVERNIGHT FREIGHT SERVICE' THEN 'DF'
WHEN svc_nm = 'EXPT PDDF' THEN 'IF'
WHEN svc_nm = 'IMPORT ECONOMY' THEN 'IE'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(488185414)     and cvmh.expr_tmstp  &gt; TIMESTAMP '9999-12-31 23:59:59'
    and cvme.expr_tmstp  &gt; TIMESTAMP '9999-12-31 23:59:59')cvm 
     on psgwa.cust_grp_id_nbr = cvm.cust_view_mgmt_nbr 
where service IN ('STANDARD OVERNIGHT','EXPORT ECONOMY','IMPORT ECONOMY','OVERNIGHT FREIGHT SERVICE', 'EXPT PDDF','No Service' )  AND ((cntry_enti_nbr = 488185414 AND level_cd = 'CTRY'  ) ) AND CAST('2026-09-02' AS DATE) BETWEEN begin_date AND (end_date - 1)</v>
      </c>
      <c r="H51" s="3">
        <v>1</v>
      </c>
      <c r="I51" s="3">
        <f>H51-1</f>
        <v>0</v>
      </c>
      <c r="J51" s="3">
        <f>Selection!F22</f>
        <v>0</v>
      </c>
      <c r="K51" s="3"/>
      <c r="M51" s="29" t="str">
        <f t="shared" si="10"/>
        <v/>
      </c>
      <c r="N51" s="11" t="str">
        <f t="shared" si="16"/>
        <v/>
      </c>
      <c r="O51" s="214" t="str">
        <f t="shared" si="16"/>
        <v/>
      </c>
      <c r="P51" s="29" t="str">
        <f t="shared" si="12"/>
        <v/>
      </c>
      <c r="Q51" s="11" t="str">
        <f>IF($I52=2,CONCATENATE(" WHEN grp_enti_nbr = ",$J52," THEN 'Gr_Cat_2' 
"),"")</f>
        <v/>
      </c>
      <c r="R51" s="214" t="str">
        <f>IF($I52=2,CONCATENATE(" WHEN psgwa.cust_grp_id_nbr = ",$J52," THEN 'Gr_Cat_2' 
"),"")</f>
        <v/>
      </c>
      <c r="S51" s="29" t="str">
        <f t="shared" si="13"/>
        <v/>
      </c>
      <c r="T51" s="11" t="str">
        <f>IF($I52=3,CONCATENATE(" WHEN sbgrp_enti_nbr = ",$J52," THEN 'Gr_Cat_2' 
"),"")</f>
        <v/>
      </c>
      <c r="U51" s="214" t="str">
        <f>IF($I52=3,CONCATENATE(" WHEN psgwa.cust_grp_id_nbr = ",$J52," THEN 'Gr_Cat_2' 
"),"")</f>
        <v/>
      </c>
      <c r="V51" s="29" t="str">
        <f t="shared" si="14"/>
        <v/>
      </c>
      <c r="W51" s="11" t="str">
        <f>IF($I52=4,CONCATENATE(" WHEN cht.cust_acct_nbr = '",$J52,"' THEN 'Gr_Cat_2' 
"),"")</f>
        <v/>
      </c>
      <c r="X51" s="214" t="str">
        <f t="shared" si="17"/>
        <v/>
      </c>
    </row>
    <row r="52" spans="1:24" ht="13.5" customHeight="1" x14ac:dyDescent="0.35">
      <c r="A52" s="206"/>
      <c r="B52" s="193"/>
      <c r="C52" s="194"/>
      <c r="D52" s="194" t="s">
        <v>1737</v>
      </c>
      <c r="H52" s="3">
        <v>1</v>
      </c>
      <c r="I52" s="3">
        <f>H52-1</f>
        <v>0</v>
      </c>
      <c r="J52" s="3">
        <f>Selection!F23</f>
        <v>0</v>
      </c>
      <c r="K52" s="3"/>
      <c r="M52" s="211" t="str">
        <f t="shared" si="10"/>
        <v/>
      </c>
      <c r="N52" s="223" t="str">
        <f t="shared" ref="N52:O56" si="18">IF($I54=1,CONCATENATE(" WHEN cntry_enti_nbr = ",$J54," THEN 'Gr_Cat_3' 
"),"")</f>
        <v/>
      </c>
      <c r="O52" s="192" t="str">
        <f t="shared" si="18"/>
        <v/>
      </c>
      <c r="P52" s="211" t="str">
        <f t="shared" si="12"/>
        <v/>
      </c>
      <c r="Q52" s="223" t="str">
        <f>IF($I54=2,CONCATENATE(" WHEN grp_enti_nbr = ",$J54," THEN 'Gr_Cat_3' 
"),"")</f>
        <v/>
      </c>
      <c r="R52" s="192" t="str">
        <f>IF($I54=2,CONCATENATE(" WHEN psgwa.cust_grp_id_nbr = ",$J54," THEN 'Gr_Cat_3' 
"),"")</f>
        <v/>
      </c>
      <c r="S52" s="211" t="str">
        <f t="shared" si="13"/>
        <v/>
      </c>
      <c r="T52" s="223" t="str">
        <f>IF($I54=3,CONCATENATE(" WHEN sbgrp_enti_nbr = ",$J54," THEN 'Gr_Cat_3' 
"),"")</f>
        <v/>
      </c>
      <c r="U52" s="192" t="str">
        <f>IF($I54=3,CONCATENATE(" WHEN psgwa.cust_grp_id_nbr = ",$J54," THEN 'Gr_Cat_3' 
"),"")</f>
        <v/>
      </c>
      <c r="V52" s="211" t="str">
        <f t="shared" si="14"/>
        <v/>
      </c>
      <c r="W52" s="223" t="str">
        <f>IF($I54=4,CONCATENATE(" WHEN cht.cust_acct_nbr = '",$J54,"' THEN 'Gr_Cat_3' 
"),"")</f>
        <v/>
      </c>
      <c r="X52" s="192" t="str">
        <f>IF($I54=4,CONCATENATE(" WHEN cvm.cust_acct_nbr = '",$J54,"' THEN 'Gr_Cat_3' 
"),"")</f>
        <v/>
      </c>
    </row>
    <row r="53" spans="1:24" ht="13.5" customHeight="1" x14ac:dyDescent="0.35">
      <c r="A53" s="206"/>
      <c r="B53" s="193"/>
      <c r="C53" s="194"/>
      <c r="D53" s="194" t="str">
        <f>$M$28</f>
        <v xml:space="preserve"> cntry_enti_nbr IN (488185414) </v>
      </c>
      <c r="F53" t="str">
        <f>IF(SUM(I54:I58)&gt;0,"TRUE","FALSE")</f>
        <v>FALSE</v>
      </c>
      <c r="H53" s="205" t="s">
        <v>1329</v>
      </c>
      <c r="I53" s="3"/>
      <c r="J53" s="3"/>
      <c r="K53" s="3"/>
      <c r="M53" s="211" t="str">
        <f t="shared" si="10"/>
        <v/>
      </c>
      <c r="N53" s="223" t="str">
        <f t="shared" si="18"/>
        <v/>
      </c>
      <c r="O53" s="192" t="str">
        <f t="shared" si="18"/>
        <v/>
      </c>
      <c r="P53" s="211" t="str">
        <f t="shared" si="12"/>
        <v/>
      </c>
      <c r="Q53" s="223" t="str">
        <f>IF($I55=2,CONCATENATE(" WHEN grp_enti_nbr = ",$J55," THEN 'Gr_Cat_3' 
"),"")</f>
        <v/>
      </c>
      <c r="R53" s="192" t="str">
        <f>IF($I55=2,CONCATENATE(" WHEN psgwa.cust_grp_id_nbr = ",$J55," THEN 'Gr_Cat_3' 
"),"")</f>
        <v/>
      </c>
      <c r="S53" s="211" t="str">
        <f t="shared" si="13"/>
        <v/>
      </c>
      <c r="T53" s="223" t="str">
        <f>IF($I55=3,CONCATENATE(" WHEN sbgrp_enti_nbr = ",$J55," THEN 'Gr_Cat_3' 
"),"")</f>
        <v/>
      </c>
      <c r="U53" s="192" t="str">
        <f>IF($I55=3,CONCATENATE(" WHEN psgwa.cust_grp_id_nbr = ",$J55," THEN 'Gr_Cat_3' 
"),"")</f>
        <v/>
      </c>
      <c r="V53" s="211" t="str">
        <f t="shared" si="14"/>
        <v/>
      </c>
      <c r="W53" s="223" t="str">
        <f>IF($I55=4,CONCATENATE(" WHEN cht.cust_acct_nbr = '",$J55,"' THEN 'Gr_Cat_3' 
"),"")</f>
        <v/>
      </c>
      <c r="X53" s="192" t="str">
        <f t="shared" ref="X53:X56" si="19">IF($I55=4,CONCATENATE(" WHEN cvm.cust_acct_nbr = '",$J55,"' THEN 'Gr_Cat_3' 
"),"")</f>
        <v/>
      </c>
    </row>
    <row r="54" spans="1:24" ht="13.5" customHeight="1" x14ac:dyDescent="0.35">
      <c r="A54" s="18"/>
      <c r="B54" s="27"/>
      <c r="C54" s="28"/>
      <c r="D54" s="28" t="s">
        <v>1738</v>
      </c>
      <c r="H54" s="3">
        <v>1</v>
      </c>
      <c r="I54" s="3">
        <f>H54-1</f>
        <v>0</v>
      </c>
      <c r="J54" s="3">
        <f>Selection!I19</f>
        <v>0</v>
      </c>
      <c r="K54" s="210" t="str">
        <f>IF(I54=0,"",CONCATENATE(" OR (",VLOOKUP(I54,I35:L38,3,FALSE),J54,VLOOKUP(I54,I35:L38,4,FALSE),")"))</f>
        <v/>
      </c>
      <c r="M54" s="211" t="str">
        <f t="shared" si="10"/>
        <v/>
      </c>
      <c r="N54" s="223" t="str">
        <f t="shared" si="18"/>
        <v/>
      </c>
      <c r="O54" s="192" t="str">
        <f t="shared" si="18"/>
        <v/>
      </c>
      <c r="P54" s="211" t="str">
        <f t="shared" si="12"/>
        <v/>
      </c>
      <c r="Q54" s="223" t="str">
        <f>IF($I56=2,CONCATENATE(" WHEN grp_enti_nbr = ",$J56," THEN 'Gr_Cat_3' 
"),"")</f>
        <v/>
      </c>
      <c r="R54" s="192" t="str">
        <f>IF($I56=2,CONCATENATE(" WHEN psgwa.cust_grp_id_nbr = ",$J56," THEN 'Gr_Cat_3' 
"),"")</f>
        <v/>
      </c>
      <c r="S54" s="211" t="str">
        <f t="shared" si="13"/>
        <v/>
      </c>
      <c r="T54" s="223" t="str">
        <f>IF($I56=3,CONCATENATE(" WHEN sbgrp_enti_nbr = ",$J56," THEN 'Gr_Cat_3' 
"),"")</f>
        <v/>
      </c>
      <c r="U54" s="192" t="str">
        <f>IF($I56=3,CONCATENATE(" WHEN psgwa.cust_grp_id_nbr = ",$J56," THEN 'Gr_Cat_3' 
"),"")</f>
        <v/>
      </c>
      <c r="V54" s="211" t="str">
        <f t="shared" si="14"/>
        <v/>
      </c>
      <c r="W54" s="223" t="str">
        <f>IF($I56=4,CONCATENATE(" WHEN cht.cust_acct_nbr = '",$J56,"' THEN 'Gr_Cat_3' 
"),"")</f>
        <v/>
      </c>
      <c r="X54" s="192" t="str">
        <f t="shared" si="19"/>
        <v/>
      </c>
    </row>
    <row r="55" spans="1:24" ht="13.5" customHeight="1" x14ac:dyDescent="0.35">
      <c r="A55" s="207"/>
      <c r="B55" s="207"/>
      <c r="C55" s="208"/>
      <c r="D55" s="207" t="str">
        <f ca="1">$K$9&amp;$I$9</f>
        <v xml:space="preserve"> AND ((cntry_enti_nbr = 488185414 AND level_cd = 'CTRY'  ) ) AND CAST('2026-09-02' AS DATE) BETWEEN begin_date AND (end_date - 1)</v>
      </c>
      <c r="H55" s="3">
        <v>1</v>
      </c>
      <c r="I55" s="3">
        <f>H55-1</f>
        <v>0</v>
      </c>
      <c r="J55" s="3">
        <f>Selection!I20</f>
        <v>0</v>
      </c>
      <c r="K55" s="3"/>
      <c r="M55" s="211" t="str">
        <f t="shared" si="10"/>
        <v/>
      </c>
      <c r="N55" s="223" t="str">
        <f t="shared" si="18"/>
        <v/>
      </c>
      <c r="O55" s="192" t="str">
        <f t="shared" si="18"/>
        <v/>
      </c>
      <c r="P55" s="211" t="str">
        <f t="shared" si="12"/>
        <v/>
      </c>
      <c r="Q55" s="223" t="str">
        <f>IF($I57=2,CONCATENATE(" WHEN grp_enti_nbr = ",$J57," THEN 'Gr_Cat_3' 
"),"")</f>
        <v/>
      </c>
      <c r="R55" s="192" t="str">
        <f>IF($I57=2,CONCATENATE(" WHEN psgwa.cust_grp_id_nbr = ",$J57," THEN 'Gr_Cat_3' 
"),"")</f>
        <v/>
      </c>
      <c r="S55" s="211" t="str">
        <f t="shared" si="13"/>
        <v/>
      </c>
      <c r="T55" s="223" t="str">
        <f>IF($I57=3,CONCATENATE(" WHEN sbgrp_enti_nbr = ",$J57," THEN 'Gr_Cat_3' 
"),"")</f>
        <v/>
      </c>
      <c r="U55" s="192" t="str">
        <f>IF($I57=3,CONCATENATE(" WHEN psgwa.cust_grp_id_nbr = ",$J57," THEN 'Gr_Cat_3' 
"),"")</f>
        <v/>
      </c>
      <c r="V55" s="211" t="str">
        <f t="shared" si="14"/>
        <v/>
      </c>
      <c r="W55" s="223" t="str">
        <f>IF($I57=4,CONCATENATE(" WHEN cht.cust_acct_nbr = '",$J57,"' THEN 'Gr_Cat_3' 
"),"")</f>
        <v/>
      </c>
      <c r="X55" s="192" t="str">
        <f t="shared" si="19"/>
        <v/>
      </c>
    </row>
    <row r="56" spans="1:24" ht="13.5" customHeight="1" x14ac:dyDescent="0.35">
      <c r="A56" s="17"/>
      <c r="B56" s="17"/>
      <c r="C56" s="32"/>
      <c r="E56" s="8"/>
      <c r="H56" s="3">
        <v>1</v>
      </c>
      <c r="I56" s="3">
        <f>H56-1</f>
        <v>0</v>
      </c>
      <c r="J56" s="3">
        <f>Selection!I21</f>
        <v>0</v>
      </c>
      <c r="K56" s="3"/>
      <c r="M56" s="211" t="str">
        <f t="shared" si="10"/>
        <v/>
      </c>
      <c r="N56" s="223" t="str">
        <f t="shared" si="18"/>
        <v/>
      </c>
      <c r="O56" s="192" t="str">
        <f t="shared" si="18"/>
        <v/>
      </c>
      <c r="P56" s="211" t="str">
        <f t="shared" si="12"/>
        <v/>
      </c>
      <c r="Q56" s="223" t="str">
        <f>IF($I58=2,CONCATENATE(" WHEN grp_enti_nbr = ",$J58," THEN 'Gr_Cat_3' 
"),"")</f>
        <v/>
      </c>
      <c r="R56" s="192" t="str">
        <f>IF($I58=2,CONCATENATE(" WHEN psgwa.cust_grp_id_nbr = ",$J58," THEN 'Gr_Cat_3' 
"),"")</f>
        <v/>
      </c>
      <c r="S56" s="211" t="str">
        <f t="shared" si="13"/>
        <v/>
      </c>
      <c r="T56" s="223" t="str">
        <f>IF($I58=3,CONCATENATE(" WHEN sbgrp_enti_nbr = ",$J58," THEN 'Gr_Cat_3' 
"),"")</f>
        <v/>
      </c>
      <c r="U56" s="192" t="str">
        <f>IF($I58=3,CONCATENATE(" WHEN psgwa.cust_grp_id_nbr = ",$J58," THEN 'Gr_Cat_3' 
"),"")</f>
        <v/>
      </c>
      <c r="V56" s="211" t="str">
        <f t="shared" si="14"/>
        <v/>
      </c>
      <c r="W56" s="223" t="str">
        <f>IF($I58=4,CONCATENATE(" WHEN cht.cust_acct_nbr = '",$J58,"' THEN 'Gr_Cat_3' 
"),"")</f>
        <v/>
      </c>
      <c r="X56" s="192" t="str">
        <f t="shared" si="19"/>
        <v/>
      </c>
    </row>
    <row r="57" spans="1:24" ht="13.5" customHeight="1" x14ac:dyDescent="0.35">
      <c r="A57" s="206" t="s">
        <v>1354</v>
      </c>
      <c r="B57" s="193"/>
      <c r="C57" s="194"/>
      <c r="D57" s="194" t="s">
        <v>1640</v>
      </c>
      <c r="E57" s="191" t="s">
        <v>1354</v>
      </c>
      <c r="H57" s="3">
        <v>1</v>
      </c>
      <c r="I57" s="3">
        <f>H57-1</f>
        <v>0</v>
      </c>
      <c r="J57" s="3">
        <f>Selection!I22</f>
        <v>0</v>
      </c>
      <c r="K57" s="3"/>
      <c r="N57" s="224" t="s">
        <v>1345</v>
      </c>
      <c r="O57" t="s">
        <v>1315</v>
      </c>
      <c r="P57" t="s">
        <v>1316</v>
      </c>
      <c r="Q57" t="s">
        <v>1313</v>
      </c>
    </row>
    <row r="58" spans="1:24" ht="13.5" customHeight="1" x14ac:dyDescent="0.35">
      <c r="A58" s="206"/>
      <c r="B58" s="193"/>
      <c r="C58" s="194"/>
      <c r="D58" s="194" t="str">
        <f>$N$59</f>
        <v xml:space="preserve">CASE  WHEN cntry_enti_nbr = 488185414 THEN 'Gr_Cat_1' 
 Else 'Other' END AS Express_Categories, 
</v>
      </c>
      <c r="E58" s="252" t="str">
        <f ca="1">CONCATENATE(D57,D58,D59,D60,D61,D62)</f>
        <v>/*Surcharge Pricing Data Pull
*/
SELECT  UNIQUE
psgwa.cust_grp_id_nbr,
level_cd,
'Eff_Date_2' AS Discount_Date,
CASE  WHEN cntry_enti_nbr = 488185414 THEN 'Gr_Cat_1' 
 Else 'Other' END AS Express_Categories, 
psgwa.srchg_id,
SC.srchg_cd,
SC.srchg_nm as Surcharge_Name,
S.svc_nm as Service,
CASE WHEN svc_nm = 'Continental US - Ground' THEN 'GR'
WHEN svc_nm = 'International Service - US to CA' THEN 'IG'
WHEN svc_nm = 'Continental US - Home Delivery' THEN 'HD'
WHEN svc_nm = 'STANDARD OVERNIGHT' THEN 'SO'
WHEN svc_nm = 'SmartPost Continental US' THEN 'GE'
WHEN svc_nm = 'EXPORT ECONOMY' THEN 'EE'
WHEN svc_nm = 'OVERNIGHT FREIGHT SERVICE' THEN 'DF'
WHEN svc_nm = 'EXPT PDDF' THEN 'IF'
END AS Service_cd,
prcng_geo_key_desc as _Zone,
begin(psgwa.disc_eff_perd_dt) begin_date,
end(psgwa.disc_eff_perd_dt) end_date,
psgwa.srchg_actn_cd,
psgwa.srchg_pct/100,
psgwa.srchg_amt
FROM    ISH_PROD_VIEW_DB.prcng_srchg_geo_wgt psgwa
    LEFT OUTER JOIN ISH_PROD_VIEW_DB.    service_geo SG
     ON psgwa.bds_id_nbr = SG.bds_id_nbr
     LEFT OUTER JOIN ISH_PROD_VIEW_DB.service S
     ON SG.svc_id_nbr = S.svc_id_nbr
     LEFT OUTER JOIN ISH_PROD_VIEW_DB.prcng_geo_group_pair PGGP
     ON PGGP.prcng_geo_grp_pair_id = psgwa.prcng_geo_grp_pair_id
     LEFT OUTER JOIN ISH_PROD_VIEW_DB.prcng_geo_group PGG
     ON PGG.prcng_geo_grp_id = PGGP.first_prcng_geo_grp_id
     LEFT OUTER JOIN ISH_PROD_VIEW_DB.prcng_geo_group PGG1
     ON PGG1.prcng_geo_grp_id = PGGP.sec_prcng_geo_grp_id
     LEFT OUTER JOIN ISH_PROD_VIEW_DB.prcng_geo PG
     ON PG.prcng_geo_id_nbr = psgwa.prcng_geo_id_nbr
      LEFT OUTER JOIN ISH_PROD_VIEW_DB.discount D
     ON D.disc_id = psgwa.disc_id
     LEFT OUTER JOIN ISH_PROD_VIEW_DB.surcharge SC
     ON SC.srchg_id = psgwa.srchg_id
     left outer join  ISH_PROD_VIEW_DB.prcng_srchg_geo_attr  psga   
on psga.srchg_id = psgwa.srchg_id and  psgwa.bds_id_nbr  = psga.bds_id_nbr and psgwa.cust_grp_id_nbr  = psga.cust_grp_id_nbr
and psga.prcng_attr_id=1012 and (current_date between begin(psga.disc_eff_perd_dt) and
end(psga.disc_eff_perd_dt))
inner join
(select    cvmh.cust_view_mgmt_nbr,
cvmh.globl_enti_nbr,
cvmh.cntry_enti_nbr, 
cvmh.cust_acct_nbr,
 cvme.level_cd
from    customer_prod_view_db.cust_view_mgmt_hierarchy cvmh
inner join cust_view_mgmt_entity cvme
    on
cvmh.cust_view_mgmt_nbr=cvme.cust_view_mgmt_nbr
where  cntry_enti_nbr IN (488185414)     and cvmh.expr_tmstp  &gt; TIMESTAMP '9999-12-31 23:59:59'
    and cvme.expr_tmstp  &gt; TIMESTAMP '9999-12-31 23:59:59')cvm 
     on psgwa.cust_grp_id_nbr = cvm.cust_view_mgmt_nbr 
where service IN ('Continental US - Ground', 'Continental US - Home Delivery','SmartPost Continental US','International Service - US to CA')  AND ((cntry_enti_nbr = 488185414 AND level_cd = 'CTRY'  ) ) AND CAST('2026-09-02' AS DATE) BETWEEN begin_date AND (end_date - 1)</v>
      </c>
      <c r="H58" s="3">
        <v>1</v>
      </c>
      <c r="I58" s="3">
        <f>H58-1</f>
        <v>0</v>
      </c>
      <c r="J58" s="3">
        <f>Selection!I23</f>
        <v>0</v>
      </c>
      <c r="K58" s="3"/>
      <c r="M58" s="3"/>
      <c r="N58" s="215" t="str">
        <f>CONCATENATE(O42,O43,O44,O45,O46,O47,O48,O49,O50,O51,O52,O53,O54,O55,O56)</f>
        <v xml:space="preserve"> WHEN cntry_enti_nbr = 488185414 THEN 'Gr_Cat_1' 
</v>
      </c>
      <c r="O58" s="215" t="str">
        <f>CONCATENATE(R42,R43,R44,R45,R46,R47,R48,R49,R50,R51,R52,R53,R54,R55,R56)</f>
        <v/>
      </c>
      <c r="P58" s="215" t="str">
        <f>CONCATENATE(U42,U43,U44,U45,U46,U47,U48,U49,U50,U51,U52,U53,U54,U55,U56)</f>
        <v/>
      </c>
      <c r="Q58" s="215" t="str">
        <f>CONCATENATE(X42,X43,X44,X45,X46,X47,X48,X49,X50,X51,X52,X53,X54,X55,X56)</f>
        <v/>
      </c>
      <c r="U58" s="8"/>
    </row>
    <row r="59" spans="1:24" ht="13.5" customHeight="1" x14ac:dyDescent="0.35">
      <c r="A59" s="206"/>
      <c r="B59" s="193"/>
      <c r="C59" s="194"/>
      <c r="D59" s="194" t="s">
        <v>1708</v>
      </c>
      <c r="E59" s="8"/>
      <c r="H59" s="3"/>
      <c r="I59" s="3"/>
      <c r="J59" s="3"/>
      <c r="K59" s="3"/>
      <c r="M59" s="3"/>
      <c r="N59" s="209" t="str">
        <f>CONCATENATE("CASE ",Q58,P58,O58,N58," Else 'Other' END AS Express_Categories, 
")</f>
        <v xml:space="preserve">CASE  WHEN cntry_enti_nbr = 488185414 THEN 'Gr_Cat_1' 
 Else 'Other' END AS Express_Categories, 
</v>
      </c>
      <c r="O59" s="3"/>
      <c r="P59" s="3"/>
      <c r="T59" s="8"/>
      <c r="U59" s="8"/>
    </row>
    <row r="60" spans="1:24" ht="19.5" customHeight="1" x14ac:dyDescent="0.35">
      <c r="A60" s="206"/>
      <c r="B60" s="193"/>
      <c r="C60" s="194"/>
      <c r="D60" s="194" t="str">
        <f>$M$60</f>
        <v xml:space="preserve"> cntry_enti_nbr IN (488185414) </v>
      </c>
      <c r="E60" s="8"/>
      <c r="H60" s="8"/>
      <c r="I60" s="8"/>
      <c r="J60" s="8"/>
      <c r="K60" s="8"/>
      <c r="L60" s="8"/>
      <c r="M60" s="216" t="str">
        <f>IF(SUM($M$42:$M$56)&gt;0,$M$61,$N$61)</f>
        <v xml:space="preserve"> cntry_enti_nbr IN (488185414) </v>
      </c>
      <c r="N60" s="213"/>
      <c r="O60" s="213"/>
      <c r="P60" s="213"/>
    </row>
    <row r="61" spans="1:24" ht="19.5" customHeight="1" x14ac:dyDescent="0.35">
      <c r="A61" s="18"/>
      <c r="B61" s="27"/>
      <c r="C61" s="28"/>
      <c r="D61" s="28" t="s">
        <v>1707</v>
      </c>
      <c r="E61" s="8"/>
      <c r="H61" s="8"/>
      <c r="I61" s="8"/>
      <c r="J61" s="8"/>
      <c r="K61" s="8"/>
      <c r="L61" s="8"/>
      <c r="M61" s="214" t="str">
        <f>IF(COUNTIF(I42:I58,1)&gt;0,CONCATENATE(" cntry_enti_nbr IN (",$M$40,") "),$N$61)</f>
        <v xml:space="preserve"> cntry_enti_nbr IN (488185414) </v>
      </c>
      <c r="N61" s="214" t="str">
        <f>CONCATENATE(" (",$N$62,$O$61,$O$62,$P$61,$P$62,") ")</f>
        <v xml:space="preserve"> () </v>
      </c>
      <c r="O61" s="214" t="str">
        <f>IF(AND(SUM($P$42:$P$56)&gt;0,SUM($S$42:$S$56)&gt;0)," OR ","")</f>
        <v/>
      </c>
      <c r="P61" s="214" t="str">
        <f>IF(AND(SUM($P$42:$S$56)&gt;0,SUM($V$42:$V$56)&gt;0)," OR ","")</f>
        <v/>
      </c>
    </row>
    <row r="62" spans="1:24" ht="13.5" customHeight="1" x14ac:dyDescent="0.35">
      <c r="A62" s="207"/>
      <c r="B62" s="207"/>
      <c r="C62" s="208"/>
      <c r="D62" s="207" t="str">
        <f ca="1">$K$41&amp;$I$9</f>
        <v xml:space="preserve"> AND ((cntry_enti_nbr = 488185414 AND level_cd = 'CTRY'  ) ) AND CAST('2026-09-02' AS DATE) BETWEEN begin_date AND (end_date - 1)</v>
      </c>
      <c r="E62" s="8"/>
      <c r="H62" s="8"/>
      <c r="I62" s="8"/>
      <c r="J62" s="8"/>
      <c r="K62" s="8"/>
      <c r="L62" s="8"/>
      <c r="M62" s="213"/>
      <c r="N62" s="214" t="str">
        <f>IF(COUNTIF(I42:I58,2)&gt;0,CONCATENATE(" grp_enti_nbr IN (",$N$40,") "),"")</f>
        <v/>
      </c>
      <c r="O62" s="214" t="str">
        <f>IF(COUNTIF(I42:I58,3)&gt;0,CONCATENATE(" sbgrp_enti_nbr IN (",$O$40,") "),"")</f>
        <v/>
      </c>
      <c r="P62" s="214" t="str">
        <f>IF(COUNTIF(I42:I58,4)&gt;0,CONCATENATE(" cust_acct_nbr IN ('",$P$40,"') "),"")</f>
        <v/>
      </c>
    </row>
    <row r="64" spans="1:24" ht="12.5" customHeight="1" x14ac:dyDescent="0.35">
      <c r="A64" s="527" t="s">
        <v>2004</v>
      </c>
      <c r="B64" s="26"/>
      <c r="C64" s="25" t="s">
        <v>2006</v>
      </c>
      <c r="D64" s="26" t="str">
        <f>C64</f>
        <v xml:space="preserve">
UNION ALL 
</v>
      </c>
      <c r="E64" s="560" t="str">
        <f>CONCATENATE(E25,D64,E65)</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488185414 THEN 'Ex_Cat_1' 
 Else 'Other' END AS Categories, 
CASE WHEN bill.svc_bas_cd IN ('39', '70', '80', '86', '83') THEN 'Express Freight' 
ELSE 'Express' 
END AS OpCo,
'Domestic' AS Dom_Intl, 
CASE
WHEN bill.svc_bas_cd = '20' THEN 'Express Saver'
ELSE OREPLACE(sbc.svc_dom_medium_nm,'FedEx ','') 
END AS Product_Name, 'D-'||dm.misc_resn_cd AS Surcharge_Code,
'See Code Table' AS surch_desc, 
dm.misc_amt AS misc_amt_usd,
CAST(CASE
 WHEN bill.dstc_rgn_cd IN ('A','PA','RA','YA') THEN 10
 WHEN bill.dstc_rgn_cd IN ('B','PB','RB','YB') THEN 11
 WHEN bill.dstc_rgn_cd IN ('C','PC','RC','YC') THEN 12
 WHEN bill.dstc_rgn_cd IN ('D','PD','RD','YD') THEN 13
 WHEN bill.dstc_rgn_cd IN ('E','PE','RE','YE') THEN 14
 WHEN bill.dstc_rgn_cd IN ('F','PF','RF','YF') THEN 15
 WHEN bill.dstc_rgn_cd IN ('G','PG','RG','YG') THEN 16
 WHEN bill.dstc_rgn_cd IN ('P1','R1','Y1') THEN 1
 WHEN bill.dstc_rgn_cd IN ('P2','R2','Y2') THEN 2
 WHEN bill.dstc_rgn_cd IN ('P3','R3','Y3') THEN 3
 WHEN bill.dstc_rgn_cd IN ('P4','R4','Y4') THEN 4
 WHEN bill.dstc_rgn_cd IN ('P5','R5','Y5') THEN 5
 WHEN bill.dstc_rgn_cd IN ('P6','R6','Y6') THEN 6
 WHEN bill.dstc_rgn_cd IN ('P7','R7','Y7') THEN 7
 WHEN bill.dstc_rgn_cd IN ('P8','R8','Y8') THEN 8
 WHEN bill.dstc_rgn_cd IN ('P9','R9','Y9') THEN 9
 WHEN bill.dstc_rgn_cd IN ('N','R') THEN 0
 ELSE bill.dstc_rgn_cd 
END AS VARCHAR(2)) AS _Zone,
1 AS Occurrences
FROM  UI_ISH_PROD_DB.billed_dom_express bill 
JOIN ui_ish_prod_db.customer cust ON cust.cust_nbr = payr_cust_nbr
JOIN customer_prod_view_db.cust_view_mgmt_hierarchy cht ON cht.cust_view_mgmt_type_cd = 'ACCT' AND cht.expr_tmstp &gt; current_timestamp AND contr_enti_view_flg = 'Y' AND cht.cust_acct_nbr = cust.cust_acct_nbr 
LEFT JOIN ui_ish_prod_db.ads_service_base_code sbc ON bill.svc_bas_cd = sbc.svc_bas_cd
INNER JOIN UI_ISH_PROD_DB.dom_inv_misc dm ON bill.INV_UNIQUE_ID = dm.inv_unique_id AND bill.AB_SEQ_NBR = dm.ab_seq_nbr 
WHERE bill.ab_inv_typ_ind NOT IN ('0') 
AND dm.misc_amt &gt;= 0 
AND dm.misc_resn_cd NOT IN ('1','16','58','59','61','64','72','73','74','77') 
AND Surcharge_Code NOT IN ('D-057','D-055')
AND  bill.ab_inv_typ_ind NOT IN ('0') AND bill.inv_dt BETWEEN cast('2025-03-01' as date) AND cast('2025-12-31'  as date)AND cht.cntry_enti_nbr IN (488185414) ) Roll 
GROUP BY 1, 2, 3, 4, 5, 6, 7
UNION ALL 
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488185414 THEN 'Ex_Cat_1' 
 Else 'Other' END AS Categories, 
'Express'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cast('2025-03-01' as date) AND cast('2025-12-31'  as date)AND cht.cntry_enti_nbr IN (488185414) ) Roll 
GROUP BY 1, 2, 3, 4, 5, 6, 7</v>
      </c>
    </row>
    <row r="65" spans="1:5" ht="13" customHeight="1" x14ac:dyDescent="0.35">
      <c r="A65" s="26"/>
      <c r="B65" s="26"/>
      <c r="C65" s="25" t="str">
        <f>CONCATENATE("SELECT 
",$R$6," 
")</f>
        <v xml:space="preserve">SELECT 
CASE  WHEN cntry_enti_nbr = 488185414 THEN 'Ex_Cat_1' 
 Else 'Other' END AS Categories, 
</v>
      </c>
      <c r="D65" s="25" t="str">
        <f>IF($B$27=TRUE,C65,"")</f>
        <v xml:space="preserve">SELECT 
CASE  WHEN cntry_enti_nbr = 488185414 THEN 'Ex_Cat_1' 
 Else 'Other' END AS Categories, 
</v>
      </c>
      <c r="E65" s="25" t="str">
        <f>CONCATENATE(D1,D65,D66,D67,D32)</f>
        <v>SELECT 
Categories,
OpCo, 
Dom_Intl, 
Product_Name,
CASE
WHEN Surcharge_Code IN ('D-120','D-722','D-607','D-060','D-119','D-721','D-003','D-608') AND _Zone = '02' THEN 'Zone 2'
WHEN Surcharge_Code IN ('D-120','D-722','D-607','D-060','D-119','D-721','D-003','D-608') AND _Zone IN ('03','04','22','14') THEN 'Zones 3-4'
WHEN Surcharge_Code IN ('D-120','D-722','D-607','D-060','D-119','D-721','D-003','D-608') AND _Zone IN ('05','06') THEN 'Zones 5-6'
WHEN Surcharge_Code IN ('D-120','D-722','D-607','D-060','D-119','D-721','D-003','D-608') AND _Zone IN ('07','08','PR','09','10','11','12','13','14','15','16','17') THEN 'Zones 7+'
Else ''
END AS Zone_Range,
Surcharge_Code,
surch_desc AS Surcharge_Description,  
CAST(SUM(misc_amt_usd) AS DECIMAL(18,2)) AS USD_Surchange_Amount,  
SUM(Occurrences) AS Occurrences
FROM
(SELECT 
CASE  WHEN cntry_enti_nbr = 488185414 THEN 'Ex_Cat_1' 
 Else 'Other' END AS Categories, 
'Express'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cast('2025-03-01' as date) AND cast('2025-12-31'  as date)AND cht.cntry_enti_nbr IN (488185414) ) Roll 
GROUP BY 1, 2, 3, 4, 5, 6, 7</v>
      </c>
    </row>
    <row r="66" spans="1:5" ht="16.5" customHeight="1" x14ac:dyDescent="0.35">
      <c r="A66" s="26"/>
      <c r="B66" s="26"/>
      <c r="C66" s="559" t="s">
        <v>2005</v>
      </c>
      <c r="D66" s="25" t="str">
        <f>IF($B$27=TRUE,C66,"")</f>
        <v xml:space="preserve">'Express' AS OpCo,
'Domestic' AS Dom_Intl, 
'Non-Transportation Related' AS Product_Name, 
CAST('D-'||nc.chrg_type_cd  AS CHAR(5)) AS Surcharge_Code,
'See Code Table' AS surch_desc, 
nc.chrg_amt AS misc_amt_usd,
'NA' AS _Zone,
1 AS Occurrences
FROM  ui_ish_prod_db.billed_dom_non_trans bill 
JOIN ui_ish_prod_db.customer cust ON cust.cust_nbr = payr_cust_nbr
JOIN customer_prod_view_db.cust_view_mgmt_hierarchy cht ON cht.cust_view_mgmt_type_cd = 'ACCT' AND cht.expr_tmstp &gt; current_timestamp AND contr_enti_view_flg = 'Y' AND cht.cust_acct_nbr = cust.cust_acct_nbr
LEFT OUTER JOIN ui_ish_prod_db.billed_dom_non_trans_chrg nc ON bill.inv_unique_id = nc.inv_unique_id AND bill.ab_seq_nbr = nc.ab_seq_nbr 
WHERE misc_amt_usd &gt;= 0 
AND Surcharge_Code NOT IN ('D-057','D-055') AND bill.inv_dt BETWEEN </v>
      </c>
    </row>
    <row r="67" spans="1:5" ht="12.5" customHeight="1" x14ac:dyDescent="0.35">
      <c r="A67" s="26"/>
      <c r="B67" s="26"/>
      <c r="C67" s="25" t="str">
        <f>CONCATENATE($F$8,$M$5)</f>
        <v xml:space="preserve">cast('2025-03-01' as date) AND cast('2025-12-31'  as date)AND cht.cntry_enti_nbr IN (488185414) </v>
      </c>
      <c r="D67" s="25" t="str">
        <f>IF($B$27=TRUE,C67,"")</f>
        <v xml:space="preserve">cast('2025-03-01' as date) AND cast('2025-12-31'  as date)AND cht.cntry_enti_nbr IN (488185414) </v>
      </c>
    </row>
    <row r="70" spans="1:5" ht="13.5" customHeight="1" x14ac:dyDescent="0.35">
      <c r="B70" s="17" t="str">
        <f>HLOOKUP("EXPRESS BUILD",H1:H6,I10+2,FALSE)</f>
        <v>Country</v>
      </c>
    </row>
    <row r="71" spans="1:5" ht="13.5" customHeight="1" x14ac:dyDescent="0.35"/>
    <row r="72" spans="1:5" ht="13.5" customHeight="1" x14ac:dyDescent="0.35"/>
    <row r="73" spans="1:5" ht="13.5" customHeight="1" x14ac:dyDescent="0.45">
      <c r="A73" s="465"/>
      <c r="B73" s="466" t="s">
        <v>1697</v>
      </c>
      <c r="C73" s="513" t="s">
        <v>1819</v>
      </c>
      <c r="D73" s="514" t="s">
        <v>1820</v>
      </c>
      <c r="E73" s="515" t="s">
        <v>1821</v>
      </c>
    </row>
    <row r="74" spans="1:5" ht="25.5" customHeight="1" x14ac:dyDescent="0.35">
      <c r="A74" t="s">
        <v>1698</v>
      </c>
      <c r="B74" t="str">
        <f>C74&amp;"//"&amp;_xlfn.TEXTJOIN("-",FALSE,D74:E74)</f>
        <v>2026 Surcharge Pricing Template - Discount Comparison (Oct 2025)//Surcharge Pricing Tool-600021</v>
      </c>
      <c r="C74" s="516" t="s">
        <v>1822</v>
      </c>
      <c r="D74" s="517" t="s">
        <v>1823</v>
      </c>
      <c r="E74" s="518">
        <v>600021</v>
      </c>
    </row>
    <row r="75" spans="1:5" ht="25.5" customHeight="1" x14ac:dyDescent="0.35">
      <c r="A75" s="467" t="s">
        <v>1699</v>
      </c>
      <c r="B75" s="17" t="str">
        <f>B70</f>
        <v>Country</v>
      </c>
    </row>
    <row r="76" spans="1:5" ht="12.75" customHeight="1" x14ac:dyDescent="0.35">
      <c r="A76" t="s">
        <v>1700</v>
      </c>
      <c r="B76" s="17">
        <f>J10</f>
        <v>488185414</v>
      </c>
    </row>
    <row r="77" spans="1:5" ht="12.75" customHeight="1" x14ac:dyDescent="0.35">
      <c r="A77" s="8" t="s">
        <v>1701</v>
      </c>
      <c r="B77" s="8" t="str">
        <f>CONCATENATE(TEXT(F5,"ddmmmyyyy")," - ",TEXT(F6,"ddmmmyyyy"))</f>
        <v>01Mar2025 - 31Dec2025</v>
      </c>
    </row>
    <row r="78" spans="1:5" ht="12.75" customHeight="1" x14ac:dyDescent="0.35">
      <c r="A78" t="s">
        <v>1702</v>
      </c>
      <c r="B78">
        <v>-2147467259</v>
      </c>
    </row>
    <row r="79" spans="1:5" ht="13.5" customHeight="1" x14ac:dyDescent="0.35">
      <c r="A79" s="8" t="s">
        <v>1703</v>
      </c>
      <c r="B79" s="8" t="s">
        <v>2007</v>
      </c>
    </row>
    <row r="80" spans="1:5" ht="13.5" customHeight="1" x14ac:dyDescent="0.35">
      <c r="A80" s="12" t="s">
        <v>1704</v>
      </c>
      <c r="B80" s="8"/>
    </row>
    <row r="81" spans="1:2" ht="13.5" customHeight="1" x14ac:dyDescent="0.35">
      <c r="A81" s="12" t="s">
        <v>1705</v>
      </c>
      <c r="B81" s="8" t="str">
        <f>_xlfn.TEXTJOIN("|",FALSE,B74:B80)</f>
        <v>2026 Surcharge Pricing Template - Discount Comparison (Oct 2025)//Surcharge Pricing Tool-600021|Country|488185414|01Mar2025 - 31Dec2025|-2147467259|[Simba][DSI] An error occurred while attempting to retrieve the error message for key 'TDLegacyPortDown' and component ID 100: Could not open error message files - Check that "C:\Program Files\Teradata\Client\17.20\bin\en-US\TDMessages.xml" or "C:\Program Files\Teradata\Client\17.20\bin\TDMessages_en-US.xml" exists and are accessible.|</v>
      </c>
    </row>
  </sheetData>
  <sheetProtection selectLockedCells="1"/>
  <mergeCells count="4">
    <mergeCell ref="H32:H33"/>
    <mergeCell ref="A2:A4"/>
    <mergeCell ref="A9:A15"/>
    <mergeCell ref="A17:A2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theme="7"/>
  </sheetPr>
  <dimension ref="A1:Y193"/>
  <sheetViews>
    <sheetView topLeftCell="H1" workbookViewId="0">
      <selection activeCell="J2" sqref="J2:J193"/>
    </sheetView>
  </sheetViews>
  <sheetFormatPr defaultRowHeight="14.5" x14ac:dyDescent="0.35"/>
  <cols>
    <col min="2" max="2" width="19.54296875" customWidth="1"/>
    <col min="3" max="3" width="12.54296875" bestFit="1" customWidth="1"/>
    <col min="4" max="4" width="28.26953125" bestFit="1" customWidth="1"/>
    <col min="5" max="5" width="28.26953125" customWidth="1"/>
    <col min="6" max="6" width="11" bestFit="1" customWidth="1"/>
    <col min="7" max="7" width="44.1796875" bestFit="1" customWidth="1"/>
    <col min="8" max="8" width="29.7265625" style="10" bestFit="1" customWidth="1"/>
    <col min="9" max="9" width="16.81640625" style="2" bestFit="1" customWidth="1"/>
    <col min="10" max="10" width="41.54296875" customWidth="1"/>
    <col min="11" max="11" width="32.453125" bestFit="1" customWidth="1"/>
    <col min="12" max="12" width="7.453125" customWidth="1"/>
    <col min="13" max="13" width="10" bestFit="1" customWidth="1"/>
    <col min="14" max="14" width="12.54296875" bestFit="1" customWidth="1"/>
    <col min="15" max="15" width="33" bestFit="1" customWidth="1"/>
    <col min="16" max="16" width="50.1796875" bestFit="1" customWidth="1"/>
    <col min="17" max="17" width="37" bestFit="1" customWidth="1"/>
    <col min="18" max="18" width="15.1796875" bestFit="1" customWidth="1"/>
    <col min="19" max="19" width="18.26953125" bestFit="1" customWidth="1"/>
    <col min="20" max="20" width="27.453125" style="10" bestFit="1" customWidth="1"/>
    <col min="21" max="21" width="21.81640625" style="10" bestFit="1" customWidth="1"/>
    <col min="22" max="22" width="31.7265625" style="2" customWidth="1"/>
    <col min="23" max="23" width="26" style="38" bestFit="1" customWidth="1"/>
    <col min="24" max="24" width="25" style="2" bestFit="1" customWidth="1"/>
    <col min="25" max="25" width="18.453125" style="9" bestFit="1" customWidth="1"/>
    <col min="26" max="26" width="9.7265625" bestFit="1" customWidth="1"/>
    <col min="29" max="29" width="18.453125" bestFit="1" customWidth="1"/>
  </cols>
  <sheetData>
    <row r="1" spans="1:11" ht="15.5" x14ac:dyDescent="0.35">
      <c r="A1" s="42" t="s">
        <v>1344</v>
      </c>
      <c r="B1" s="1" t="s">
        <v>0</v>
      </c>
      <c r="C1" s="1" t="s">
        <v>2</v>
      </c>
      <c r="D1" s="1" t="s">
        <v>6</v>
      </c>
      <c r="E1" s="1" t="s">
        <v>938</v>
      </c>
      <c r="F1" s="1" t="s">
        <v>421</v>
      </c>
      <c r="G1" s="1" t="s">
        <v>875</v>
      </c>
      <c r="H1" s="54" t="s">
        <v>8</v>
      </c>
      <c r="I1" s="16" t="s">
        <v>9</v>
      </c>
      <c r="J1" t="s">
        <v>875</v>
      </c>
      <c r="K1" t="s">
        <v>1706</v>
      </c>
    </row>
    <row r="2" spans="1:11" x14ac:dyDescent="0.35">
      <c r="A2" t="s">
        <v>2008</v>
      </c>
      <c r="B2" t="s">
        <v>14</v>
      </c>
      <c r="C2" t="s">
        <v>946</v>
      </c>
      <c r="D2" t="s">
        <v>2010</v>
      </c>
      <c r="F2" t="s">
        <v>373</v>
      </c>
      <c r="G2" t="s">
        <v>2011</v>
      </c>
      <c r="H2" s="10">
        <v>7.15</v>
      </c>
      <c r="I2" s="2">
        <v>1</v>
      </c>
      <c r="J2">
        <v>0</v>
      </c>
      <c r="K2" t="s">
        <v>1706</v>
      </c>
    </row>
    <row r="3" spans="1:11" x14ac:dyDescent="0.35">
      <c r="A3" t="s">
        <v>2008</v>
      </c>
      <c r="B3" t="s">
        <v>14</v>
      </c>
      <c r="C3" t="s">
        <v>946</v>
      </c>
      <c r="D3" t="s">
        <v>2010</v>
      </c>
      <c r="F3" t="s">
        <v>565</v>
      </c>
      <c r="G3" t="s">
        <v>2011</v>
      </c>
      <c r="H3" s="10">
        <v>3.15</v>
      </c>
      <c r="I3" s="2">
        <v>3</v>
      </c>
      <c r="J3">
        <v>0</v>
      </c>
      <c r="K3" t="s">
        <v>1706</v>
      </c>
    </row>
    <row r="4" spans="1:11" x14ac:dyDescent="0.35">
      <c r="A4" t="s">
        <v>2008</v>
      </c>
      <c r="B4" t="s">
        <v>14</v>
      </c>
      <c r="C4" t="s">
        <v>946</v>
      </c>
      <c r="D4" t="s">
        <v>2019</v>
      </c>
      <c r="F4" t="s">
        <v>2052</v>
      </c>
      <c r="G4" t="s">
        <v>2011</v>
      </c>
      <c r="H4" s="10">
        <v>203.98</v>
      </c>
      <c r="I4" s="2">
        <v>2</v>
      </c>
      <c r="J4">
        <v>0</v>
      </c>
      <c r="K4" t="s">
        <v>1706</v>
      </c>
    </row>
    <row r="5" spans="1:11" x14ac:dyDescent="0.35">
      <c r="A5" t="s">
        <v>2008</v>
      </c>
      <c r="B5" t="s">
        <v>14</v>
      </c>
      <c r="C5" t="s">
        <v>946</v>
      </c>
      <c r="D5" t="s">
        <v>2013</v>
      </c>
      <c r="F5" t="s">
        <v>561</v>
      </c>
      <c r="G5" t="s">
        <v>2011</v>
      </c>
      <c r="H5" s="10">
        <v>8.25</v>
      </c>
      <c r="I5" s="2">
        <v>1</v>
      </c>
      <c r="J5">
        <v>0</v>
      </c>
      <c r="K5" t="s">
        <v>1706</v>
      </c>
    </row>
    <row r="6" spans="1:11" x14ac:dyDescent="0.35">
      <c r="A6" t="s">
        <v>2008</v>
      </c>
      <c r="B6" t="s">
        <v>14</v>
      </c>
      <c r="C6" t="s">
        <v>946</v>
      </c>
      <c r="D6" t="s">
        <v>2053</v>
      </c>
      <c r="F6" t="s">
        <v>1806</v>
      </c>
      <c r="G6" t="s">
        <v>2011</v>
      </c>
      <c r="H6" s="10">
        <v>12</v>
      </c>
      <c r="I6" s="2">
        <v>1</v>
      </c>
      <c r="J6">
        <v>0</v>
      </c>
      <c r="K6" t="s">
        <v>1706</v>
      </c>
    </row>
    <row r="7" spans="1:11" x14ac:dyDescent="0.35">
      <c r="A7" t="s">
        <v>2008</v>
      </c>
      <c r="B7" t="s">
        <v>14</v>
      </c>
      <c r="C7" t="s">
        <v>946</v>
      </c>
      <c r="D7" t="s">
        <v>2015</v>
      </c>
      <c r="F7" t="s">
        <v>348</v>
      </c>
      <c r="G7" t="s">
        <v>2011</v>
      </c>
      <c r="H7" s="10">
        <v>4.1500000000000004</v>
      </c>
      <c r="I7" s="2">
        <v>1</v>
      </c>
      <c r="J7">
        <v>0</v>
      </c>
      <c r="K7" t="s">
        <v>1706</v>
      </c>
    </row>
    <row r="8" spans="1:11" x14ac:dyDescent="0.35">
      <c r="A8" t="s">
        <v>2008</v>
      </c>
      <c r="B8" t="s">
        <v>14</v>
      </c>
      <c r="C8" t="s">
        <v>946</v>
      </c>
      <c r="D8" t="s">
        <v>2015</v>
      </c>
      <c r="E8" t="s">
        <v>924</v>
      </c>
      <c r="F8" t="s">
        <v>358</v>
      </c>
      <c r="G8" t="s">
        <v>2011</v>
      </c>
      <c r="H8" s="10">
        <v>36</v>
      </c>
      <c r="I8" s="2">
        <v>1</v>
      </c>
      <c r="J8">
        <v>0</v>
      </c>
      <c r="K8" t="s">
        <v>1706</v>
      </c>
    </row>
    <row r="9" spans="1:11" x14ac:dyDescent="0.35">
      <c r="A9" t="s">
        <v>2008</v>
      </c>
      <c r="B9" t="s">
        <v>14</v>
      </c>
      <c r="C9" t="s">
        <v>946</v>
      </c>
      <c r="D9" t="s">
        <v>2013</v>
      </c>
      <c r="E9" t="s">
        <v>924</v>
      </c>
      <c r="F9" t="s">
        <v>358</v>
      </c>
      <c r="G9" t="s">
        <v>2011</v>
      </c>
      <c r="H9" s="10">
        <v>17</v>
      </c>
      <c r="I9" s="2">
        <v>1</v>
      </c>
      <c r="J9">
        <v>0</v>
      </c>
      <c r="K9" t="s">
        <v>1706</v>
      </c>
    </row>
    <row r="10" spans="1:11" x14ac:dyDescent="0.35">
      <c r="A10" t="s">
        <v>2008</v>
      </c>
      <c r="B10" t="s">
        <v>14</v>
      </c>
      <c r="C10" t="s">
        <v>946</v>
      </c>
      <c r="D10" t="s">
        <v>2012</v>
      </c>
      <c r="F10" t="s">
        <v>561</v>
      </c>
      <c r="G10" t="s">
        <v>2011</v>
      </c>
      <c r="H10" s="10">
        <v>19.149999999999999</v>
      </c>
      <c r="I10" s="2">
        <v>2</v>
      </c>
      <c r="J10">
        <v>0</v>
      </c>
      <c r="K10" t="s">
        <v>1706</v>
      </c>
    </row>
    <row r="11" spans="1:11" x14ac:dyDescent="0.35">
      <c r="A11" t="s">
        <v>2008</v>
      </c>
      <c r="B11" t="s">
        <v>14</v>
      </c>
      <c r="C11" t="s">
        <v>946</v>
      </c>
      <c r="D11" t="s">
        <v>2010</v>
      </c>
      <c r="E11" t="s">
        <v>937</v>
      </c>
      <c r="F11" t="s">
        <v>358</v>
      </c>
      <c r="G11" t="s">
        <v>2011</v>
      </c>
      <c r="H11" s="10">
        <v>19</v>
      </c>
      <c r="I11" s="2">
        <v>1</v>
      </c>
      <c r="J11">
        <v>0</v>
      </c>
      <c r="K11" t="s">
        <v>1706</v>
      </c>
    </row>
    <row r="12" spans="1:11" x14ac:dyDescent="0.35">
      <c r="A12" t="s">
        <v>2008</v>
      </c>
      <c r="B12" t="s">
        <v>14</v>
      </c>
      <c r="C12" t="s">
        <v>946</v>
      </c>
      <c r="D12" t="s">
        <v>2016</v>
      </c>
      <c r="F12" t="s">
        <v>1796</v>
      </c>
      <c r="G12" t="s">
        <v>2011</v>
      </c>
      <c r="H12" s="10">
        <v>59</v>
      </c>
      <c r="I12" s="2">
        <v>15</v>
      </c>
      <c r="J12">
        <v>0</v>
      </c>
      <c r="K12" t="s">
        <v>1706</v>
      </c>
    </row>
    <row r="13" spans="1:11" x14ac:dyDescent="0.35">
      <c r="A13" t="s">
        <v>2008</v>
      </c>
      <c r="B13" t="s">
        <v>14</v>
      </c>
      <c r="C13" t="s">
        <v>946</v>
      </c>
      <c r="D13" t="s">
        <v>2015</v>
      </c>
      <c r="F13" t="s">
        <v>565</v>
      </c>
      <c r="G13" t="s">
        <v>2011</v>
      </c>
      <c r="H13" s="10">
        <v>18.899999999999999</v>
      </c>
      <c r="I13" s="2">
        <v>12</v>
      </c>
      <c r="J13">
        <v>0</v>
      </c>
      <c r="K13" t="s">
        <v>1706</v>
      </c>
    </row>
    <row r="14" spans="1:11" x14ac:dyDescent="0.35">
      <c r="A14" t="s">
        <v>2008</v>
      </c>
      <c r="B14" t="s">
        <v>14</v>
      </c>
      <c r="C14" t="s">
        <v>946</v>
      </c>
      <c r="D14" t="s">
        <v>2018</v>
      </c>
      <c r="F14" t="s">
        <v>347</v>
      </c>
      <c r="G14" t="s">
        <v>2011</v>
      </c>
      <c r="H14" s="10">
        <v>494.08</v>
      </c>
      <c r="I14" s="2">
        <v>14</v>
      </c>
      <c r="J14">
        <v>0</v>
      </c>
      <c r="K14" t="s">
        <v>1706</v>
      </c>
    </row>
    <row r="15" spans="1:11" x14ac:dyDescent="0.35">
      <c r="A15" t="s">
        <v>2008</v>
      </c>
      <c r="B15" t="s">
        <v>14</v>
      </c>
      <c r="C15" t="s">
        <v>946</v>
      </c>
      <c r="D15" t="s">
        <v>2012</v>
      </c>
      <c r="E15" t="s">
        <v>924</v>
      </c>
      <c r="F15" t="s">
        <v>365</v>
      </c>
      <c r="G15" t="s">
        <v>2011</v>
      </c>
      <c r="H15" s="10">
        <v>120</v>
      </c>
      <c r="I15" s="2">
        <v>1</v>
      </c>
      <c r="J15">
        <v>0</v>
      </c>
      <c r="K15" t="s">
        <v>1706</v>
      </c>
    </row>
    <row r="16" spans="1:11" x14ac:dyDescent="0.35">
      <c r="A16" t="s">
        <v>2008</v>
      </c>
      <c r="B16" t="s">
        <v>14</v>
      </c>
      <c r="C16" t="s">
        <v>946</v>
      </c>
      <c r="D16" t="s">
        <v>2012</v>
      </c>
      <c r="F16" t="s">
        <v>375</v>
      </c>
      <c r="G16" t="s">
        <v>2011</v>
      </c>
      <c r="H16" s="10">
        <v>8</v>
      </c>
      <c r="I16" s="2">
        <v>1</v>
      </c>
      <c r="J16">
        <v>0</v>
      </c>
      <c r="K16" t="s">
        <v>1706</v>
      </c>
    </row>
    <row r="17" spans="1:11" x14ac:dyDescent="0.35">
      <c r="A17" t="s">
        <v>2008</v>
      </c>
      <c r="B17" t="s">
        <v>14</v>
      </c>
      <c r="C17" t="s">
        <v>946</v>
      </c>
      <c r="D17" t="s">
        <v>2019</v>
      </c>
      <c r="F17" t="s">
        <v>2020</v>
      </c>
      <c r="G17" t="s">
        <v>2011</v>
      </c>
      <c r="H17" s="10">
        <v>43.11</v>
      </c>
      <c r="I17" s="2">
        <v>27</v>
      </c>
      <c r="J17">
        <v>0</v>
      </c>
      <c r="K17" t="s">
        <v>1706</v>
      </c>
    </row>
    <row r="18" spans="1:11" x14ac:dyDescent="0.35">
      <c r="A18" t="s">
        <v>2008</v>
      </c>
      <c r="B18" t="s">
        <v>14</v>
      </c>
      <c r="C18" t="s">
        <v>946</v>
      </c>
      <c r="D18" t="s">
        <v>2054</v>
      </c>
      <c r="F18" t="s">
        <v>1950</v>
      </c>
      <c r="G18" t="s">
        <v>2011</v>
      </c>
      <c r="H18" s="10">
        <v>0</v>
      </c>
      <c r="I18" s="2">
        <v>6</v>
      </c>
      <c r="J18">
        <v>0</v>
      </c>
      <c r="K18" t="s">
        <v>1706</v>
      </c>
    </row>
    <row r="19" spans="1:11" x14ac:dyDescent="0.35">
      <c r="A19" t="s">
        <v>2008</v>
      </c>
      <c r="B19" t="s">
        <v>14</v>
      </c>
      <c r="C19" t="s">
        <v>946</v>
      </c>
      <c r="D19" t="s">
        <v>2015</v>
      </c>
      <c r="F19" t="s">
        <v>2017</v>
      </c>
      <c r="G19" t="s">
        <v>2011</v>
      </c>
      <c r="H19" s="10">
        <v>7.78</v>
      </c>
      <c r="I19" s="2">
        <v>2</v>
      </c>
      <c r="J19">
        <v>0</v>
      </c>
      <c r="K19" t="s">
        <v>1706</v>
      </c>
    </row>
    <row r="20" spans="1:11" x14ac:dyDescent="0.35">
      <c r="A20" t="s">
        <v>2008</v>
      </c>
      <c r="B20" t="s">
        <v>14</v>
      </c>
      <c r="C20" t="s">
        <v>946</v>
      </c>
      <c r="D20" t="s">
        <v>2012</v>
      </c>
      <c r="E20" t="s">
        <v>937</v>
      </c>
      <c r="F20" t="s">
        <v>379</v>
      </c>
      <c r="G20" t="s">
        <v>2011</v>
      </c>
      <c r="H20" s="10">
        <v>55</v>
      </c>
      <c r="I20" s="2">
        <v>2</v>
      </c>
      <c r="J20">
        <v>0</v>
      </c>
      <c r="K20" t="s">
        <v>1706</v>
      </c>
    </row>
    <row r="21" spans="1:11" x14ac:dyDescent="0.35">
      <c r="A21" t="s">
        <v>2008</v>
      </c>
      <c r="B21" t="s">
        <v>14</v>
      </c>
      <c r="C21" t="s">
        <v>946</v>
      </c>
      <c r="D21" t="s">
        <v>2019</v>
      </c>
      <c r="F21" t="s">
        <v>2055</v>
      </c>
      <c r="G21" t="s">
        <v>2011</v>
      </c>
      <c r="H21" s="10">
        <v>77.97</v>
      </c>
      <c r="I21" s="2">
        <v>3</v>
      </c>
      <c r="J21">
        <v>0</v>
      </c>
      <c r="K21" t="s">
        <v>1706</v>
      </c>
    </row>
    <row r="22" spans="1:11" x14ac:dyDescent="0.35">
      <c r="A22" t="s">
        <v>2008</v>
      </c>
      <c r="B22" t="s">
        <v>335</v>
      </c>
      <c r="C22" t="s">
        <v>946</v>
      </c>
      <c r="D22" t="s">
        <v>2079</v>
      </c>
      <c r="F22" t="s">
        <v>347</v>
      </c>
      <c r="G22" t="s">
        <v>2011</v>
      </c>
      <c r="H22" s="10">
        <v>128.69999999999999</v>
      </c>
      <c r="I22" s="2">
        <v>1</v>
      </c>
      <c r="J22">
        <v>0</v>
      </c>
      <c r="K22" t="s">
        <v>1706</v>
      </c>
    </row>
    <row r="23" spans="1:11" x14ac:dyDescent="0.35">
      <c r="A23" t="s">
        <v>2008</v>
      </c>
      <c r="B23" t="s">
        <v>14</v>
      </c>
      <c r="C23" t="s">
        <v>946</v>
      </c>
      <c r="D23" t="s">
        <v>2019</v>
      </c>
      <c r="F23" t="s">
        <v>2056</v>
      </c>
      <c r="G23" t="s">
        <v>2011</v>
      </c>
      <c r="H23" s="10">
        <v>10.49</v>
      </c>
      <c r="I23" s="2">
        <v>1</v>
      </c>
      <c r="J23">
        <v>0</v>
      </c>
      <c r="K23" t="s">
        <v>1706</v>
      </c>
    </row>
    <row r="24" spans="1:11" x14ac:dyDescent="0.35">
      <c r="A24" t="s">
        <v>2008</v>
      </c>
      <c r="B24" t="s">
        <v>14</v>
      </c>
      <c r="C24" t="s">
        <v>946</v>
      </c>
      <c r="D24" t="s">
        <v>2019</v>
      </c>
      <c r="F24" t="s">
        <v>2057</v>
      </c>
      <c r="G24" t="s">
        <v>2011</v>
      </c>
      <c r="H24" s="10">
        <v>134.94999999999999</v>
      </c>
      <c r="I24" s="2">
        <v>5</v>
      </c>
      <c r="J24">
        <v>0</v>
      </c>
      <c r="K24" t="s">
        <v>1706</v>
      </c>
    </row>
    <row r="25" spans="1:11" x14ac:dyDescent="0.35">
      <c r="A25" t="s">
        <v>2008</v>
      </c>
      <c r="B25" t="s">
        <v>14</v>
      </c>
      <c r="C25" t="s">
        <v>946</v>
      </c>
      <c r="D25" t="s">
        <v>2015</v>
      </c>
      <c r="F25" t="s">
        <v>380</v>
      </c>
      <c r="G25" t="s">
        <v>2011</v>
      </c>
      <c r="H25" s="10">
        <v>5.26</v>
      </c>
      <c r="I25" s="2">
        <v>2</v>
      </c>
      <c r="J25">
        <v>0</v>
      </c>
      <c r="K25" t="s">
        <v>1706</v>
      </c>
    </row>
    <row r="26" spans="1:11" x14ac:dyDescent="0.35">
      <c r="A26" t="s">
        <v>2008</v>
      </c>
      <c r="B26" t="s">
        <v>14</v>
      </c>
      <c r="C26" t="s">
        <v>946</v>
      </c>
      <c r="D26" t="s">
        <v>2021</v>
      </c>
      <c r="F26" t="s">
        <v>347</v>
      </c>
      <c r="G26" t="s">
        <v>2011</v>
      </c>
      <c r="H26" s="10">
        <v>112.44</v>
      </c>
      <c r="I26" s="2">
        <v>5</v>
      </c>
      <c r="J26">
        <v>0</v>
      </c>
      <c r="K26" t="s">
        <v>1706</v>
      </c>
    </row>
    <row r="27" spans="1:11" x14ac:dyDescent="0.35">
      <c r="A27" t="s">
        <v>2008</v>
      </c>
      <c r="B27" t="s">
        <v>14</v>
      </c>
      <c r="C27" t="s">
        <v>946</v>
      </c>
      <c r="D27" t="s">
        <v>2013</v>
      </c>
      <c r="E27" t="s">
        <v>924</v>
      </c>
      <c r="F27" t="s">
        <v>379</v>
      </c>
      <c r="G27" t="s">
        <v>2011</v>
      </c>
      <c r="H27" s="10">
        <v>50.5</v>
      </c>
      <c r="I27" s="2">
        <v>2</v>
      </c>
      <c r="J27">
        <v>0</v>
      </c>
      <c r="K27" t="s">
        <v>1706</v>
      </c>
    </row>
    <row r="28" spans="1:11" x14ac:dyDescent="0.35">
      <c r="A28" t="s">
        <v>2008</v>
      </c>
      <c r="B28" t="s">
        <v>14</v>
      </c>
      <c r="C28" t="s">
        <v>946</v>
      </c>
      <c r="D28" t="s">
        <v>2012</v>
      </c>
      <c r="F28" t="s">
        <v>349</v>
      </c>
      <c r="G28" t="s">
        <v>2011</v>
      </c>
      <c r="H28" s="10">
        <v>0</v>
      </c>
      <c r="I28" s="2">
        <v>55</v>
      </c>
      <c r="J28">
        <v>0</v>
      </c>
      <c r="K28" t="s">
        <v>1706</v>
      </c>
    </row>
    <row r="29" spans="1:11" x14ac:dyDescent="0.35">
      <c r="A29" t="s">
        <v>2008</v>
      </c>
      <c r="B29" t="s">
        <v>14</v>
      </c>
      <c r="C29" t="s">
        <v>946</v>
      </c>
      <c r="D29" t="s">
        <v>2019</v>
      </c>
      <c r="F29" t="s">
        <v>2058</v>
      </c>
      <c r="G29" t="s">
        <v>2011</v>
      </c>
      <c r="H29" s="10">
        <v>7.99</v>
      </c>
      <c r="I29" s="2">
        <v>1</v>
      </c>
      <c r="J29">
        <v>0</v>
      </c>
      <c r="K29" t="s">
        <v>1706</v>
      </c>
    </row>
    <row r="30" spans="1:11" x14ac:dyDescent="0.35">
      <c r="A30" t="s">
        <v>2008</v>
      </c>
      <c r="B30" t="s">
        <v>335</v>
      </c>
      <c r="C30" t="s">
        <v>946</v>
      </c>
      <c r="D30" t="s">
        <v>2022</v>
      </c>
      <c r="F30" t="s">
        <v>422</v>
      </c>
      <c r="G30" t="s">
        <v>2011</v>
      </c>
      <c r="H30" s="10">
        <v>540</v>
      </c>
      <c r="I30" s="2">
        <v>2</v>
      </c>
      <c r="J30">
        <v>0</v>
      </c>
      <c r="K30" t="s">
        <v>1706</v>
      </c>
    </row>
    <row r="31" spans="1:11" x14ac:dyDescent="0.35">
      <c r="A31" t="s">
        <v>2008</v>
      </c>
      <c r="B31" t="s">
        <v>14</v>
      </c>
      <c r="C31" t="s">
        <v>946</v>
      </c>
      <c r="D31" t="s">
        <v>2015</v>
      </c>
      <c r="E31" t="s">
        <v>923</v>
      </c>
      <c r="F31" t="s">
        <v>379</v>
      </c>
      <c r="G31" t="s">
        <v>2011</v>
      </c>
      <c r="H31" s="10">
        <v>21.75</v>
      </c>
      <c r="I31" s="2">
        <v>1</v>
      </c>
      <c r="J31">
        <v>0</v>
      </c>
      <c r="K31" t="s">
        <v>1706</v>
      </c>
    </row>
    <row r="32" spans="1:11" x14ac:dyDescent="0.35">
      <c r="A32" t="s">
        <v>2008</v>
      </c>
      <c r="B32" t="s">
        <v>14</v>
      </c>
      <c r="C32" t="s">
        <v>946</v>
      </c>
      <c r="D32" t="s">
        <v>2016</v>
      </c>
      <c r="F32" t="s">
        <v>1950</v>
      </c>
      <c r="G32" t="s">
        <v>2011</v>
      </c>
      <c r="H32" s="10">
        <v>0</v>
      </c>
      <c r="I32" s="2">
        <v>23</v>
      </c>
      <c r="J32">
        <v>0</v>
      </c>
      <c r="K32" t="s">
        <v>1706</v>
      </c>
    </row>
    <row r="33" spans="1:11" x14ac:dyDescent="0.35">
      <c r="A33" t="s">
        <v>2008</v>
      </c>
      <c r="B33" t="s">
        <v>14</v>
      </c>
      <c r="C33" t="s">
        <v>946</v>
      </c>
      <c r="D33" t="s">
        <v>2019</v>
      </c>
      <c r="F33" t="s">
        <v>2059</v>
      </c>
      <c r="G33" t="s">
        <v>2011</v>
      </c>
      <c r="H33" s="10">
        <v>2.98</v>
      </c>
      <c r="I33" s="2">
        <v>1</v>
      </c>
      <c r="J33">
        <v>0</v>
      </c>
      <c r="K33" t="s">
        <v>1706</v>
      </c>
    </row>
    <row r="34" spans="1:11" x14ac:dyDescent="0.35">
      <c r="A34" t="s">
        <v>2008</v>
      </c>
      <c r="B34" t="s">
        <v>14</v>
      </c>
      <c r="C34" t="s">
        <v>946</v>
      </c>
      <c r="D34" t="s">
        <v>2012</v>
      </c>
      <c r="F34" t="s">
        <v>372</v>
      </c>
      <c r="G34" t="s">
        <v>2011</v>
      </c>
      <c r="H34" s="10">
        <v>24</v>
      </c>
      <c r="I34" s="2">
        <v>1</v>
      </c>
      <c r="J34">
        <v>0</v>
      </c>
      <c r="K34" t="s">
        <v>1706</v>
      </c>
    </row>
    <row r="35" spans="1:11" x14ac:dyDescent="0.35">
      <c r="A35" t="s">
        <v>2008</v>
      </c>
      <c r="B35" t="s">
        <v>14</v>
      </c>
      <c r="C35" t="s">
        <v>946</v>
      </c>
      <c r="D35" t="s">
        <v>2010</v>
      </c>
      <c r="F35" t="s">
        <v>353</v>
      </c>
      <c r="G35" t="s">
        <v>2011</v>
      </c>
      <c r="H35" s="10">
        <v>3.28</v>
      </c>
      <c r="I35" s="2">
        <v>1</v>
      </c>
      <c r="J35">
        <v>0</v>
      </c>
      <c r="K35" t="s">
        <v>1706</v>
      </c>
    </row>
    <row r="36" spans="1:11" x14ac:dyDescent="0.35">
      <c r="A36" t="s">
        <v>2008</v>
      </c>
      <c r="B36" t="s">
        <v>14</v>
      </c>
      <c r="C36" t="s">
        <v>946</v>
      </c>
      <c r="D36" t="s">
        <v>2010</v>
      </c>
      <c r="F36" t="s">
        <v>380</v>
      </c>
      <c r="G36" t="s">
        <v>2011</v>
      </c>
      <c r="H36" s="10">
        <v>5.26</v>
      </c>
      <c r="I36" s="2">
        <v>3</v>
      </c>
      <c r="J36">
        <v>0</v>
      </c>
      <c r="K36" t="s">
        <v>1706</v>
      </c>
    </row>
    <row r="37" spans="1:11" x14ac:dyDescent="0.35">
      <c r="A37" t="s">
        <v>2008</v>
      </c>
      <c r="B37" t="s">
        <v>14</v>
      </c>
      <c r="C37" t="s">
        <v>946</v>
      </c>
      <c r="D37" t="s">
        <v>2012</v>
      </c>
      <c r="F37" t="s">
        <v>347</v>
      </c>
      <c r="G37" t="s">
        <v>2011</v>
      </c>
      <c r="H37" s="10">
        <v>2452.6799999999998</v>
      </c>
      <c r="I37" s="2">
        <v>579</v>
      </c>
      <c r="J37">
        <v>0</v>
      </c>
      <c r="K37" t="s">
        <v>1706</v>
      </c>
    </row>
    <row r="38" spans="1:11" x14ac:dyDescent="0.35">
      <c r="A38" t="s">
        <v>2008</v>
      </c>
      <c r="B38" t="s">
        <v>14</v>
      </c>
      <c r="C38" t="s">
        <v>946</v>
      </c>
      <c r="D38" t="s">
        <v>2012</v>
      </c>
      <c r="F38" t="s">
        <v>565</v>
      </c>
      <c r="G38" t="s">
        <v>2011</v>
      </c>
      <c r="H38" s="10">
        <v>21</v>
      </c>
      <c r="I38" s="2">
        <v>14</v>
      </c>
      <c r="J38">
        <v>0</v>
      </c>
      <c r="K38" t="s">
        <v>1706</v>
      </c>
    </row>
    <row r="39" spans="1:11" x14ac:dyDescent="0.35">
      <c r="A39" t="s">
        <v>2008</v>
      </c>
      <c r="B39" t="s">
        <v>14</v>
      </c>
      <c r="C39" t="s">
        <v>946</v>
      </c>
      <c r="D39" t="s">
        <v>2019</v>
      </c>
      <c r="F39" t="s">
        <v>2023</v>
      </c>
      <c r="G39" t="s">
        <v>2011</v>
      </c>
      <c r="H39" s="10">
        <v>6.99</v>
      </c>
      <c r="I39" s="2">
        <v>1</v>
      </c>
      <c r="J39">
        <v>0</v>
      </c>
      <c r="K39" t="s">
        <v>1706</v>
      </c>
    </row>
    <row r="40" spans="1:11" x14ac:dyDescent="0.35">
      <c r="A40" t="s">
        <v>2008</v>
      </c>
      <c r="B40" t="s">
        <v>14</v>
      </c>
      <c r="C40" t="s">
        <v>946</v>
      </c>
      <c r="D40" t="s">
        <v>2012</v>
      </c>
      <c r="F40" t="s">
        <v>380</v>
      </c>
      <c r="G40" t="s">
        <v>2011</v>
      </c>
      <c r="H40" s="10">
        <v>289.29000000000002</v>
      </c>
      <c r="I40" s="2">
        <v>109</v>
      </c>
      <c r="J40">
        <v>0</v>
      </c>
      <c r="K40" t="s">
        <v>1706</v>
      </c>
    </row>
    <row r="41" spans="1:11" x14ac:dyDescent="0.35">
      <c r="A41" t="s">
        <v>2008</v>
      </c>
      <c r="B41" t="s">
        <v>14</v>
      </c>
      <c r="C41" t="s">
        <v>946</v>
      </c>
      <c r="D41" t="s">
        <v>2013</v>
      </c>
      <c r="F41" t="s">
        <v>565</v>
      </c>
      <c r="G41" t="s">
        <v>2011</v>
      </c>
      <c r="H41" s="10">
        <v>3.15</v>
      </c>
      <c r="I41" s="2">
        <v>3</v>
      </c>
      <c r="J41">
        <v>0</v>
      </c>
      <c r="K41" t="s">
        <v>1706</v>
      </c>
    </row>
    <row r="42" spans="1:11" x14ac:dyDescent="0.35">
      <c r="A42" t="s">
        <v>2008</v>
      </c>
      <c r="B42" t="s">
        <v>14</v>
      </c>
      <c r="C42" t="s">
        <v>946</v>
      </c>
      <c r="D42" t="s">
        <v>2019</v>
      </c>
      <c r="F42" t="s">
        <v>2060</v>
      </c>
      <c r="G42" t="s">
        <v>2011</v>
      </c>
      <c r="H42" s="10">
        <v>29.98</v>
      </c>
      <c r="I42" s="2">
        <v>2</v>
      </c>
      <c r="J42">
        <v>0</v>
      </c>
      <c r="K42" t="s">
        <v>1706</v>
      </c>
    </row>
    <row r="43" spans="1:11" x14ac:dyDescent="0.35">
      <c r="A43" t="s">
        <v>2008</v>
      </c>
      <c r="B43" t="s">
        <v>14</v>
      </c>
      <c r="C43" t="s">
        <v>946</v>
      </c>
      <c r="D43" t="s">
        <v>2012</v>
      </c>
      <c r="F43" t="s">
        <v>2017</v>
      </c>
      <c r="G43" t="s">
        <v>2011</v>
      </c>
      <c r="H43" s="10">
        <v>5.55</v>
      </c>
      <c r="I43" s="2">
        <v>3</v>
      </c>
      <c r="J43">
        <v>0</v>
      </c>
      <c r="K43" t="s">
        <v>1706</v>
      </c>
    </row>
    <row r="44" spans="1:11" x14ac:dyDescent="0.35">
      <c r="A44" t="s">
        <v>2008</v>
      </c>
      <c r="B44" t="s">
        <v>14</v>
      </c>
      <c r="C44" t="s">
        <v>946</v>
      </c>
      <c r="D44" t="s">
        <v>2019</v>
      </c>
      <c r="F44" t="s">
        <v>2061</v>
      </c>
      <c r="G44" t="s">
        <v>2011</v>
      </c>
      <c r="H44" s="10">
        <v>21.99</v>
      </c>
      <c r="I44" s="2">
        <v>1</v>
      </c>
      <c r="J44">
        <v>0</v>
      </c>
      <c r="K44" t="s">
        <v>1706</v>
      </c>
    </row>
    <row r="45" spans="1:11" x14ac:dyDescent="0.35">
      <c r="A45" t="s">
        <v>2008</v>
      </c>
      <c r="B45" t="s">
        <v>14</v>
      </c>
      <c r="C45" t="s">
        <v>946</v>
      </c>
      <c r="D45" t="s">
        <v>2012</v>
      </c>
      <c r="F45" t="s">
        <v>364</v>
      </c>
      <c r="G45" t="s">
        <v>2011</v>
      </c>
      <c r="H45" s="10">
        <v>792</v>
      </c>
      <c r="I45" s="2">
        <v>69</v>
      </c>
      <c r="J45">
        <v>0</v>
      </c>
      <c r="K45" t="s">
        <v>1706</v>
      </c>
    </row>
    <row r="46" spans="1:11" x14ac:dyDescent="0.35">
      <c r="A46" t="s">
        <v>2008</v>
      </c>
      <c r="B46" t="s">
        <v>14</v>
      </c>
      <c r="C46" t="s">
        <v>946</v>
      </c>
      <c r="D46" t="s">
        <v>2013</v>
      </c>
      <c r="F46" t="s">
        <v>378</v>
      </c>
      <c r="G46" t="s">
        <v>2011</v>
      </c>
      <c r="H46" s="10">
        <v>2.1</v>
      </c>
      <c r="I46" s="2">
        <v>1</v>
      </c>
      <c r="J46">
        <v>0</v>
      </c>
      <c r="K46" t="s">
        <v>1706</v>
      </c>
    </row>
    <row r="47" spans="1:11" x14ac:dyDescent="0.35">
      <c r="A47" t="s">
        <v>2008</v>
      </c>
      <c r="B47" t="s">
        <v>14</v>
      </c>
      <c r="C47" t="s">
        <v>946</v>
      </c>
      <c r="D47" t="s">
        <v>2018</v>
      </c>
      <c r="F47" t="s">
        <v>380</v>
      </c>
      <c r="G47" t="s">
        <v>2011</v>
      </c>
      <c r="H47" s="10">
        <v>2.63</v>
      </c>
      <c r="I47" s="2">
        <v>1</v>
      </c>
      <c r="J47">
        <v>0</v>
      </c>
      <c r="K47" t="s">
        <v>1706</v>
      </c>
    </row>
    <row r="48" spans="1:11" x14ac:dyDescent="0.35">
      <c r="A48" t="s">
        <v>2008</v>
      </c>
      <c r="B48" t="s">
        <v>14</v>
      </c>
      <c r="C48" t="s">
        <v>946</v>
      </c>
      <c r="D48" t="s">
        <v>2019</v>
      </c>
      <c r="F48" t="s">
        <v>2062</v>
      </c>
      <c r="G48" t="s">
        <v>2011</v>
      </c>
      <c r="H48" s="10">
        <v>37.979999999999997</v>
      </c>
      <c r="I48" s="2">
        <v>2</v>
      </c>
      <c r="J48">
        <v>0</v>
      </c>
      <c r="K48" t="s">
        <v>1706</v>
      </c>
    </row>
    <row r="49" spans="1:11" x14ac:dyDescent="0.35">
      <c r="A49" t="s">
        <v>2008</v>
      </c>
      <c r="B49" t="s">
        <v>14</v>
      </c>
      <c r="C49" t="s">
        <v>946</v>
      </c>
      <c r="D49" t="s">
        <v>2021</v>
      </c>
      <c r="E49" t="s">
        <v>924</v>
      </c>
      <c r="F49" t="s">
        <v>379</v>
      </c>
      <c r="G49" t="s">
        <v>2011</v>
      </c>
      <c r="H49" s="10">
        <v>25.25</v>
      </c>
      <c r="I49" s="2">
        <v>1</v>
      </c>
      <c r="J49">
        <v>0</v>
      </c>
      <c r="K49" t="s">
        <v>1706</v>
      </c>
    </row>
    <row r="50" spans="1:11" x14ac:dyDescent="0.35">
      <c r="A50" t="s">
        <v>2008</v>
      </c>
      <c r="B50" t="s">
        <v>14</v>
      </c>
      <c r="C50" t="s">
        <v>946</v>
      </c>
      <c r="D50" t="s">
        <v>2019</v>
      </c>
      <c r="F50" t="s">
        <v>2063</v>
      </c>
      <c r="G50" t="s">
        <v>2011</v>
      </c>
      <c r="H50" s="10">
        <v>8</v>
      </c>
      <c r="I50" s="2">
        <v>1</v>
      </c>
      <c r="J50">
        <v>0</v>
      </c>
      <c r="K50" t="s">
        <v>1706</v>
      </c>
    </row>
    <row r="51" spans="1:11" x14ac:dyDescent="0.35">
      <c r="A51" t="s">
        <v>2008</v>
      </c>
      <c r="B51" t="s">
        <v>14</v>
      </c>
      <c r="C51" t="s">
        <v>946</v>
      </c>
      <c r="D51" t="s">
        <v>2021</v>
      </c>
      <c r="F51" t="s">
        <v>373</v>
      </c>
      <c r="G51" t="s">
        <v>2011</v>
      </c>
      <c r="H51" s="10">
        <v>0</v>
      </c>
      <c r="I51" s="2">
        <v>1</v>
      </c>
      <c r="J51">
        <v>0</v>
      </c>
      <c r="K51" t="s">
        <v>1706</v>
      </c>
    </row>
    <row r="52" spans="1:11" x14ac:dyDescent="0.35">
      <c r="A52" t="s">
        <v>2008</v>
      </c>
      <c r="B52" t="s">
        <v>14</v>
      </c>
      <c r="C52" t="s">
        <v>946</v>
      </c>
      <c r="D52" t="s">
        <v>2012</v>
      </c>
      <c r="E52" t="s">
        <v>924</v>
      </c>
      <c r="F52" t="s">
        <v>379</v>
      </c>
      <c r="G52" t="s">
        <v>2011</v>
      </c>
      <c r="H52" s="10">
        <v>153.75</v>
      </c>
      <c r="I52" s="2">
        <v>5</v>
      </c>
      <c r="J52">
        <v>0</v>
      </c>
      <c r="K52" t="s">
        <v>1706</v>
      </c>
    </row>
    <row r="53" spans="1:11" x14ac:dyDescent="0.35">
      <c r="A53" t="s">
        <v>2008</v>
      </c>
      <c r="B53" t="s">
        <v>14</v>
      </c>
      <c r="C53" t="s">
        <v>946</v>
      </c>
      <c r="D53" t="s">
        <v>2015</v>
      </c>
      <c r="F53" t="s">
        <v>364</v>
      </c>
      <c r="G53" t="s">
        <v>2011</v>
      </c>
      <c r="H53" s="10">
        <v>405</v>
      </c>
      <c r="I53" s="2">
        <v>33</v>
      </c>
      <c r="J53">
        <v>0</v>
      </c>
      <c r="K53" t="s">
        <v>1706</v>
      </c>
    </row>
    <row r="54" spans="1:11" x14ac:dyDescent="0.35">
      <c r="A54" t="s">
        <v>2008</v>
      </c>
      <c r="B54" t="s">
        <v>14</v>
      </c>
      <c r="C54" t="s">
        <v>946</v>
      </c>
      <c r="D54" t="s">
        <v>2021</v>
      </c>
      <c r="F54" t="s">
        <v>380</v>
      </c>
      <c r="G54" t="s">
        <v>2011</v>
      </c>
      <c r="H54" s="10">
        <v>2.63</v>
      </c>
      <c r="I54" s="2">
        <v>1</v>
      </c>
      <c r="J54">
        <v>0</v>
      </c>
      <c r="K54" t="s">
        <v>1706</v>
      </c>
    </row>
    <row r="55" spans="1:11" x14ac:dyDescent="0.35">
      <c r="A55" t="s">
        <v>2008</v>
      </c>
      <c r="B55" t="s">
        <v>14</v>
      </c>
      <c r="C55" t="s">
        <v>946</v>
      </c>
      <c r="D55" t="s">
        <v>2015</v>
      </c>
      <c r="F55" t="s">
        <v>373</v>
      </c>
      <c r="G55" t="s">
        <v>2011</v>
      </c>
      <c r="H55" s="10">
        <v>28.6</v>
      </c>
      <c r="I55" s="2">
        <v>18</v>
      </c>
      <c r="J55">
        <v>0</v>
      </c>
      <c r="K55" t="s">
        <v>1706</v>
      </c>
    </row>
    <row r="56" spans="1:11" x14ac:dyDescent="0.35">
      <c r="A56" t="s">
        <v>2008</v>
      </c>
      <c r="B56" t="s">
        <v>14</v>
      </c>
      <c r="C56" t="s">
        <v>946</v>
      </c>
      <c r="D56" t="s">
        <v>2015</v>
      </c>
      <c r="F56" t="s">
        <v>375</v>
      </c>
      <c r="G56" t="s">
        <v>2011</v>
      </c>
      <c r="H56" s="10">
        <v>8</v>
      </c>
      <c r="I56" s="2">
        <v>1</v>
      </c>
      <c r="J56">
        <v>0</v>
      </c>
      <c r="K56" t="s">
        <v>1706</v>
      </c>
    </row>
    <row r="57" spans="1:11" x14ac:dyDescent="0.35">
      <c r="A57" t="s">
        <v>2008</v>
      </c>
      <c r="B57" t="s">
        <v>14</v>
      </c>
      <c r="C57" t="s">
        <v>946</v>
      </c>
      <c r="D57" t="s">
        <v>2018</v>
      </c>
      <c r="F57" t="s">
        <v>353</v>
      </c>
      <c r="G57" t="s">
        <v>2011</v>
      </c>
      <c r="H57" s="10">
        <v>22.94</v>
      </c>
      <c r="I57" s="2">
        <v>5</v>
      </c>
      <c r="J57">
        <v>0</v>
      </c>
      <c r="K57" t="s">
        <v>1706</v>
      </c>
    </row>
    <row r="58" spans="1:11" x14ac:dyDescent="0.35">
      <c r="A58" t="s">
        <v>2008</v>
      </c>
      <c r="B58" t="s">
        <v>14</v>
      </c>
      <c r="C58" t="s">
        <v>946</v>
      </c>
      <c r="D58" t="s">
        <v>2012</v>
      </c>
      <c r="F58" t="s">
        <v>348</v>
      </c>
      <c r="G58" t="s">
        <v>2011</v>
      </c>
      <c r="H58" s="10">
        <v>12.45</v>
      </c>
      <c r="I58" s="2">
        <v>5</v>
      </c>
      <c r="J58">
        <v>0</v>
      </c>
      <c r="K58" t="s">
        <v>1706</v>
      </c>
    </row>
    <row r="59" spans="1:11" x14ac:dyDescent="0.35">
      <c r="A59" t="s">
        <v>2008</v>
      </c>
      <c r="B59" t="s">
        <v>14</v>
      </c>
      <c r="C59" t="s">
        <v>946</v>
      </c>
      <c r="D59" t="s">
        <v>2010</v>
      </c>
      <c r="F59" t="s">
        <v>347</v>
      </c>
      <c r="G59" t="s">
        <v>2011</v>
      </c>
      <c r="H59" s="10">
        <v>92.97</v>
      </c>
      <c r="I59" s="2">
        <v>19</v>
      </c>
      <c r="J59">
        <v>0</v>
      </c>
      <c r="K59" t="s">
        <v>1706</v>
      </c>
    </row>
    <row r="60" spans="1:11" x14ac:dyDescent="0.35">
      <c r="A60" t="s">
        <v>2008</v>
      </c>
      <c r="B60" t="s">
        <v>14</v>
      </c>
      <c r="C60" t="s">
        <v>946</v>
      </c>
      <c r="D60" t="s">
        <v>2053</v>
      </c>
      <c r="F60" t="s">
        <v>1810</v>
      </c>
      <c r="G60" t="s">
        <v>2011</v>
      </c>
      <c r="H60" s="10">
        <v>1952.5</v>
      </c>
      <c r="I60" s="2">
        <v>55</v>
      </c>
      <c r="J60">
        <v>0</v>
      </c>
      <c r="K60" t="s">
        <v>1706</v>
      </c>
    </row>
    <row r="61" spans="1:11" x14ac:dyDescent="0.35">
      <c r="A61" t="s">
        <v>2008</v>
      </c>
      <c r="B61" t="s">
        <v>14</v>
      </c>
      <c r="C61" t="s">
        <v>946</v>
      </c>
      <c r="D61" t="s">
        <v>2013</v>
      </c>
      <c r="E61" t="s">
        <v>937</v>
      </c>
      <c r="F61" t="s">
        <v>358</v>
      </c>
      <c r="G61" t="s">
        <v>2011</v>
      </c>
      <c r="H61" s="10">
        <v>19</v>
      </c>
      <c r="I61" s="2">
        <v>1</v>
      </c>
      <c r="J61">
        <v>0</v>
      </c>
      <c r="K61" t="s">
        <v>1706</v>
      </c>
    </row>
    <row r="62" spans="1:11" x14ac:dyDescent="0.35">
      <c r="A62" t="s">
        <v>2008</v>
      </c>
      <c r="B62" t="s">
        <v>14</v>
      </c>
      <c r="C62" t="s">
        <v>946</v>
      </c>
      <c r="D62" t="s">
        <v>2012</v>
      </c>
      <c r="F62" t="s">
        <v>353</v>
      </c>
      <c r="G62" t="s">
        <v>2011</v>
      </c>
      <c r="H62" s="10">
        <v>75.39</v>
      </c>
      <c r="I62" s="2">
        <v>37</v>
      </c>
      <c r="J62">
        <v>0</v>
      </c>
      <c r="K62" t="s">
        <v>1706</v>
      </c>
    </row>
    <row r="63" spans="1:11" x14ac:dyDescent="0.35">
      <c r="A63" t="s">
        <v>2008</v>
      </c>
      <c r="B63" t="s">
        <v>14</v>
      </c>
      <c r="C63" t="s">
        <v>946</v>
      </c>
      <c r="D63" t="s">
        <v>2015</v>
      </c>
      <c r="F63" t="s">
        <v>353</v>
      </c>
      <c r="G63" t="s">
        <v>2011</v>
      </c>
      <c r="H63" s="10">
        <v>157.30000000000001</v>
      </c>
      <c r="I63" s="2">
        <v>34</v>
      </c>
      <c r="J63">
        <v>0</v>
      </c>
      <c r="K63" t="s">
        <v>1706</v>
      </c>
    </row>
    <row r="64" spans="1:11" x14ac:dyDescent="0.35">
      <c r="A64" t="s">
        <v>2008</v>
      </c>
      <c r="B64" t="s">
        <v>14</v>
      </c>
      <c r="C64" t="s">
        <v>946</v>
      </c>
      <c r="D64" t="s">
        <v>2054</v>
      </c>
      <c r="F64" t="s">
        <v>1787</v>
      </c>
      <c r="G64" t="s">
        <v>2011</v>
      </c>
      <c r="H64" s="10">
        <v>114</v>
      </c>
      <c r="I64" s="2">
        <v>6</v>
      </c>
      <c r="J64">
        <v>0</v>
      </c>
      <c r="K64" t="s">
        <v>1706</v>
      </c>
    </row>
    <row r="65" spans="1:11" x14ac:dyDescent="0.35">
      <c r="A65" t="s">
        <v>2008</v>
      </c>
      <c r="B65" t="s">
        <v>14</v>
      </c>
      <c r="C65" t="s">
        <v>946</v>
      </c>
      <c r="D65" t="s">
        <v>2018</v>
      </c>
      <c r="F65" t="s">
        <v>565</v>
      </c>
      <c r="G65" t="s">
        <v>2011</v>
      </c>
      <c r="H65" s="10">
        <v>2.1</v>
      </c>
      <c r="I65" s="2">
        <v>1</v>
      </c>
      <c r="J65">
        <v>0</v>
      </c>
      <c r="K65" t="s">
        <v>1706</v>
      </c>
    </row>
    <row r="66" spans="1:11" x14ac:dyDescent="0.35">
      <c r="A66" t="s">
        <v>2008</v>
      </c>
      <c r="B66" t="s">
        <v>14</v>
      </c>
      <c r="C66" t="s">
        <v>946</v>
      </c>
      <c r="D66" t="s">
        <v>2021</v>
      </c>
      <c r="F66" t="s">
        <v>353</v>
      </c>
      <c r="G66" t="s">
        <v>2011</v>
      </c>
      <c r="H66" s="10">
        <v>13.11</v>
      </c>
      <c r="I66" s="2">
        <v>3</v>
      </c>
      <c r="J66">
        <v>0</v>
      </c>
      <c r="K66" t="s">
        <v>1706</v>
      </c>
    </row>
    <row r="67" spans="1:11" x14ac:dyDescent="0.35">
      <c r="A67" t="s">
        <v>2008</v>
      </c>
      <c r="B67" t="s">
        <v>14</v>
      </c>
      <c r="C67" t="s">
        <v>946</v>
      </c>
      <c r="D67" t="s">
        <v>2019</v>
      </c>
      <c r="F67" t="s">
        <v>2064</v>
      </c>
      <c r="G67" t="s">
        <v>2011</v>
      </c>
      <c r="H67" s="10">
        <v>23.99</v>
      </c>
      <c r="I67" s="2">
        <v>1</v>
      </c>
      <c r="J67">
        <v>0</v>
      </c>
      <c r="K67" t="s">
        <v>1706</v>
      </c>
    </row>
    <row r="68" spans="1:11" x14ac:dyDescent="0.35">
      <c r="A68" t="s">
        <v>2008</v>
      </c>
      <c r="B68" t="s">
        <v>14</v>
      </c>
      <c r="C68" t="s">
        <v>946</v>
      </c>
      <c r="D68" t="s">
        <v>2015</v>
      </c>
      <c r="F68" t="s">
        <v>355</v>
      </c>
      <c r="G68" t="s">
        <v>2011</v>
      </c>
      <c r="H68" s="10">
        <v>8.65</v>
      </c>
      <c r="I68" s="2">
        <v>1</v>
      </c>
      <c r="J68">
        <v>0</v>
      </c>
      <c r="K68" t="s">
        <v>1706</v>
      </c>
    </row>
    <row r="69" spans="1:11" x14ac:dyDescent="0.35">
      <c r="A69" t="s">
        <v>2008</v>
      </c>
      <c r="B69" t="s">
        <v>335</v>
      </c>
      <c r="C69" t="s">
        <v>946</v>
      </c>
      <c r="D69" t="s">
        <v>2022</v>
      </c>
      <c r="F69" t="s">
        <v>364</v>
      </c>
      <c r="G69" t="s">
        <v>2011</v>
      </c>
      <c r="H69" s="10">
        <v>0</v>
      </c>
      <c r="I69" s="2">
        <v>5</v>
      </c>
      <c r="J69">
        <v>0</v>
      </c>
      <c r="K69" t="s">
        <v>1706</v>
      </c>
    </row>
    <row r="70" spans="1:11" x14ac:dyDescent="0.35">
      <c r="A70" t="s">
        <v>2008</v>
      </c>
      <c r="B70" t="s">
        <v>14</v>
      </c>
      <c r="C70" t="s">
        <v>946</v>
      </c>
      <c r="D70" t="s">
        <v>2013</v>
      </c>
      <c r="F70" t="s">
        <v>373</v>
      </c>
      <c r="G70" t="s">
        <v>2011</v>
      </c>
      <c r="H70" s="10">
        <v>0</v>
      </c>
      <c r="I70" s="2">
        <v>1</v>
      </c>
      <c r="J70">
        <v>0</v>
      </c>
      <c r="K70" t="s">
        <v>1706</v>
      </c>
    </row>
    <row r="71" spans="1:11" x14ac:dyDescent="0.35">
      <c r="A71" t="s">
        <v>2008</v>
      </c>
      <c r="B71" t="s">
        <v>14</v>
      </c>
      <c r="C71" t="s">
        <v>946</v>
      </c>
      <c r="D71" t="s">
        <v>2021</v>
      </c>
      <c r="F71" t="s">
        <v>364</v>
      </c>
      <c r="G71" t="s">
        <v>2011</v>
      </c>
      <c r="H71" s="10">
        <v>153</v>
      </c>
      <c r="I71" s="2">
        <v>4</v>
      </c>
      <c r="J71">
        <v>0</v>
      </c>
      <c r="K71" t="s">
        <v>1706</v>
      </c>
    </row>
    <row r="72" spans="1:11" x14ac:dyDescent="0.35">
      <c r="A72" t="s">
        <v>2008</v>
      </c>
      <c r="B72" t="s">
        <v>14</v>
      </c>
      <c r="C72" t="s">
        <v>946</v>
      </c>
      <c r="D72" t="s">
        <v>2013</v>
      </c>
      <c r="F72" t="s">
        <v>349</v>
      </c>
      <c r="G72" t="s">
        <v>2011</v>
      </c>
      <c r="H72" s="10">
        <v>0</v>
      </c>
      <c r="I72" s="2">
        <v>7</v>
      </c>
      <c r="J72">
        <v>0</v>
      </c>
      <c r="K72" t="s">
        <v>1706</v>
      </c>
    </row>
    <row r="73" spans="1:11" x14ac:dyDescent="0.35">
      <c r="A73" t="s">
        <v>2008</v>
      </c>
      <c r="B73" t="s">
        <v>14</v>
      </c>
      <c r="C73" t="s">
        <v>946</v>
      </c>
      <c r="D73" t="s">
        <v>2012</v>
      </c>
      <c r="F73" t="s">
        <v>359</v>
      </c>
      <c r="G73" t="s">
        <v>2011</v>
      </c>
      <c r="H73" s="10">
        <v>9.3000000000000007</v>
      </c>
      <c r="I73" s="2">
        <v>6</v>
      </c>
      <c r="J73">
        <v>0</v>
      </c>
      <c r="K73" t="s">
        <v>1706</v>
      </c>
    </row>
    <row r="74" spans="1:11" x14ac:dyDescent="0.35">
      <c r="A74" t="s">
        <v>2008</v>
      </c>
      <c r="B74" t="s">
        <v>14</v>
      </c>
      <c r="C74" t="s">
        <v>946</v>
      </c>
      <c r="D74" t="s">
        <v>2016</v>
      </c>
      <c r="F74" t="s">
        <v>1790</v>
      </c>
      <c r="G74" t="s">
        <v>2011</v>
      </c>
      <c r="H74" s="10">
        <v>162</v>
      </c>
      <c r="I74" s="2">
        <v>30</v>
      </c>
      <c r="J74">
        <v>0</v>
      </c>
      <c r="K74" t="s">
        <v>1706</v>
      </c>
    </row>
    <row r="75" spans="1:11" x14ac:dyDescent="0.35">
      <c r="A75" t="s">
        <v>2008</v>
      </c>
      <c r="B75" t="s">
        <v>14</v>
      </c>
      <c r="C75" t="s">
        <v>946</v>
      </c>
      <c r="D75" t="s">
        <v>2018</v>
      </c>
      <c r="F75" t="s">
        <v>348</v>
      </c>
      <c r="G75" t="s">
        <v>2011</v>
      </c>
      <c r="H75" s="10">
        <v>8.3000000000000007</v>
      </c>
      <c r="I75" s="2">
        <v>1</v>
      </c>
      <c r="J75">
        <v>0</v>
      </c>
      <c r="K75" t="s">
        <v>1706</v>
      </c>
    </row>
    <row r="76" spans="1:11" x14ac:dyDescent="0.35">
      <c r="A76" t="s">
        <v>2008</v>
      </c>
      <c r="B76" t="s">
        <v>335</v>
      </c>
      <c r="C76" t="s">
        <v>946</v>
      </c>
      <c r="D76" t="s">
        <v>2022</v>
      </c>
      <c r="F76" t="s">
        <v>409</v>
      </c>
      <c r="G76" t="s">
        <v>2011</v>
      </c>
      <c r="H76" s="10">
        <v>1360</v>
      </c>
      <c r="I76" s="2">
        <v>4</v>
      </c>
      <c r="J76">
        <v>0</v>
      </c>
      <c r="K76" t="s">
        <v>1706</v>
      </c>
    </row>
    <row r="77" spans="1:11" x14ac:dyDescent="0.35">
      <c r="A77" t="s">
        <v>2008</v>
      </c>
      <c r="B77" t="s">
        <v>14</v>
      </c>
      <c r="C77" t="s">
        <v>946</v>
      </c>
      <c r="D77" t="s">
        <v>2013</v>
      </c>
      <c r="F77" t="s">
        <v>353</v>
      </c>
      <c r="G77" t="s">
        <v>2011</v>
      </c>
      <c r="H77" s="10">
        <v>68.790000000000006</v>
      </c>
      <c r="I77" s="2">
        <v>12</v>
      </c>
      <c r="J77">
        <v>0</v>
      </c>
      <c r="K77" t="s">
        <v>1706</v>
      </c>
    </row>
    <row r="78" spans="1:11" x14ac:dyDescent="0.35">
      <c r="A78" t="s">
        <v>2008</v>
      </c>
      <c r="B78" t="s">
        <v>14</v>
      </c>
      <c r="C78" t="s">
        <v>946</v>
      </c>
      <c r="D78" t="s">
        <v>2012</v>
      </c>
      <c r="F78" t="s">
        <v>378</v>
      </c>
      <c r="G78" t="s">
        <v>2011</v>
      </c>
      <c r="H78" s="10">
        <v>378</v>
      </c>
      <c r="I78" s="2">
        <v>183</v>
      </c>
      <c r="J78">
        <v>0</v>
      </c>
      <c r="K78" t="s">
        <v>1706</v>
      </c>
    </row>
    <row r="79" spans="1:11" x14ac:dyDescent="0.35">
      <c r="A79" t="s">
        <v>2008</v>
      </c>
      <c r="B79" t="s">
        <v>335</v>
      </c>
      <c r="C79" t="s">
        <v>946</v>
      </c>
      <c r="D79" t="s">
        <v>2022</v>
      </c>
      <c r="F79" t="s">
        <v>347</v>
      </c>
      <c r="G79" t="s">
        <v>2011</v>
      </c>
      <c r="H79" s="10">
        <v>1319.02</v>
      </c>
      <c r="I79" s="2">
        <v>5</v>
      </c>
      <c r="J79">
        <v>0</v>
      </c>
      <c r="K79" t="s">
        <v>1706</v>
      </c>
    </row>
    <row r="80" spans="1:11" x14ac:dyDescent="0.35">
      <c r="A80" t="s">
        <v>2008</v>
      </c>
      <c r="B80" t="s">
        <v>14</v>
      </c>
      <c r="C80" t="s">
        <v>946</v>
      </c>
      <c r="D80" t="s">
        <v>2015</v>
      </c>
      <c r="F80" t="s">
        <v>349</v>
      </c>
      <c r="G80" t="s">
        <v>2011</v>
      </c>
      <c r="H80" s="10">
        <v>0</v>
      </c>
      <c r="I80" s="2">
        <v>12</v>
      </c>
      <c r="J80">
        <v>0</v>
      </c>
      <c r="K80" t="s">
        <v>1706</v>
      </c>
    </row>
    <row r="81" spans="1:11" x14ac:dyDescent="0.35">
      <c r="A81" t="s">
        <v>2008</v>
      </c>
      <c r="B81" t="s">
        <v>14</v>
      </c>
      <c r="C81" t="s">
        <v>946</v>
      </c>
      <c r="D81" t="s">
        <v>2013</v>
      </c>
      <c r="E81" t="s">
        <v>937</v>
      </c>
      <c r="F81" t="s">
        <v>379</v>
      </c>
      <c r="G81" t="s">
        <v>2011</v>
      </c>
      <c r="H81" s="10">
        <v>27.5</v>
      </c>
      <c r="I81" s="2">
        <v>1</v>
      </c>
      <c r="J81">
        <v>0</v>
      </c>
      <c r="K81" t="s">
        <v>1706</v>
      </c>
    </row>
    <row r="82" spans="1:11" x14ac:dyDescent="0.35">
      <c r="A82" t="s">
        <v>2008</v>
      </c>
      <c r="B82" t="s">
        <v>14</v>
      </c>
      <c r="C82" t="s">
        <v>946</v>
      </c>
      <c r="D82" t="s">
        <v>2013</v>
      </c>
      <c r="F82" t="s">
        <v>347</v>
      </c>
      <c r="G82" t="s">
        <v>2011</v>
      </c>
      <c r="H82" s="10">
        <v>622.62</v>
      </c>
      <c r="I82" s="2">
        <v>52</v>
      </c>
      <c r="J82">
        <v>0</v>
      </c>
      <c r="K82" t="s">
        <v>1706</v>
      </c>
    </row>
    <row r="83" spans="1:11" x14ac:dyDescent="0.35">
      <c r="A83" t="s">
        <v>2008</v>
      </c>
      <c r="B83" t="s">
        <v>14</v>
      </c>
      <c r="C83" t="s">
        <v>946</v>
      </c>
      <c r="D83" t="s">
        <v>2013</v>
      </c>
      <c r="F83" t="s">
        <v>364</v>
      </c>
      <c r="G83" t="s">
        <v>2011</v>
      </c>
      <c r="H83" s="10">
        <v>22.5</v>
      </c>
      <c r="I83" s="2">
        <v>7</v>
      </c>
      <c r="J83">
        <v>0</v>
      </c>
      <c r="K83" t="s">
        <v>1706</v>
      </c>
    </row>
    <row r="84" spans="1:11" x14ac:dyDescent="0.35">
      <c r="A84" t="s">
        <v>2008</v>
      </c>
      <c r="B84" t="s">
        <v>14</v>
      </c>
      <c r="C84" t="s">
        <v>946</v>
      </c>
      <c r="D84" t="s">
        <v>2019</v>
      </c>
      <c r="F84" t="s">
        <v>2065</v>
      </c>
      <c r="G84" t="s">
        <v>2011</v>
      </c>
      <c r="H84" s="10">
        <v>7.98</v>
      </c>
      <c r="I84" s="2">
        <v>2</v>
      </c>
      <c r="J84">
        <v>0</v>
      </c>
      <c r="K84" t="s">
        <v>1706</v>
      </c>
    </row>
    <row r="85" spans="1:11" x14ac:dyDescent="0.35">
      <c r="A85" t="s">
        <v>2008</v>
      </c>
      <c r="B85" t="s">
        <v>14</v>
      </c>
      <c r="C85" t="s">
        <v>946</v>
      </c>
      <c r="D85" t="s">
        <v>2012</v>
      </c>
      <c r="F85" t="s">
        <v>1417</v>
      </c>
      <c r="G85" t="s">
        <v>2011</v>
      </c>
      <c r="H85" s="10">
        <v>38.75</v>
      </c>
      <c r="I85" s="2">
        <v>5</v>
      </c>
      <c r="J85">
        <v>0</v>
      </c>
      <c r="K85" t="s">
        <v>1706</v>
      </c>
    </row>
    <row r="86" spans="1:11" x14ac:dyDescent="0.35">
      <c r="A86" t="s">
        <v>2008</v>
      </c>
      <c r="B86" t="s">
        <v>14</v>
      </c>
      <c r="C86" t="s">
        <v>946</v>
      </c>
      <c r="D86" t="s">
        <v>2019</v>
      </c>
      <c r="F86" t="s">
        <v>2066</v>
      </c>
      <c r="G86" t="s">
        <v>2011</v>
      </c>
      <c r="H86" s="10">
        <v>5.49</v>
      </c>
      <c r="I86" s="2">
        <v>1</v>
      </c>
      <c r="J86">
        <v>0</v>
      </c>
      <c r="K86" t="s">
        <v>1706</v>
      </c>
    </row>
    <row r="87" spans="1:11" x14ac:dyDescent="0.35">
      <c r="A87" t="s">
        <v>2008</v>
      </c>
      <c r="B87" t="s">
        <v>14</v>
      </c>
      <c r="C87" t="s">
        <v>946</v>
      </c>
      <c r="D87" t="s">
        <v>2013</v>
      </c>
      <c r="F87" t="s">
        <v>380</v>
      </c>
      <c r="G87" t="s">
        <v>2011</v>
      </c>
      <c r="H87" s="10">
        <v>5.25</v>
      </c>
      <c r="I87" s="2">
        <v>1</v>
      </c>
      <c r="J87">
        <v>0</v>
      </c>
      <c r="K87" t="s">
        <v>1706</v>
      </c>
    </row>
    <row r="88" spans="1:11" x14ac:dyDescent="0.35">
      <c r="A88" t="s">
        <v>2008</v>
      </c>
      <c r="B88" t="s">
        <v>14</v>
      </c>
      <c r="C88" t="s">
        <v>946</v>
      </c>
      <c r="D88" t="s">
        <v>2013</v>
      </c>
      <c r="F88" t="s">
        <v>2024</v>
      </c>
      <c r="G88" t="s">
        <v>2011</v>
      </c>
      <c r="H88" s="10">
        <v>8</v>
      </c>
      <c r="I88" s="2">
        <v>1</v>
      </c>
      <c r="J88">
        <v>0</v>
      </c>
      <c r="K88" t="s">
        <v>1706</v>
      </c>
    </row>
    <row r="89" spans="1:11" x14ac:dyDescent="0.35">
      <c r="A89" t="s">
        <v>2008</v>
      </c>
      <c r="B89" t="s">
        <v>14</v>
      </c>
      <c r="C89" t="s">
        <v>946</v>
      </c>
      <c r="D89" t="s">
        <v>2015</v>
      </c>
      <c r="F89" t="s">
        <v>378</v>
      </c>
      <c r="G89" t="s">
        <v>2011</v>
      </c>
      <c r="H89" s="10">
        <v>10.5</v>
      </c>
      <c r="I89" s="2">
        <v>4</v>
      </c>
      <c r="J89">
        <v>0</v>
      </c>
      <c r="K89" t="s">
        <v>1706</v>
      </c>
    </row>
    <row r="90" spans="1:11" x14ac:dyDescent="0.35">
      <c r="A90" t="s">
        <v>2008</v>
      </c>
      <c r="B90" t="s">
        <v>14</v>
      </c>
      <c r="C90" t="s">
        <v>946</v>
      </c>
      <c r="D90" t="s">
        <v>2015</v>
      </c>
      <c r="E90" t="s">
        <v>924</v>
      </c>
      <c r="F90" t="s">
        <v>379</v>
      </c>
      <c r="G90" t="s">
        <v>2011</v>
      </c>
      <c r="H90" s="10">
        <v>25.25</v>
      </c>
      <c r="I90" s="2">
        <v>1</v>
      </c>
      <c r="J90">
        <v>0</v>
      </c>
      <c r="K90" t="s">
        <v>1706</v>
      </c>
    </row>
    <row r="91" spans="1:11" x14ac:dyDescent="0.35">
      <c r="A91" t="s">
        <v>2008</v>
      </c>
      <c r="B91" t="s">
        <v>14</v>
      </c>
      <c r="C91" t="s">
        <v>946</v>
      </c>
      <c r="D91" t="s">
        <v>2015</v>
      </c>
      <c r="F91" t="s">
        <v>347</v>
      </c>
      <c r="G91" t="s">
        <v>2011</v>
      </c>
      <c r="H91" s="10">
        <v>856.55</v>
      </c>
      <c r="I91" s="2">
        <v>101</v>
      </c>
      <c r="J91">
        <v>0</v>
      </c>
      <c r="K91" t="s">
        <v>1706</v>
      </c>
    </row>
    <row r="92" spans="1:11" x14ac:dyDescent="0.35">
      <c r="A92" t="s">
        <v>2008</v>
      </c>
      <c r="B92" t="s">
        <v>14</v>
      </c>
      <c r="C92" t="s">
        <v>946</v>
      </c>
      <c r="D92" t="s">
        <v>2013</v>
      </c>
      <c r="E92" t="s">
        <v>924</v>
      </c>
      <c r="F92" t="s">
        <v>365</v>
      </c>
      <c r="G92" t="s">
        <v>2011</v>
      </c>
      <c r="H92" s="10">
        <v>360</v>
      </c>
      <c r="I92" s="2">
        <v>3</v>
      </c>
      <c r="J92">
        <v>0</v>
      </c>
      <c r="K92" t="s">
        <v>1706</v>
      </c>
    </row>
    <row r="93" spans="1:11" x14ac:dyDescent="0.35">
      <c r="A93" t="s">
        <v>2008</v>
      </c>
      <c r="B93" t="s">
        <v>335</v>
      </c>
      <c r="C93" t="s">
        <v>946</v>
      </c>
      <c r="D93" t="s">
        <v>2079</v>
      </c>
      <c r="F93" t="s">
        <v>364</v>
      </c>
      <c r="G93" t="s">
        <v>2011</v>
      </c>
      <c r="H93" s="10">
        <v>0</v>
      </c>
      <c r="I93" s="2">
        <v>1</v>
      </c>
      <c r="J93">
        <v>0</v>
      </c>
      <c r="K93" t="s">
        <v>1706</v>
      </c>
    </row>
    <row r="94" spans="1:11" x14ac:dyDescent="0.35">
      <c r="A94" t="s">
        <v>2008</v>
      </c>
      <c r="B94" t="s">
        <v>14</v>
      </c>
      <c r="C94" t="s">
        <v>946</v>
      </c>
      <c r="D94" t="s">
        <v>2013</v>
      </c>
      <c r="E94" t="s">
        <v>936</v>
      </c>
      <c r="F94" t="s">
        <v>358</v>
      </c>
      <c r="G94" t="s">
        <v>2011</v>
      </c>
      <c r="H94" s="10">
        <v>31</v>
      </c>
      <c r="I94" s="2">
        <v>1</v>
      </c>
      <c r="J94">
        <v>0</v>
      </c>
      <c r="K94" t="s">
        <v>1706</v>
      </c>
    </row>
    <row r="95" spans="1:11" x14ac:dyDescent="0.35">
      <c r="A95" t="s">
        <v>2008</v>
      </c>
      <c r="B95" t="s">
        <v>14</v>
      </c>
      <c r="C95" t="s">
        <v>946</v>
      </c>
      <c r="D95" t="s">
        <v>2019</v>
      </c>
      <c r="F95" t="s">
        <v>2067</v>
      </c>
      <c r="G95" t="s">
        <v>2011</v>
      </c>
      <c r="H95" s="10">
        <v>5.49</v>
      </c>
      <c r="I95" s="2">
        <v>1</v>
      </c>
      <c r="J95">
        <v>0</v>
      </c>
      <c r="K95" t="s">
        <v>1706</v>
      </c>
    </row>
    <row r="96" spans="1:11" x14ac:dyDescent="0.35">
      <c r="A96" t="s">
        <v>2008</v>
      </c>
      <c r="B96" t="s">
        <v>14</v>
      </c>
      <c r="C96" t="s">
        <v>946</v>
      </c>
      <c r="D96" t="s">
        <v>2015</v>
      </c>
      <c r="F96" t="s">
        <v>359</v>
      </c>
      <c r="G96" t="s">
        <v>2011</v>
      </c>
      <c r="H96" s="10">
        <v>18.600000000000001</v>
      </c>
      <c r="I96" s="2">
        <v>4</v>
      </c>
      <c r="J96">
        <v>0</v>
      </c>
      <c r="K96" t="s">
        <v>1706</v>
      </c>
    </row>
    <row r="97" spans="1:11" x14ac:dyDescent="0.35">
      <c r="A97" t="s">
        <v>2008</v>
      </c>
      <c r="B97" t="s">
        <v>14</v>
      </c>
      <c r="C97" t="s">
        <v>946</v>
      </c>
      <c r="D97" t="s">
        <v>2012</v>
      </c>
      <c r="E97" t="s">
        <v>936</v>
      </c>
      <c r="F97" t="s">
        <v>358</v>
      </c>
      <c r="G97" t="s">
        <v>2011</v>
      </c>
      <c r="H97" s="10">
        <v>31</v>
      </c>
      <c r="I97" s="2">
        <v>1</v>
      </c>
      <c r="J97">
        <v>0</v>
      </c>
      <c r="K97" t="s">
        <v>1706</v>
      </c>
    </row>
    <row r="98" spans="1:11" x14ac:dyDescent="0.35">
      <c r="A98" t="s">
        <v>2008</v>
      </c>
      <c r="B98" t="s">
        <v>14</v>
      </c>
      <c r="C98" t="s">
        <v>946</v>
      </c>
      <c r="D98" t="s">
        <v>2018</v>
      </c>
      <c r="F98" t="s">
        <v>2017</v>
      </c>
      <c r="G98" t="s">
        <v>2011</v>
      </c>
      <c r="H98" s="10">
        <v>9.33</v>
      </c>
      <c r="I98" s="2">
        <v>1</v>
      </c>
      <c r="J98">
        <v>0</v>
      </c>
      <c r="K98" t="s">
        <v>1706</v>
      </c>
    </row>
    <row r="99" spans="1:11" x14ac:dyDescent="0.35">
      <c r="A99" t="s">
        <v>2008</v>
      </c>
      <c r="B99" t="s">
        <v>14</v>
      </c>
      <c r="C99" t="s">
        <v>946</v>
      </c>
      <c r="D99" t="s">
        <v>2018</v>
      </c>
      <c r="F99" t="s">
        <v>364</v>
      </c>
      <c r="G99" t="s">
        <v>2011</v>
      </c>
      <c r="H99" s="10">
        <v>0</v>
      </c>
      <c r="I99" s="2">
        <v>4</v>
      </c>
      <c r="J99">
        <v>0</v>
      </c>
      <c r="K99" t="s">
        <v>1706</v>
      </c>
    </row>
    <row r="100" spans="1:11" x14ac:dyDescent="0.35">
      <c r="A100" t="s">
        <v>2008</v>
      </c>
      <c r="B100" t="s">
        <v>14</v>
      </c>
      <c r="C100" t="s">
        <v>946</v>
      </c>
      <c r="D100" t="s">
        <v>2015</v>
      </c>
      <c r="F100" t="s">
        <v>372</v>
      </c>
      <c r="G100" t="s">
        <v>2011</v>
      </c>
      <c r="H100" s="10">
        <v>72</v>
      </c>
      <c r="I100" s="2">
        <v>3</v>
      </c>
      <c r="J100">
        <v>0</v>
      </c>
      <c r="K100" t="s">
        <v>1706</v>
      </c>
    </row>
    <row r="101" spans="1:11" x14ac:dyDescent="0.35">
      <c r="A101" t="s">
        <v>2008</v>
      </c>
      <c r="B101" t="s">
        <v>14</v>
      </c>
      <c r="C101" t="s">
        <v>946</v>
      </c>
      <c r="D101" t="s">
        <v>2015</v>
      </c>
      <c r="E101" t="s">
        <v>937</v>
      </c>
      <c r="F101" t="s">
        <v>358</v>
      </c>
      <c r="G101" t="s">
        <v>2011</v>
      </c>
      <c r="H101" s="10">
        <v>19</v>
      </c>
      <c r="I101" s="2">
        <v>1</v>
      </c>
      <c r="J101">
        <v>0</v>
      </c>
      <c r="K101" t="s">
        <v>1706</v>
      </c>
    </row>
    <row r="102" spans="1:11" x14ac:dyDescent="0.35">
      <c r="A102" t="s">
        <v>2008</v>
      </c>
      <c r="B102" t="s">
        <v>14</v>
      </c>
      <c r="C102" t="s">
        <v>946</v>
      </c>
      <c r="D102" t="s">
        <v>2013</v>
      </c>
      <c r="F102" t="s">
        <v>2017</v>
      </c>
      <c r="G102" t="s">
        <v>2011</v>
      </c>
      <c r="H102" s="10">
        <v>100.79</v>
      </c>
      <c r="I102" s="2">
        <v>17</v>
      </c>
      <c r="J102">
        <v>0</v>
      </c>
      <c r="K102" t="s">
        <v>1706</v>
      </c>
    </row>
    <row r="103" spans="1:11" x14ac:dyDescent="0.35">
      <c r="A103" t="s">
        <v>2008</v>
      </c>
      <c r="B103" t="s">
        <v>14</v>
      </c>
      <c r="C103" t="s">
        <v>946</v>
      </c>
      <c r="D103" t="s">
        <v>2016</v>
      </c>
      <c r="F103" t="s">
        <v>1797</v>
      </c>
      <c r="G103" t="s">
        <v>2011</v>
      </c>
      <c r="H103" s="10">
        <v>21.25</v>
      </c>
      <c r="I103" s="2">
        <v>1</v>
      </c>
      <c r="J103">
        <v>0</v>
      </c>
      <c r="K103" t="s">
        <v>1706</v>
      </c>
    </row>
    <row r="104" spans="1:11" x14ac:dyDescent="0.35">
      <c r="A104" t="s">
        <v>2008</v>
      </c>
      <c r="B104" t="s">
        <v>14</v>
      </c>
      <c r="C104" t="s">
        <v>946</v>
      </c>
      <c r="D104" t="s">
        <v>2019</v>
      </c>
      <c r="F104" t="s">
        <v>2080</v>
      </c>
      <c r="G104" t="s">
        <v>2011</v>
      </c>
      <c r="H104" s="10">
        <v>11.49</v>
      </c>
      <c r="I104" s="2">
        <v>1</v>
      </c>
      <c r="J104">
        <v>0</v>
      </c>
      <c r="K104" t="s">
        <v>1706</v>
      </c>
    </row>
    <row r="105" spans="1:11" x14ac:dyDescent="0.35">
      <c r="A105" t="s">
        <v>2008</v>
      </c>
      <c r="B105" t="s">
        <v>14</v>
      </c>
      <c r="C105" t="s">
        <v>946</v>
      </c>
      <c r="D105" t="s">
        <v>2021</v>
      </c>
      <c r="F105" t="s">
        <v>565</v>
      </c>
      <c r="G105" t="s">
        <v>2011</v>
      </c>
      <c r="H105" s="10">
        <v>3.15</v>
      </c>
      <c r="I105" s="2">
        <v>2</v>
      </c>
      <c r="J105">
        <v>0</v>
      </c>
      <c r="K105" t="s">
        <v>1706</v>
      </c>
    </row>
    <row r="106" spans="1:11" x14ac:dyDescent="0.35">
      <c r="A106" t="s">
        <v>2008</v>
      </c>
      <c r="B106" t="s">
        <v>14</v>
      </c>
      <c r="C106" t="s">
        <v>946</v>
      </c>
      <c r="D106" t="s">
        <v>2012</v>
      </c>
      <c r="F106" t="s">
        <v>373</v>
      </c>
      <c r="G106" t="s">
        <v>2011</v>
      </c>
      <c r="H106" s="10">
        <v>0</v>
      </c>
      <c r="I106" s="2">
        <v>17</v>
      </c>
      <c r="J106">
        <v>0</v>
      </c>
      <c r="K106" t="s">
        <v>1706</v>
      </c>
    </row>
    <row r="107" spans="1:11" x14ac:dyDescent="0.35">
      <c r="A107" t="s">
        <v>2008</v>
      </c>
      <c r="B107" t="s">
        <v>14</v>
      </c>
      <c r="C107" t="s">
        <v>946</v>
      </c>
      <c r="D107" t="s">
        <v>2012</v>
      </c>
      <c r="F107" t="s">
        <v>355</v>
      </c>
      <c r="G107" t="s">
        <v>2011</v>
      </c>
      <c r="H107" s="10">
        <v>8.65</v>
      </c>
      <c r="I107" s="2">
        <v>1</v>
      </c>
      <c r="J107">
        <v>0</v>
      </c>
      <c r="K107" t="s">
        <v>1706</v>
      </c>
    </row>
    <row r="108" spans="1:11" x14ac:dyDescent="0.35">
      <c r="A108" t="s">
        <v>2008</v>
      </c>
      <c r="B108" t="s">
        <v>14</v>
      </c>
      <c r="C108" t="s">
        <v>946</v>
      </c>
      <c r="D108" t="s">
        <v>2019</v>
      </c>
      <c r="F108" t="s">
        <v>2081</v>
      </c>
      <c r="G108" t="s">
        <v>2011</v>
      </c>
      <c r="H108" s="10">
        <v>13.49</v>
      </c>
      <c r="I108" s="2">
        <v>1</v>
      </c>
      <c r="J108">
        <v>0</v>
      </c>
      <c r="K108" t="s">
        <v>1706</v>
      </c>
    </row>
    <row r="109" spans="1:11" x14ac:dyDescent="0.35">
      <c r="A109" t="s">
        <v>2008</v>
      </c>
      <c r="B109" t="s">
        <v>14</v>
      </c>
      <c r="C109" t="s">
        <v>946</v>
      </c>
      <c r="D109" t="s">
        <v>2010</v>
      </c>
      <c r="F109" t="s">
        <v>364</v>
      </c>
      <c r="G109" t="s">
        <v>2011</v>
      </c>
      <c r="H109" s="10">
        <v>0</v>
      </c>
      <c r="I109" s="2">
        <v>5</v>
      </c>
      <c r="J109">
        <v>0</v>
      </c>
      <c r="K109" t="s">
        <v>1706</v>
      </c>
    </row>
    <row r="110" spans="1:11" x14ac:dyDescent="0.35">
      <c r="A110" t="s">
        <v>2008</v>
      </c>
      <c r="B110" t="s">
        <v>14</v>
      </c>
      <c r="C110" t="s">
        <v>946</v>
      </c>
      <c r="D110" t="s">
        <v>2053</v>
      </c>
      <c r="F110" t="s">
        <v>1950</v>
      </c>
      <c r="G110" t="s">
        <v>2011</v>
      </c>
      <c r="H110" s="10">
        <v>0</v>
      </c>
      <c r="I110" s="2">
        <v>56</v>
      </c>
      <c r="J110">
        <v>0</v>
      </c>
      <c r="K110" t="s">
        <v>1706</v>
      </c>
    </row>
    <row r="111" spans="1:11" x14ac:dyDescent="0.35">
      <c r="A111" t="s">
        <v>2009</v>
      </c>
      <c r="B111" t="s">
        <v>15</v>
      </c>
      <c r="C111" t="s">
        <v>946</v>
      </c>
      <c r="D111" t="s">
        <v>15</v>
      </c>
      <c r="F111" t="s">
        <v>1255</v>
      </c>
      <c r="G111" t="s">
        <v>2011</v>
      </c>
      <c r="H111" s="10">
        <v>1771</v>
      </c>
      <c r="I111" s="2">
        <v>77</v>
      </c>
      <c r="J111">
        <v>0</v>
      </c>
      <c r="K111" t="s">
        <v>1706</v>
      </c>
    </row>
    <row r="112" spans="1:11" x14ac:dyDescent="0.35">
      <c r="A112" t="s">
        <v>2009</v>
      </c>
      <c r="B112" t="s">
        <v>15</v>
      </c>
      <c r="C112" t="s">
        <v>946</v>
      </c>
      <c r="D112" t="s">
        <v>15</v>
      </c>
      <c r="E112" t="s">
        <v>924</v>
      </c>
      <c r="F112" t="s">
        <v>386</v>
      </c>
      <c r="G112" t="s">
        <v>2011</v>
      </c>
      <c r="H112" s="10">
        <v>4654.6499999999996</v>
      </c>
      <c r="I112" s="2">
        <v>603</v>
      </c>
      <c r="J112">
        <v>0</v>
      </c>
      <c r="K112" t="s">
        <v>1706</v>
      </c>
    </row>
    <row r="113" spans="1:11" x14ac:dyDescent="0.35">
      <c r="A113" t="s">
        <v>2009</v>
      </c>
      <c r="B113" t="s">
        <v>15</v>
      </c>
      <c r="C113" t="s">
        <v>946</v>
      </c>
      <c r="D113" t="s">
        <v>1008</v>
      </c>
      <c r="F113" t="s">
        <v>350</v>
      </c>
      <c r="G113" t="s">
        <v>2011</v>
      </c>
      <c r="H113" s="10">
        <v>434.81</v>
      </c>
      <c r="I113" s="2">
        <v>24</v>
      </c>
      <c r="J113">
        <v>0</v>
      </c>
      <c r="K113" t="s">
        <v>1706</v>
      </c>
    </row>
    <row r="114" spans="1:11" x14ac:dyDescent="0.35">
      <c r="A114" t="s">
        <v>2009</v>
      </c>
      <c r="B114" t="s">
        <v>15</v>
      </c>
      <c r="C114" t="s">
        <v>946</v>
      </c>
      <c r="D114" t="s">
        <v>15</v>
      </c>
      <c r="E114" t="s">
        <v>924</v>
      </c>
      <c r="F114" t="s">
        <v>363</v>
      </c>
      <c r="G114" t="s">
        <v>2011</v>
      </c>
      <c r="H114" s="10">
        <v>33453.589999999997</v>
      </c>
      <c r="I114" s="2">
        <v>1295</v>
      </c>
      <c r="J114">
        <v>0</v>
      </c>
      <c r="K114" t="s">
        <v>1706</v>
      </c>
    </row>
    <row r="115" spans="1:11" x14ac:dyDescent="0.35">
      <c r="A115" t="s">
        <v>2009</v>
      </c>
      <c r="B115" t="s">
        <v>15</v>
      </c>
      <c r="C115" t="s">
        <v>946</v>
      </c>
      <c r="D115" t="s">
        <v>15</v>
      </c>
      <c r="F115" t="s">
        <v>420</v>
      </c>
      <c r="G115" t="s">
        <v>2011</v>
      </c>
      <c r="H115" s="10">
        <v>12782.75</v>
      </c>
      <c r="I115" s="2">
        <v>267</v>
      </c>
      <c r="J115">
        <v>0</v>
      </c>
      <c r="K115" t="s">
        <v>1706</v>
      </c>
    </row>
    <row r="116" spans="1:11" x14ac:dyDescent="0.35">
      <c r="A116" t="s">
        <v>2009</v>
      </c>
      <c r="B116" t="s">
        <v>15</v>
      </c>
      <c r="C116" t="s">
        <v>946</v>
      </c>
      <c r="D116" t="s">
        <v>2014</v>
      </c>
      <c r="F116" t="s">
        <v>420</v>
      </c>
      <c r="G116" t="s">
        <v>2011</v>
      </c>
      <c r="H116" s="10">
        <v>2210</v>
      </c>
      <c r="I116" s="2">
        <v>45</v>
      </c>
      <c r="J116">
        <v>0</v>
      </c>
      <c r="K116" t="s">
        <v>1706</v>
      </c>
    </row>
    <row r="117" spans="1:11" x14ac:dyDescent="0.35">
      <c r="A117" t="s">
        <v>2009</v>
      </c>
      <c r="B117" t="s">
        <v>15</v>
      </c>
      <c r="C117" t="s">
        <v>946</v>
      </c>
      <c r="D117" t="s">
        <v>15</v>
      </c>
      <c r="E117" t="s">
        <v>936</v>
      </c>
      <c r="F117" t="s">
        <v>386</v>
      </c>
      <c r="G117" t="s">
        <v>2011</v>
      </c>
      <c r="H117" s="10">
        <v>2066.25</v>
      </c>
      <c r="I117" s="2">
        <v>285</v>
      </c>
      <c r="J117">
        <v>0</v>
      </c>
      <c r="K117" t="s">
        <v>1706</v>
      </c>
    </row>
    <row r="118" spans="1:11" x14ac:dyDescent="0.35">
      <c r="A118" t="s">
        <v>2009</v>
      </c>
      <c r="B118" t="s">
        <v>15</v>
      </c>
      <c r="C118" t="s">
        <v>946</v>
      </c>
      <c r="D118" t="s">
        <v>15</v>
      </c>
      <c r="E118" t="s">
        <v>936</v>
      </c>
      <c r="F118" t="s">
        <v>357</v>
      </c>
      <c r="G118" t="s">
        <v>2011</v>
      </c>
      <c r="H118" s="10">
        <v>21455</v>
      </c>
      <c r="I118" s="2">
        <v>350</v>
      </c>
      <c r="J118">
        <v>0</v>
      </c>
      <c r="K118" t="s">
        <v>1706</v>
      </c>
    </row>
    <row r="119" spans="1:11" x14ac:dyDescent="0.35">
      <c r="A119" t="s">
        <v>2009</v>
      </c>
      <c r="B119" t="s">
        <v>15</v>
      </c>
      <c r="C119" t="s">
        <v>946</v>
      </c>
      <c r="D119" t="s">
        <v>15</v>
      </c>
      <c r="F119" t="s">
        <v>370</v>
      </c>
      <c r="G119" t="s">
        <v>2011</v>
      </c>
      <c r="H119" s="10">
        <v>8.65</v>
      </c>
      <c r="I119" s="2">
        <v>1</v>
      </c>
      <c r="J119">
        <v>0</v>
      </c>
      <c r="K119" t="s">
        <v>1706</v>
      </c>
    </row>
    <row r="120" spans="1:11" x14ac:dyDescent="0.35">
      <c r="A120" t="s">
        <v>2009</v>
      </c>
      <c r="B120" t="s">
        <v>15</v>
      </c>
      <c r="C120" t="s">
        <v>946</v>
      </c>
      <c r="D120" t="s">
        <v>2014</v>
      </c>
      <c r="E120" t="s">
        <v>936</v>
      </c>
      <c r="F120" t="s">
        <v>386</v>
      </c>
      <c r="G120" t="s">
        <v>2011</v>
      </c>
      <c r="H120" s="10">
        <v>29</v>
      </c>
      <c r="I120" s="2">
        <v>4</v>
      </c>
      <c r="J120">
        <v>0</v>
      </c>
      <c r="K120" t="s">
        <v>1706</v>
      </c>
    </row>
    <row r="121" spans="1:11" x14ac:dyDescent="0.35">
      <c r="A121" t="s">
        <v>2009</v>
      </c>
      <c r="B121" t="s">
        <v>15</v>
      </c>
      <c r="C121" t="s">
        <v>946</v>
      </c>
      <c r="D121" t="s">
        <v>1008</v>
      </c>
      <c r="E121" t="s">
        <v>937</v>
      </c>
      <c r="F121" t="s">
        <v>363</v>
      </c>
      <c r="G121" t="s">
        <v>2011</v>
      </c>
      <c r="H121" s="10">
        <v>110</v>
      </c>
      <c r="I121" s="2">
        <v>4</v>
      </c>
      <c r="J121">
        <v>0</v>
      </c>
      <c r="K121" t="s">
        <v>1706</v>
      </c>
    </row>
    <row r="122" spans="1:11" x14ac:dyDescent="0.35">
      <c r="A122" t="s">
        <v>2009</v>
      </c>
      <c r="B122" t="s">
        <v>15</v>
      </c>
      <c r="C122" t="s">
        <v>946</v>
      </c>
      <c r="D122" t="s">
        <v>15</v>
      </c>
      <c r="F122" t="s">
        <v>502</v>
      </c>
      <c r="G122" t="s">
        <v>2011</v>
      </c>
      <c r="H122" s="10">
        <v>43.5</v>
      </c>
      <c r="I122" s="2">
        <v>3</v>
      </c>
      <c r="J122">
        <v>0</v>
      </c>
      <c r="K122" t="s">
        <v>1706</v>
      </c>
    </row>
    <row r="123" spans="1:11" x14ac:dyDescent="0.35">
      <c r="A123" t="s">
        <v>2009</v>
      </c>
      <c r="B123" t="s">
        <v>15</v>
      </c>
      <c r="C123" t="s">
        <v>946</v>
      </c>
      <c r="D123" t="s">
        <v>15</v>
      </c>
      <c r="E123" t="s">
        <v>923</v>
      </c>
      <c r="F123" t="s">
        <v>363</v>
      </c>
      <c r="G123" t="s">
        <v>2011</v>
      </c>
      <c r="H123" s="10">
        <v>6633.75</v>
      </c>
      <c r="I123" s="2">
        <v>305</v>
      </c>
      <c r="J123">
        <v>0</v>
      </c>
      <c r="K123" t="s">
        <v>1706</v>
      </c>
    </row>
    <row r="124" spans="1:11" x14ac:dyDescent="0.35">
      <c r="A124" t="s">
        <v>2009</v>
      </c>
      <c r="B124" t="s">
        <v>15</v>
      </c>
      <c r="C124" t="s">
        <v>946</v>
      </c>
      <c r="D124" t="s">
        <v>15</v>
      </c>
      <c r="F124" t="s">
        <v>387</v>
      </c>
      <c r="G124" t="s">
        <v>2011</v>
      </c>
      <c r="H124" s="10">
        <v>27528.9</v>
      </c>
      <c r="I124" s="2">
        <v>13109</v>
      </c>
      <c r="J124">
        <v>0</v>
      </c>
      <c r="K124" t="s">
        <v>1706</v>
      </c>
    </row>
    <row r="125" spans="1:11" x14ac:dyDescent="0.35">
      <c r="A125" t="s">
        <v>2009</v>
      </c>
      <c r="B125" t="s">
        <v>15</v>
      </c>
      <c r="C125" t="s">
        <v>946</v>
      </c>
      <c r="D125" t="s">
        <v>15</v>
      </c>
      <c r="F125" t="s">
        <v>393</v>
      </c>
      <c r="G125" t="s">
        <v>2011</v>
      </c>
      <c r="H125" s="10">
        <v>11061.78</v>
      </c>
      <c r="I125" s="2">
        <v>4206</v>
      </c>
      <c r="J125">
        <v>0</v>
      </c>
      <c r="K125" t="s">
        <v>1706</v>
      </c>
    </row>
    <row r="126" spans="1:11" x14ac:dyDescent="0.35">
      <c r="A126" t="s">
        <v>2009</v>
      </c>
      <c r="B126" t="s">
        <v>15</v>
      </c>
      <c r="C126" t="s">
        <v>946</v>
      </c>
      <c r="D126" t="s">
        <v>2014</v>
      </c>
      <c r="F126" t="s">
        <v>2017</v>
      </c>
      <c r="G126" t="s">
        <v>2011</v>
      </c>
      <c r="H126" s="10">
        <v>36.33</v>
      </c>
      <c r="I126" s="2">
        <v>43</v>
      </c>
      <c r="J126">
        <v>0</v>
      </c>
      <c r="K126" t="s">
        <v>1706</v>
      </c>
    </row>
    <row r="127" spans="1:11" x14ac:dyDescent="0.35">
      <c r="A127" t="s">
        <v>2009</v>
      </c>
      <c r="B127" t="s">
        <v>15</v>
      </c>
      <c r="C127" t="s">
        <v>946</v>
      </c>
      <c r="D127" t="s">
        <v>15</v>
      </c>
      <c r="F127" t="s">
        <v>410</v>
      </c>
      <c r="G127" t="s">
        <v>2011</v>
      </c>
      <c r="H127" s="10">
        <v>15851.3</v>
      </c>
      <c r="I127" s="2">
        <v>2557</v>
      </c>
      <c r="J127">
        <v>0</v>
      </c>
      <c r="K127" t="s">
        <v>1706</v>
      </c>
    </row>
    <row r="128" spans="1:11" x14ac:dyDescent="0.35">
      <c r="A128" t="s">
        <v>2009</v>
      </c>
      <c r="B128" t="s">
        <v>15</v>
      </c>
      <c r="C128" t="s">
        <v>946</v>
      </c>
      <c r="D128" t="s">
        <v>15</v>
      </c>
      <c r="F128" t="s">
        <v>1415</v>
      </c>
      <c r="G128" t="s">
        <v>2011</v>
      </c>
      <c r="H128" s="10">
        <v>2108</v>
      </c>
      <c r="I128" s="2">
        <v>136</v>
      </c>
      <c r="J128">
        <v>0</v>
      </c>
      <c r="K128" t="s">
        <v>1706</v>
      </c>
    </row>
    <row r="129" spans="1:11" x14ac:dyDescent="0.35">
      <c r="A129" t="s">
        <v>2009</v>
      </c>
      <c r="B129" t="s">
        <v>15</v>
      </c>
      <c r="C129" t="s">
        <v>946</v>
      </c>
      <c r="D129" t="s">
        <v>15</v>
      </c>
      <c r="F129" t="s">
        <v>351</v>
      </c>
      <c r="G129" t="s">
        <v>2011</v>
      </c>
      <c r="H129" s="10">
        <v>6384</v>
      </c>
      <c r="I129" s="2">
        <v>266</v>
      </c>
      <c r="J129">
        <v>0</v>
      </c>
      <c r="K129" t="s">
        <v>1706</v>
      </c>
    </row>
    <row r="130" spans="1:11" x14ac:dyDescent="0.35">
      <c r="A130" t="s">
        <v>2009</v>
      </c>
      <c r="B130" t="s">
        <v>15</v>
      </c>
      <c r="C130" t="s">
        <v>946</v>
      </c>
      <c r="D130" t="s">
        <v>15</v>
      </c>
      <c r="F130" t="s">
        <v>560</v>
      </c>
      <c r="G130" t="s">
        <v>2011</v>
      </c>
      <c r="H130" s="10">
        <v>96925</v>
      </c>
      <c r="I130" s="2">
        <v>65</v>
      </c>
      <c r="J130">
        <v>0</v>
      </c>
      <c r="K130" t="s">
        <v>1706</v>
      </c>
    </row>
    <row r="131" spans="1:11" x14ac:dyDescent="0.35">
      <c r="A131" t="s">
        <v>2009</v>
      </c>
      <c r="B131" t="s">
        <v>15</v>
      </c>
      <c r="C131" t="s">
        <v>946</v>
      </c>
      <c r="D131" t="s">
        <v>2014</v>
      </c>
      <c r="F131" t="s">
        <v>560</v>
      </c>
      <c r="G131" t="s">
        <v>2011</v>
      </c>
      <c r="H131" s="10">
        <v>1775</v>
      </c>
      <c r="I131" s="2">
        <v>1</v>
      </c>
      <c r="J131">
        <v>0</v>
      </c>
      <c r="K131" t="s">
        <v>1706</v>
      </c>
    </row>
    <row r="132" spans="1:11" x14ac:dyDescent="0.35">
      <c r="A132" t="s">
        <v>2009</v>
      </c>
      <c r="B132" t="s">
        <v>15</v>
      </c>
      <c r="C132" t="s">
        <v>946</v>
      </c>
      <c r="D132" t="s">
        <v>15</v>
      </c>
      <c r="F132" t="s">
        <v>499</v>
      </c>
      <c r="G132" t="s">
        <v>2011</v>
      </c>
      <c r="H132" s="10">
        <v>72.5</v>
      </c>
      <c r="I132" s="2">
        <v>5</v>
      </c>
      <c r="J132">
        <v>0</v>
      </c>
      <c r="K132" t="s">
        <v>1706</v>
      </c>
    </row>
    <row r="133" spans="1:11" x14ac:dyDescent="0.35">
      <c r="A133" t="s">
        <v>2009</v>
      </c>
      <c r="B133" t="s">
        <v>15</v>
      </c>
      <c r="C133" t="s">
        <v>946</v>
      </c>
      <c r="D133" t="s">
        <v>15</v>
      </c>
      <c r="E133" t="s">
        <v>924</v>
      </c>
      <c r="F133" t="s">
        <v>361</v>
      </c>
      <c r="G133" t="s">
        <v>2011</v>
      </c>
      <c r="H133" s="10">
        <v>34221</v>
      </c>
      <c r="I133" s="2">
        <v>3919</v>
      </c>
      <c r="J133">
        <v>0</v>
      </c>
      <c r="K133" t="s">
        <v>1706</v>
      </c>
    </row>
    <row r="134" spans="1:11" x14ac:dyDescent="0.35">
      <c r="A134" t="s">
        <v>2009</v>
      </c>
      <c r="B134" t="s">
        <v>15</v>
      </c>
      <c r="C134" t="s">
        <v>946</v>
      </c>
      <c r="D134" t="s">
        <v>1008</v>
      </c>
      <c r="E134" t="s">
        <v>936</v>
      </c>
      <c r="F134" t="s">
        <v>357</v>
      </c>
      <c r="G134" t="s">
        <v>2011</v>
      </c>
      <c r="H134" s="10">
        <v>65</v>
      </c>
      <c r="I134" s="2">
        <v>1</v>
      </c>
      <c r="J134">
        <v>0</v>
      </c>
      <c r="K134" t="s">
        <v>1706</v>
      </c>
    </row>
    <row r="135" spans="1:11" x14ac:dyDescent="0.35">
      <c r="A135" t="s">
        <v>2009</v>
      </c>
      <c r="B135" t="s">
        <v>15</v>
      </c>
      <c r="C135" t="s">
        <v>946</v>
      </c>
      <c r="D135" t="s">
        <v>2014</v>
      </c>
      <c r="E135" t="s">
        <v>924</v>
      </c>
      <c r="F135" t="s">
        <v>361</v>
      </c>
      <c r="G135" t="s">
        <v>2011</v>
      </c>
      <c r="H135" s="10">
        <v>1303</v>
      </c>
      <c r="I135" s="2">
        <v>149</v>
      </c>
      <c r="J135">
        <v>0</v>
      </c>
      <c r="K135" t="s">
        <v>1706</v>
      </c>
    </row>
    <row r="136" spans="1:11" x14ac:dyDescent="0.35">
      <c r="A136" t="s">
        <v>2009</v>
      </c>
      <c r="B136" t="s">
        <v>15</v>
      </c>
      <c r="C136" t="s">
        <v>946</v>
      </c>
      <c r="D136" t="s">
        <v>15</v>
      </c>
      <c r="F136" t="s">
        <v>346</v>
      </c>
      <c r="G136" t="s">
        <v>2011</v>
      </c>
      <c r="H136" s="10">
        <v>63778.05</v>
      </c>
      <c r="I136" s="2">
        <v>10719</v>
      </c>
      <c r="J136">
        <v>0</v>
      </c>
      <c r="K136" t="s">
        <v>1706</v>
      </c>
    </row>
    <row r="137" spans="1:11" x14ac:dyDescent="0.35">
      <c r="A137" t="s">
        <v>2009</v>
      </c>
      <c r="B137" t="s">
        <v>15</v>
      </c>
      <c r="C137" t="s">
        <v>946</v>
      </c>
      <c r="D137" t="s">
        <v>2014</v>
      </c>
      <c r="E137" t="s">
        <v>936</v>
      </c>
      <c r="F137" t="s">
        <v>357</v>
      </c>
      <c r="G137" t="s">
        <v>2011</v>
      </c>
      <c r="H137" s="10">
        <v>7475</v>
      </c>
      <c r="I137" s="2">
        <v>115</v>
      </c>
      <c r="J137">
        <v>0</v>
      </c>
      <c r="K137" t="s">
        <v>1706</v>
      </c>
    </row>
    <row r="138" spans="1:11" x14ac:dyDescent="0.35">
      <c r="A138" t="s">
        <v>2009</v>
      </c>
      <c r="B138" t="s">
        <v>15</v>
      </c>
      <c r="C138" t="s">
        <v>946</v>
      </c>
      <c r="D138" t="s">
        <v>15</v>
      </c>
      <c r="F138" t="s">
        <v>1417</v>
      </c>
      <c r="G138" t="s">
        <v>2011</v>
      </c>
      <c r="H138" s="10">
        <v>1635.25</v>
      </c>
      <c r="I138" s="2">
        <v>211</v>
      </c>
      <c r="J138">
        <v>0</v>
      </c>
      <c r="K138" t="s">
        <v>1706</v>
      </c>
    </row>
    <row r="139" spans="1:11" x14ac:dyDescent="0.35">
      <c r="A139" t="s">
        <v>2009</v>
      </c>
      <c r="B139" t="s">
        <v>15</v>
      </c>
      <c r="C139" t="s">
        <v>946</v>
      </c>
      <c r="D139" t="s">
        <v>1008</v>
      </c>
      <c r="E139" t="s">
        <v>936</v>
      </c>
      <c r="F139" t="s">
        <v>363</v>
      </c>
      <c r="G139" t="s">
        <v>2011</v>
      </c>
      <c r="H139" s="10">
        <v>95</v>
      </c>
      <c r="I139" s="2">
        <v>4</v>
      </c>
      <c r="J139">
        <v>0</v>
      </c>
      <c r="K139" t="s">
        <v>1706</v>
      </c>
    </row>
    <row r="140" spans="1:11" x14ac:dyDescent="0.35">
      <c r="A140" t="s">
        <v>2009</v>
      </c>
      <c r="B140" t="s">
        <v>15</v>
      </c>
      <c r="C140" t="s">
        <v>946</v>
      </c>
      <c r="D140" t="s">
        <v>15</v>
      </c>
      <c r="E140" t="s">
        <v>923</v>
      </c>
      <c r="F140" t="s">
        <v>386</v>
      </c>
      <c r="G140" t="s">
        <v>2011</v>
      </c>
      <c r="H140" s="10">
        <v>256.25</v>
      </c>
      <c r="I140" s="2">
        <v>41</v>
      </c>
      <c r="J140">
        <v>0</v>
      </c>
      <c r="K140" t="s">
        <v>1706</v>
      </c>
    </row>
    <row r="141" spans="1:11" x14ac:dyDescent="0.35">
      <c r="A141" t="s">
        <v>2009</v>
      </c>
      <c r="B141" t="s">
        <v>15</v>
      </c>
      <c r="C141" t="s">
        <v>946</v>
      </c>
      <c r="D141" t="s">
        <v>2014</v>
      </c>
      <c r="E141" t="s">
        <v>923</v>
      </c>
      <c r="F141" t="s">
        <v>363</v>
      </c>
      <c r="G141" t="s">
        <v>2011</v>
      </c>
      <c r="H141" s="10">
        <v>282.75</v>
      </c>
      <c r="I141" s="2">
        <v>13</v>
      </c>
      <c r="J141">
        <v>0</v>
      </c>
      <c r="K141" t="s">
        <v>1706</v>
      </c>
    </row>
    <row r="142" spans="1:11" x14ac:dyDescent="0.35">
      <c r="A142" t="s">
        <v>2009</v>
      </c>
      <c r="B142" t="s">
        <v>15</v>
      </c>
      <c r="C142" t="s">
        <v>946</v>
      </c>
      <c r="D142" t="s">
        <v>15</v>
      </c>
      <c r="F142" t="s">
        <v>374</v>
      </c>
      <c r="G142" t="s">
        <v>2011</v>
      </c>
      <c r="H142" s="10">
        <v>15</v>
      </c>
      <c r="I142" s="2">
        <v>5</v>
      </c>
      <c r="J142">
        <v>0</v>
      </c>
      <c r="K142" t="s">
        <v>1706</v>
      </c>
    </row>
    <row r="143" spans="1:11" x14ac:dyDescent="0.35">
      <c r="A143" t="s">
        <v>2009</v>
      </c>
      <c r="B143" t="s">
        <v>15</v>
      </c>
      <c r="C143" t="s">
        <v>946</v>
      </c>
      <c r="D143" t="s">
        <v>2014</v>
      </c>
      <c r="F143" t="s">
        <v>565</v>
      </c>
      <c r="G143" t="s">
        <v>2011</v>
      </c>
      <c r="H143" s="10">
        <v>187.8</v>
      </c>
      <c r="I143" s="2">
        <v>342</v>
      </c>
      <c r="J143">
        <v>0</v>
      </c>
      <c r="K143" t="s">
        <v>1706</v>
      </c>
    </row>
    <row r="144" spans="1:11" x14ac:dyDescent="0.35">
      <c r="A144" t="s">
        <v>2009</v>
      </c>
      <c r="B144" t="s">
        <v>15</v>
      </c>
      <c r="C144" t="s">
        <v>946</v>
      </c>
      <c r="D144" t="s">
        <v>15</v>
      </c>
      <c r="F144" t="s">
        <v>405</v>
      </c>
      <c r="G144" t="s">
        <v>2011</v>
      </c>
      <c r="H144" s="10">
        <v>12043.3</v>
      </c>
      <c r="I144" s="2">
        <v>1451</v>
      </c>
      <c r="J144">
        <v>0</v>
      </c>
      <c r="K144" t="s">
        <v>1706</v>
      </c>
    </row>
    <row r="145" spans="1:11" x14ac:dyDescent="0.35">
      <c r="A145" t="s">
        <v>2009</v>
      </c>
      <c r="B145" t="s">
        <v>15</v>
      </c>
      <c r="C145" t="s">
        <v>946</v>
      </c>
      <c r="D145" t="s">
        <v>15</v>
      </c>
      <c r="F145" t="s">
        <v>404</v>
      </c>
      <c r="G145" t="s">
        <v>2011</v>
      </c>
      <c r="H145" s="10">
        <v>387</v>
      </c>
      <c r="I145" s="2">
        <v>9</v>
      </c>
      <c r="J145">
        <v>0</v>
      </c>
      <c r="K145" t="s">
        <v>1706</v>
      </c>
    </row>
    <row r="146" spans="1:11" x14ac:dyDescent="0.35">
      <c r="A146" t="s">
        <v>2009</v>
      </c>
      <c r="B146" t="s">
        <v>15</v>
      </c>
      <c r="C146" t="s">
        <v>946</v>
      </c>
      <c r="D146" t="s">
        <v>2014</v>
      </c>
      <c r="F146" t="s">
        <v>1416</v>
      </c>
      <c r="G146" t="s">
        <v>2011</v>
      </c>
      <c r="H146" s="10">
        <v>224.75</v>
      </c>
      <c r="I146" s="2">
        <v>29</v>
      </c>
      <c r="J146">
        <v>0</v>
      </c>
      <c r="K146" t="s">
        <v>1706</v>
      </c>
    </row>
    <row r="147" spans="1:11" x14ac:dyDescent="0.35">
      <c r="A147" t="s">
        <v>2009</v>
      </c>
      <c r="B147" t="s">
        <v>15</v>
      </c>
      <c r="C147" t="s">
        <v>946</v>
      </c>
      <c r="D147" t="s">
        <v>2014</v>
      </c>
      <c r="E147" t="s">
        <v>936</v>
      </c>
      <c r="F147" t="s">
        <v>361</v>
      </c>
      <c r="G147" t="s">
        <v>2011</v>
      </c>
      <c r="H147" s="10">
        <v>3045.75</v>
      </c>
      <c r="I147" s="2">
        <v>393</v>
      </c>
      <c r="J147">
        <v>0</v>
      </c>
      <c r="K147" t="s">
        <v>1706</v>
      </c>
    </row>
    <row r="148" spans="1:11" x14ac:dyDescent="0.35">
      <c r="A148" t="s">
        <v>2009</v>
      </c>
      <c r="B148" t="s">
        <v>15</v>
      </c>
      <c r="C148" t="s">
        <v>946</v>
      </c>
      <c r="D148" t="s">
        <v>15</v>
      </c>
      <c r="F148" t="s">
        <v>598</v>
      </c>
      <c r="G148" t="s">
        <v>2011</v>
      </c>
      <c r="H148" s="10">
        <v>21.45</v>
      </c>
      <c r="I148" s="2">
        <v>3</v>
      </c>
      <c r="J148">
        <v>0</v>
      </c>
      <c r="K148" t="s">
        <v>1706</v>
      </c>
    </row>
    <row r="149" spans="1:11" x14ac:dyDescent="0.35">
      <c r="A149" t="s">
        <v>2009</v>
      </c>
      <c r="B149" t="s">
        <v>15</v>
      </c>
      <c r="C149" t="s">
        <v>946</v>
      </c>
      <c r="D149" t="s">
        <v>2014</v>
      </c>
      <c r="F149" t="s">
        <v>389</v>
      </c>
      <c r="G149" t="s">
        <v>2011</v>
      </c>
      <c r="H149" s="10">
        <v>962.8</v>
      </c>
      <c r="I149" s="2">
        <v>232</v>
      </c>
      <c r="J149">
        <v>0</v>
      </c>
      <c r="K149" t="s">
        <v>1706</v>
      </c>
    </row>
    <row r="150" spans="1:11" x14ac:dyDescent="0.35">
      <c r="A150" t="s">
        <v>2009</v>
      </c>
      <c r="B150" t="s">
        <v>15</v>
      </c>
      <c r="C150" t="s">
        <v>946</v>
      </c>
      <c r="D150" t="s">
        <v>1008</v>
      </c>
      <c r="F150" t="s">
        <v>420</v>
      </c>
      <c r="G150" t="s">
        <v>2011</v>
      </c>
      <c r="H150" s="10">
        <v>45</v>
      </c>
      <c r="I150" s="2">
        <v>1</v>
      </c>
      <c r="J150">
        <v>0</v>
      </c>
      <c r="K150" t="s">
        <v>1706</v>
      </c>
    </row>
    <row r="151" spans="1:11" x14ac:dyDescent="0.35">
      <c r="A151" t="s">
        <v>2009</v>
      </c>
      <c r="B151" t="s">
        <v>15</v>
      </c>
      <c r="C151" t="s">
        <v>946</v>
      </c>
      <c r="D151" t="s">
        <v>1008</v>
      </c>
      <c r="E151" t="s">
        <v>924</v>
      </c>
      <c r="F151" t="s">
        <v>361</v>
      </c>
      <c r="G151" t="s">
        <v>2011</v>
      </c>
      <c r="H151" s="10">
        <v>17.5</v>
      </c>
      <c r="I151" s="2">
        <v>2</v>
      </c>
      <c r="J151">
        <v>0</v>
      </c>
      <c r="K151" t="s">
        <v>1706</v>
      </c>
    </row>
    <row r="152" spans="1:11" x14ac:dyDescent="0.35">
      <c r="A152" t="s">
        <v>2009</v>
      </c>
      <c r="B152" t="s">
        <v>15</v>
      </c>
      <c r="C152" t="s">
        <v>946</v>
      </c>
      <c r="D152" t="s">
        <v>2014</v>
      </c>
      <c r="F152" t="s">
        <v>351</v>
      </c>
      <c r="G152" t="s">
        <v>2011</v>
      </c>
      <c r="H152" s="10">
        <v>3816</v>
      </c>
      <c r="I152" s="2">
        <v>159</v>
      </c>
      <c r="J152">
        <v>0</v>
      </c>
      <c r="K152" t="s">
        <v>1706</v>
      </c>
    </row>
    <row r="153" spans="1:11" x14ac:dyDescent="0.35">
      <c r="A153" t="s">
        <v>2009</v>
      </c>
      <c r="B153" t="s">
        <v>15</v>
      </c>
      <c r="C153" t="s">
        <v>946</v>
      </c>
      <c r="D153" t="s">
        <v>15</v>
      </c>
      <c r="F153" t="s">
        <v>471</v>
      </c>
      <c r="G153" t="s">
        <v>2011</v>
      </c>
      <c r="H153" s="10">
        <v>236.5</v>
      </c>
      <c r="I153" s="2">
        <v>3</v>
      </c>
      <c r="J153">
        <v>0</v>
      </c>
      <c r="K153" t="s">
        <v>1706</v>
      </c>
    </row>
    <row r="154" spans="1:11" x14ac:dyDescent="0.35">
      <c r="A154" t="s">
        <v>2009</v>
      </c>
      <c r="B154" t="s">
        <v>15</v>
      </c>
      <c r="C154" t="s">
        <v>946</v>
      </c>
      <c r="D154" t="s">
        <v>15</v>
      </c>
      <c r="F154" t="s">
        <v>561</v>
      </c>
      <c r="G154" t="s">
        <v>2011</v>
      </c>
      <c r="H154" s="10">
        <v>19645.16</v>
      </c>
      <c r="I154" s="2">
        <v>3354</v>
      </c>
      <c r="J154">
        <v>0</v>
      </c>
      <c r="K154" t="s">
        <v>1706</v>
      </c>
    </row>
    <row r="155" spans="1:11" x14ac:dyDescent="0.35">
      <c r="A155" t="s">
        <v>2009</v>
      </c>
      <c r="B155" t="s">
        <v>15</v>
      </c>
      <c r="C155" t="s">
        <v>946</v>
      </c>
      <c r="D155" t="s">
        <v>15</v>
      </c>
      <c r="E155" t="s">
        <v>923</v>
      </c>
      <c r="F155" t="s">
        <v>357</v>
      </c>
      <c r="G155" t="s">
        <v>2011</v>
      </c>
      <c r="H155" s="10">
        <v>2825</v>
      </c>
      <c r="I155" s="2">
        <v>50</v>
      </c>
      <c r="J155">
        <v>0</v>
      </c>
      <c r="K155" t="s">
        <v>1706</v>
      </c>
    </row>
    <row r="156" spans="1:11" x14ac:dyDescent="0.35">
      <c r="A156" t="s">
        <v>2009</v>
      </c>
      <c r="B156" t="s">
        <v>15</v>
      </c>
      <c r="C156" t="s">
        <v>946</v>
      </c>
      <c r="D156" t="s">
        <v>2014</v>
      </c>
      <c r="F156" t="s">
        <v>398</v>
      </c>
      <c r="G156" t="s">
        <v>2011</v>
      </c>
      <c r="H156" s="10">
        <v>6174.56</v>
      </c>
      <c r="I156" s="2">
        <v>2072</v>
      </c>
      <c r="J156">
        <v>0</v>
      </c>
      <c r="K156" t="s">
        <v>1706</v>
      </c>
    </row>
    <row r="157" spans="1:11" x14ac:dyDescent="0.35">
      <c r="A157" t="s">
        <v>2009</v>
      </c>
      <c r="B157" t="s">
        <v>15</v>
      </c>
      <c r="C157" t="s">
        <v>946</v>
      </c>
      <c r="D157" t="s">
        <v>1008</v>
      </c>
      <c r="E157" t="s">
        <v>923</v>
      </c>
      <c r="F157" t="s">
        <v>363</v>
      </c>
      <c r="G157" t="s">
        <v>2011</v>
      </c>
      <c r="H157" s="10">
        <v>21.75</v>
      </c>
      <c r="I157" s="2">
        <v>1</v>
      </c>
      <c r="J157">
        <v>0</v>
      </c>
      <c r="K157" t="s">
        <v>1706</v>
      </c>
    </row>
    <row r="158" spans="1:11" x14ac:dyDescent="0.35">
      <c r="A158" t="s">
        <v>2009</v>
      </c>
      <c r="B158" t="s">
        <v>15</v>
      </c>
      <c r="C158" t="s">
        <v>946</v>
      </c>
      <c r="D158" t="s">
        <v>15</v>
      </c>
      <c r="E158" t="s">
        <v>936</v>
      </c>
      <c r="F158" t="s">
        <v>361</v>
      </c>
      <c r="G158" t="s">
        <v>2011</v>
      </c>
      <c r="H158" s="10">
        <v>16693.5</v>
      </c>
      <c r="I158" s="2">
        <v>2154</v>
      </c>
      <c r="J158">
        <v>0</v>
      </c>
      <c r="K158" t="s">
        <v>1706</v>
      </c>
    </row>
    <row r="159" spans="1:11" x14ac:dyDescent="0.35">
      <c r="A159" t="s">
        <v>2009</v>
      </c>
      <c r="B159" t="s">
        <v>15</v>
      </c>
      <c r="C159" t="s">
        <v>946</v>
      </c>
      <c r="D159" t="s">
        <v>2014</v>
      </c>
      <c r="E159" t="s">
        <v>937</v>
      </c>
      <c r="F159" t="s">
        <v>361</v>
      </c>
      <c r="G159" t="s">
        <v>2011</v>
      </c>
      <c r="H159" s="10">
        <v>1111.5</v>
      </c>
      <c r="I159" s="2">
        <v>117</v>
      </c>
      <c r="J159">
        <v>0</v>
      </c>
      <c r="K159" t="s">
        <v>1706</v>
      </c>
    </row>
    <row r="160" spans="1:11" x14ac:dyDescent="0.35">
      <c r="A160" t="s">
        <v>2009</v>
      </c>
      <c r="B160" t="s">
        <v>15</v>
      </c>
      <c r="C160" t="s">
        <v>946</v>
      </c>
      <c r="D160" t="s">
        <v>15</v>
      </c>
      <c r="F160" t="s">
        <v>350</v>
      </c>
      <c r="G160" t="s">
        <v>2011</v>
      </c>
      <c r="H160" s="10">
        <v>273662.02</v>
      </c>
      <c r="I160" s="2">
        <v>61322</v>
      </c>
      <c r="J160">
        <v>0</v>
      </c>
      <c r="K160" t="s">
        <v>1706</v>
      </c>
    </row>
    <row r="161" spans="1:11" x14ac:dyDescent="0.35">
      <c r="A161" t="s">
        <v>2009</v>
      </c>
      <c r="B161" t="s">
        <v>15</v>
      </c>
      <c r="C161" t="s">
        <v>946</v>
      </c>
      <c r="D161" t="s">
        <v>2014</v>
      </c>
      <c r="F161" t="s">
        <v>368</v>
      </c>
      <c r="G161" t="s">
        <v>2011</v>
      </c>
      <c r="H161" s="10">
        <v>96</v>
      </c>
      <c r="I161" s="2">
        <v>4</v>
      </c>
      <c r="J161">
        <v>0</v>
      </c>
      <c r="K161" t="s">
        <v>1706</v>
      </c>
    </row>
    <row r="162" spans="1:11" x14ac:dyDescent="0.35">
      <c r="A162" t="s">
        <v>2009</v>
      </c>
      <c r="B162" t="s">
        <v>15</v>
      </c>
      <c r="C162" t="s">
        <v>946</v>
      </c>
      <c r="D162" t="s">
        <v>2014</v>
      </c>
      <c r="E162" t="s">
        <v>923</v>
      </c>
      <c r="F162" t="s">
        <v>357</v>
      </c>
      <c r="G162" t="s">
        <v>2011</v>
      </c>
      <c r="H162" s="10">
        <v>1200</v>
      </c>
      <c r="I162" s="2">
        <v>20</v>
      </c>
      <c r="J162">
        <v>0</v>
      </c>
      <c r="K162" t="s">
        <v>1706</v>
      </c>
    </row>
    <row r="163" spans="1:11" x14ac:dyDescent="0.35">
      <c r="A163" t="s">
        <v>2009</v>
      </c>
      <c r="B163" t="s">
        <v>15</v>
      </c>
      <c r="C163" t="s">
        <v>946</v>
      </c>
      <c r="D163" t="s">
        <v>1008</v>
      </c>
      <c r="F163" t="s">
        <v>407</v>
      </c>
      <c r="G163" t="s">
        <v>2011</v>
      </c>
      <c r="H163" s="10">
        <v>25.2</v>
      </c>
      <c r="I163" s="2">
        <v>24</v>
      </c>
      <c r="J163">
        <v>0</v>
      </c>
      <c r="K163" t="s">
        <v>1706</v>
      </c>
    </row>
    <row r="164" spans="1:11" x14ac:dyDescent="0.35">
      <c r="A164" t="s">
        <v>2009</v>
      </c>
      <c r="B164" t="s">
        <v>15</v>
      </c>
      <c r="C164" t="s">
        <v>946</v>
      </c>
      <c r="D164" t="s">
        <v>2014</v>
      </c>
      <c r="F164" t="s">
        <v>350</v>
      </c>
      <c r="G164" t="s">
        <v>2011</v>
      </c>
      <c r="H164" s="10">
        <v>15105.38</v>
      </c>
      <c r="I164" s="2">
        <v>2224</v>
      </c>
      <c r="J164">
        <v>0</v>
      </c>
      <c r="K164" t="s">
        <v>1706</v>
      </c>
    </row>
    <row r="165" spans="1:11" x14ac:dyDescent="0.35">
      <c r="A165" t="s">
        <v>2009</v>
      </c>
      <c r="B165" t="s">
        <v>15</v>
      </c>
      <c r="C165" t="s">
        <v>946</v>
      </c>
      <c r="D165" t="s">
        <v>2014</v>
      </c>
      <c r="E165" t="s">
        <v>924</v>
      </c>
      <c r="F165" t="s">
        <v>363</v>
      </c>
      <c r="G165" t="s">
        <v>2011</v>
      </c>
      <c r="H165" s="10">
        <v>1460.72</v>
      </c>
      <c r="I165" s="2">
        <v>57</v>
      </c>
      <c r="J165">
        <v>0</v>
      </c>
      <c r="K165" t="s">
        <v>1706</v>
      </c>
    </row>
    <row r="166" spans="1:11" x14ac:dyDescent="0.35">
      <c r="A166" t="s">
        <v>2009</v>
      </c>
      <c r="B166" t="s">
        <v>15</v>
      </c>
      <c r="C166" t="s">
        <v>946</v>
      </c>
      <c r="D166" t="s">
        <v>15</v>
      </c>
      <c r="F166" t="s">
        <v>357</v>
      </c>
      <c r="G166" t="s">
        <v>2011</v>
      </c>
      <c r="H166" s="10">
        <v>65</v>
      </c>
      <c r="I166" s="2">
        <v>1</v>
      </c>
      <c r="J166">
        <v>0</v>
      </c>
      <c r="K166" t="s">
        <v>1706</v>
      </c>
    </row>
    <row r="167" spans="1:11" x14ac:dyDescent="0.35">
      <c r="A167" t="s">
        <v>2009</v>
      </c>
      <c r="B167" t="s">
        <v>15</v>
      </c>
      <c r="C167" t="s">
        <v>946</v>
      </c>
      <c r="D167" t="s">
        <v>15</v>
      </c>
      <c r="F167" t="s">
        <v>564</v>
      </c>
      <c r="G167" t="s">
        <v>2011</v>
      </c>
      <c r="H167" s="10">
        <v>8985</v>
      </c>
      <c r="I167" s="2">
        <v>18</v>
      </c>
      <c r="J167">
        <v>0</v>
      </c>
      <c r="K167" t="s">
        <v>1706</v>
      </c>
    </row>
    <row r="168" spans="1:11" x14ac:dyDescent="0.35">
      <c r="A168" t="s">
        <v>2009</v>
      </c>
      <c r="B168" t="s">
        <v>15</v>
      </c>
      <c r="C168" t="s">
        <v>946</v>
      </c>
      <c r="D168" t="s">
        <v>2014</v>
      </c>
      <c r="E168" t="s">
        <v>936</v>
      </c>
      <c r="F168" t="s">
        <v>363</v>
      </c>
      <c r="G168" t="s">
        <v>2011</v>
      </c>
      <c r="H168" s="10">
        <v>2707.5</v>
      </c>
      <c r="I168" s="2">
        <v>114</v>
      </c>
      <c r="J168">
        <v>0</v>
      </c>
      <c r="K168" t="s">
        <v>1706</v>
      </c>
    </row>
    <row r="169" spans="1:11" x14ac:dyDescent="0.35">
      <c r="A169" t="s">
        <v>2009</v>
      </c>
      <c r="B169" t="s">
        <v>15</v>
      </c>
      <c r="C169" t="s">
        <v>946</v>
      </c>
      <c r="D169" t="s">
        <v>1008</v>
      </c>
      <c r="E169" t="s">
        <v>924</v>
      </c>
      <c r="F169" t="s">
        <v>357</v>
      </c>
      <c r="G169" t="s">
        <v>2011</v>
      </c>
      <c r="H169" s="10">
        <v>134.38</v>
      </c>
      <c r="I169" s="2">
        <v>2</v>
      </c>
      <c r="J169">
        <v>0</v>
      </c>
      <c r="K169" t="s">
        <v>1706</v>
      </c>
    </row>
    <row r="170" spans="1:11" x14ac:dyDescent="0.35">
      <c r="A170" t="s">
        <v>2009</v>
      </c>
      <c r="B170" t="s">
        <v>15</v>
      </c>
      <c r="C170" t="s">
        <v>946</v>
      </c>
      <c r="D170" t="s">
        <v>15</v>
      </c>
      <c r="F170" t="s">
        <v>367</v>
      </c>
      <c r="G170" t="s">
        <v>2011</v>
      </c>
      <c r="H170" s="10">
        <v>1716</v>
      </c>
      <c r="I170" s="2">
        <v>80</v>
      </c>
      <c r="J170">
        <v>0</v>
      </c>
      <c r="K170" t="s">
        <v>1706</v>
      </c>
    </row>
    <row r="171" spans="1:11" x14ac:dyDescent="0.35">
      <c r="A171" t="s">
        <v>2009</v>
      </c>
      <c r="B171" t="s">
        <v>15</v>
      </c>
      <c r="C171" t="s">
        <v>946</v>
      </c>
      <c r="D171" t="s">
        <v>1008</v>
      </c>
      <c r="F171" t="s">
        <v>387</v>
      </c>
      <c r="G171" t="s">
        <v>2011</v>
      </c>
      <c r="H171" s="10">
        <v>48.3</v>
      </c>
      <c r="I171" s="2">
        <v>23</v>
      </c>
      <c r="J171">
        <v>0</v>
      </c>
      <c r="K171" t="s">
        <v>1706</v>
      </c>
    </row>
    <row r="172" spans="1:11" x14ac:dyDescent="0.35">
      <c r="A172" t="s">
        <v>2009</v>
      </c>
      <c r="B172" t="s">
        <v>15</v>
      </c>
      <c r="C172" t="s">
        <v>946</v>
      </c>
      <c r="D172" t="s">
        <v>15</v>
      </c>
      <c r="F172" t="s">
        <v>2068</v>
      </c>
      <c r="G172" t="s">
        <v>2011</v>
      </c>
      <c r="H172" s="10">
        <v>16.5</v>
      </c>
      <c r="I172" s="2">
        <v>1</v>
      </c>
      <c r="J172">
        <v>0</v>
      </c>
      <c r="K172" t="s">
        <v>1706</v>
      </c>
    </row>
    <row r="173" spans="1:11" x14ac:dyDescent="0.35">
      <c r="A173" t="s">
        <v>2009</v>
      </c>
      <c r="B173" t="s">
        <v>15</v>
      </c>
      <c r="C173" t="s">
        <v>946</v>
      </c>
      <c r="D173" t="s">
        <v>2014</v>
      </c>
      <c r="E173" t="s">
        <v>923</v>
      </c>
      <c r="F173" t="s">
        <v>361</v>
      </c>
      <c r="G173" t="s">
        <v>2011</v>
      </c>
      <c r="H173" s="10">
        <v>147</v>
      </c>
      <c r="I173" s="2">
        <v>21</v>
      </c>
      <c r="J173">
        <v>0</v>
      </c>
      <c r="K173" t="s">
        <v>1706</v>
      </c>
    </row>
    <row r="174" spans="1:11" x14ac:dyDescent="0.35">
      <c r="A174" t="s">
        <v>2009</v>
      </c>
      <c r="B174" t="s">
        <v>15</v>
      </c>
      <c r="C174" t="s">
        <v>946</v>
      </c>
      <c r="D174" t="s">
        <v>1008</v>
      </c>
      <c r="E174" t="s">
        <v>924</v>
      </c>
      <c r="F174" t="s">
        <v>363</v>
      </c>
      <c r="G174" t="s">
        <v>2011</v>
      </c>
      <c r="H174" s="10">
        <v>51.63</v>
      </c>
      <c r="I174" s="2">
        <v>2</v>
      </c>
      <c r="J174">
        <v>0</v>
      </c>
      <c r="K174" t="s">
        <v>1706</v>
      </c>
    </row>
    <row r="175" spans="1:11" x14ac:dyDescent="0.35">
      <c r="A175" t="s">
        <v>2009</v>
      </c>
      <c r="B175" t="s">
        <v>15</v>
      </c>
      <c r="C175" t="s">
        <v>946</v>
      </c>
      <c r="D175" t="s">
        <v>15</v>
      </c>
      <c r="E175" t="s">
        <v>937</v>
      </c>
      <c r="F175" t="s">
        <v>363</v>
      </c>
      <c r="G175" t="s">
        <v>2011</v>
      </c>
      <c r="H175" s="10">
        <v>14052.5</v>
      </c>
      <c r="I175" s="2">
        <v>511</v>
      </c>
      <c r="J175">
        <v>0</v>
      </c>
      <c r="K175" t="s">
        <v>1706</v>
      </c>
    </row>
    <row r="176" spans="1:11" x14ac:dyDescent="0.35">
      <c r="A176" t="s">
        <v>2009</v>
      </c>
      <c r="B176" t="s">
        <v>15</v>
      </c>
      <c r="C176" t="s">
        <v>946</v>
      </c>
      <c r="D176" t="s">
        <v>2014</v>
      </c>
      <c r="E176" t="s">
        <v>937</v>
      </c>
      <c r="F176" t="s">
        <v>386</v>
      </c>
      <c r="G176" t="s">
        <v>2011</v>
      </c>
      <c r="H176" s="10">
        <v>7.88</v>
      </c>
      <c r="I176" s="2">
        <v>1</v>
      </c>
      <c r="J176">
        <v>0</v>
      </c>
      <c r="K176" t="s">
        <v>1706</v>
      </c>
    </row>
    <row r="177" spans="1:11" x14ac:dyDescent="0.35">
      <c r="A177" t="s">
        <v>2009</v>
      </c>
      <c r="B177" t="s">
        <v>15</v>
      </c>
      <c r="C177" t="s">
        <v>946</v>
      </c>
      <c r="D177" t="s">
        <v>1008</v>
      </c>
      <c r="F177" t="s">
        <v>561</v>
      </c>
      <c r="G177" t="s">
        <v>2011</v>
      </c>
      <c r="H177" s="10">
        <v>10.72</v>
      </c>
      <c r="I177" s="2">
        <v>2</v>
      </c>
      <c r="J177">
        <v>0</v>
      </c>
      <c r="K177" t="s">
        <v>1706</v>
      </c>
    </row>
    <row r="178" spans="1:11" x14ac:dyDescent="0.35">
      <c r="A178" t="s">
        <v>2009</v>
      </c>
      <c r="B178" t="s">
        <v>15</v>
      </c>
      <c r="C178" t="s">
        <v>946</v>
      </c>
      <c r="D178" t="s">
        <v>15</v>
      </c>
      <c r="F178" t="s">
        <v>565</v>
      </c>
      <c r="G178" t="s">
        <v>2011</v>
      </c>
      <c r="H178" s="10">
        <v>912.65</v>
      </c>
      <c r="I178" s="2">
        <v>1811</v>
      </c>
      <c r="J178">
        <v>0</v>
      </c>
      <c r="K178" t="s">
        <v>1706</v>
      </c>
    </row>
    <row r="179" spans="1:11" x14ac:dyDescent="0.35">
      <c r="A179" t="s">
        <v>2009</v>
      </c>
      <c r="B179" t="s">
        <v>15</v>
      </c>
      <c r="C179" t="s">
        <v>946</v>
      </c>
      <c r="D179" t="s">
        <v>15</v>
      </c>
      <c r="E179" t="s">
        <v>937</v>
      </c>
      <c r="F179" t="s">
        <v>361</v>
      </c>
      <c r="G179" t="s">
        <v>2011</v>
      </c>
      <c r="H179" s="10">
        <v>14934</v>
      </c>
      <c r="I179" s="2">
        <v>1572</v>
      </c>
      <c r="J179">
        <v>0</v>
      </c>
      <c r="K179" t="s">
        <v>1706</v>
      </c>
    </row>
    <row r="180" spans="1:11" x14ac:dyDescent="0.35">
      <c r="A180" t="s">
        <v>2009</v>
      </c>
      <c r="B180" t="s">
        <v>15</v>
      </c>
      <c r="C180" t="s">
        <v>946</v>
      </c>
      <c r="D180" t="s">
        <v>2014</v>
      </c>
      <c r="F180" t="s">
        <v>376</v>
      </c>
      <c r="G180" t="s">
        <v>2011</v>
      </c>
      <c r="H180" s="10">
        <v>1568.6</v>
      </c>
      <c r="I180" s="2">
        <v>506</v>
      </c>
      <c r="J180">
        <v>0</v>
      </c>
      <c r="K180" t="s">
        <v>1706</v>
      </c>
    </row>
    <row r="181" spans="1:11" x14ac:dyDescent="0.35">
      <c r="A181" t="s">
        <v>2009</v>
      </c>
      <c r="B181" t="s">
        <v>15</v>
      </c>
      <c r="C181" t="s">
        <v>946</v>
      </c>
      <c r="D181" t="s">
        <v>15</v>
      </c>
      <c r="E181" t="s">
        <v>936</v>
      </c>
      <c r="F181" t="s">
        <v>363</v>
      </c>
      <c r="G181" t="s">
        <v>2011</v>
      </c>
      <c r="H181" s="10">
        <v>42488.75</v>
      </c>
      <c r="I181" s="2">
        <v>1789</v>
      </c>
      <c r="J181">
        <v>0</v>
      </c>
      <c r="K181" t="s">
        <v>1706</v>
      </c>
    </row>
    <row r="182" spans="1:11" x14ac:dyDescent="0.35">
      <c r="A182" t="s">
        <v>2009</v>
      </c>
      <c r="B182" t="s">
        <v>15</v>
      </c>
      <c r="C182" t="s">
        <v>946</v>
      </c>
      <c r="D182" t="s">
        <v>1008</v>
      </c>
      <c r="E182" t="s">
        <v>923</v>
      </c>
      <c r="F182" t="s">
        <v>357</v>
      </c>
      <c r="G182" t="s">
        <v>2011</v>
      </c>
      <c r="H182" s="10">
        <v>51.25</v>
      </c>
      <c r="I182" s="2">
        <v>1</v>
      </c>
      <c r="J182">
        <v>0</v>
      </c>
      <c r="K182" t="s">
        <v>1706</v>
      </c>
    </row>
    <row r="183" spans="1:11" x14ac:dyDescent="0.35">
      <c r="A183" t="s">
        <v>2009</v>
      </c>
      <c r="B183" t="s">
        <v>15</v>
      </c>
      <c r="C183" t="s">
        <v>946</v>
      </c>
      <c r="D183" t="s">
        <v>1008</v>
      </c>
      <c r="F183" t="s">
        <v>399</v>
      </c>
      <c r="G183" t="s">
        <v>2011</v>
      </c>
      <c r="H183" s="10">
        <v>4</v>
      </c>
      <c r="I183" s="2">
        <v>1</v>
      </c>
      <c r="J183">
        <v>0</v>
      </c>
      <c r="K183" t="s">
        <v>1706</v>
      </c>
    </row>
    <row r="184" spans="1:11" x14ac:dyDescent="0.35">
      <c r="A184" t="s">
        <v>2009</v>
      </c>
      <c r="B184" t="s">
        <v>15</v>
      </c>
      <c r="C184" t="s">
        <v>946</v>
      </c>
      <c r="D184" t="s">
        <v>2014</v>
      </c>
      <c r="E184" t="s">
        <v>937</v>
      </c>
      <c r="F184" t="s">
        <v>357</v>
      </c>
      <c r="G184" t="s">
        <v>2011</v>
      </c>
      <c r="H184" s="10">
        <v>1830</v>
      </c>
      <c r="I184" s="2">
        <v>24</v>
      </c>
      <c r="J184">
        <v>0</v>
      </c>
      <c r="K184" t="s">
        <v>1706</v>
      </c>
    </row>
    <row r="185" spans="1:11" x14ac:dyDescent="0.35">
      <c r="A185" t="s">
        <v>2009</v>
      </c>
      <c r="B185" t="s">
        <v>15</v>
      </c>
      <c r="C185" t="s">
        <v>946</v>
      </c>
      <c r="D185" t="s">
        <v>2014</v>
      </c>
      <c r="F185" t="s">
        <v>561</v>
      </c>
      <c r="G185" t="s">
        <v>2011</v>
      </c>
      <c r="H185" s="10">
        <v>1203.31</v>
      </c>
      <c r="I185" s="2">
        <v>199</v>
      </c>
      <c r="J185">
        <v>0</v>
      </c>
      <c r="K185" t="s">
        <v>1706</v>
      </c>
    </row>
    <row r="186" spans="1:11" x14ac:dyDescent="0.35">
      <c r="A186" t="s">
        <v>2009</v>
      </c>
      <c r="B186" t="s">
        <v>15</v>
      </c>
      <c r="C186" t="s">
        <v>946</v>
      </c>
      <c r="D186" t="s">
        <v>15</v>
      </c>
      <c r="F186" t="s">
        <v>2017</v>
      </c>
      <c r="G186" t="s">
        <v>2011</v>
      </c>
      <c r="H186" s="10">
        <v>1033.69</v>
      </c>
      <c r="I186" s="2">
        <v>1150</v>
      </c>
      <c r="J186">
        <v>0</v>
      </c>
      <c r="K186" t="s">
        <v>1706</v>
      </c>
    </row>
    <row r="187" spans="1:11" x14ac:dyDescent="0.35">
      <c r="A187" t="s">
        <v>2009</v>
      </c>
      <c r="B187" t="s">
        <v>15</v>
      </c>
      <c r="C187" t="s">
        <v>946</v>
      </c>
      <c r="D187" t="s">
        <v>15</v>
      </c>
      <c r="E187" t="s">
        <v>923</v>
      </c>
      <c r="F187" t="s">
        <v>361</v>
      </c>
      <c r="G187" t="s">
        <v>2011</v>
      </c>
      <c r="H187" s="10">
        <v>3227</v>
      </c>
      <c r="I187" s="2">
        <v>461</v>
      </c>
      <c r="J187">
        <v>0</v>
      </c>
      <c r="K187" t="s">
        <v>1706</v>
      </c>
    </row>
    <row r="188" spans="1:11" x14ac:dyDescent="0.35">
      <c r="A188" t="s">
        <v>2009</v>
      </c>
      <c r="B188" t="s">
        <v>15</v>
      </c>
      <c r="C188" t="s">
        <v>946</v>
      </c>
      <c r="D188" t="s">
        <v>2014</v>
      </c>
      <c r="E188" t="s">
        <v>924</v>
      </c>
      <c r="F188" t="s">
        <v>357</v>
      </c>
      <c r="G188" t="s">
        <v>2011</v>
      </c>
      <c r="H188" s="10">
        <v>3366.96</v>
      </c>
      <c r="I188" s="2">
        <v>46</v>
      </c>
      <c r="J188">
        <v>0</v>
      </c>
      <c r="K188" t="s">
        <v>1706</v>
      </c>
    </row>
    <row r="189" spans="1:11" x14ac:dyDescent="0.35">
      <c r="A189" t="s">
        <v>2009</v>
      </c>
      <c r="B189" t="s">
        <v>15</v>
      </c>
      <c r="C189" t="s">
        <v>946</v>
      </c>
      <c r="D189" t="s">
        <v>15</v>
      </c>
      <c r="E189" t="s">
        <v>937</v>
      </c>
      <c r="F189" t="s">
        <v>386</v>
      </c>
      <c r="G189" t="s">
        <v>2011</v>
      </c>
      <c r="H189" s="10">
        <v>2332.48</v>
      </c>
      <c r="I189" s="2">
        <v>296</v>
      </c>
      <c r="J189">
        <v>0</v>
      </c>
      <c r="K189" t="s">
        <v>1706</v>
      </c>
    </row>
    <row r="190" spans="1:11" x14ac:dyDescent="0.35">
      <c r="A190" t="s">
        <v>2009</v>
      </c>
      <c r="B190" t="s">
        <v>15</v>
      </c>
      <c r="C190" t="s">
        <v>946</v>
      </c>
      <c r="D190" t="s">
        <v>15</v>
      </c>
      <c r="E190" t="s">
        <v>924</v>
      </c>
      <c r="F190" t="s">
        <v>357</v>
      </c>
      <c r="G190" t="s">
        <v>2011</v>
      </c>
      <c r="H190" s="10">
        <v>28194.02</v>
      </c>
      <c r="I190" s="2">
        <v>427</v>
      </c>
      <c r="J190">
        <v>0</v>
      </c>
      <c r="K190" t="s">
        <v>1706</v>
      </c>
    </row>
    <row r="191" spans="1:11" x14ac:dyDescent="0.35">
      <c r="A191" t="s">
        <v>2009</v>
      </c>
      <c r="B191" t="s">
        <v>15</v>
      </c>
      <c r="C191" t="s">
        <v>946</v>
      </c>
      <c r="D191" t="s">
        <v>1008</v>
      </c>
      <c r="E191" t="s">
        <v>936</v>
      </c>
      <c r="F191" t="s">
        <v>361</v>
      </c>
      <c r="G191" t="s">
        <v>2011</v>
      </c>
      <c r="H191" s="10">
        <v>23.25</v>
      </c>
      <c r="I191" s="2">
        <v>3</v>
      </c>
      <c r="J191">
        <v>0</v>
      </c>
      <c r="K191" t="s">
        <v>1706</v>
      </c>
    </row>
    <row r="192" spans="1:11" x14ac:dyDescent="0.35">
      <c r="A192" t="s">
        <v>2009</v>
      </c>
      <c r="B192" t="s">
        <v>15</v>
      </c>
      <c r="C192" t="s">
        <v>946</v>
      </c>
      <c r="D192" t="s">
        <v>2014</v>
      </c>
      <c r="E192" t="s">
        <v>937</v>
      </c>
      <c r="F192" t="s">
        <v>363</v>
      </c>
      <c r="G192" t="s">
        <v>2011</v>
      </c>
      <c r="H192" s="10">
        <v>522.5</v>
      </c>
      <c r="I192" s="2">
        <v>19</v>
      </c>
      <c r="J192">
        <v>0</v>
      </c>
      <c r="K192" t="s">
        <v>1706</v>
      </c>
    </row>
    <row r="193" spans="1:11" x14ac:dyDescent="0.35">
      <c r="A193" t="s">
        <v>2009</v>
      </c>
      <c r="B193" t="s">
        <v>15</v>
      </c>
      <c r="C193" t="s">
        <v>946</v>
      </c>
      <c r="D193" t="s">
        <v>15</v>
      </c>
      <c r="E193" t="s">
        <v>937</v>
      </c>
      <c r="F193" t="s">
        <v>357</v>
      </c>
      <c r="G193" t="s">
        <v>2011</v>
      </c>
      <c r="H193" s="10">
        <v>18397.5</v>
      </c>
      <c r="I193" s="2">
        <v>264</v>
      </c>
      <c r="J193">
        <v>0</v>
      </c>
      <c r="K193" t="s">
        <v>1706</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4F09-CF4B-4317-83DE-5057F43E233D}">
  <sheetPr codeName="Sheet16">
    <tabColor theme="7"/>
  </sheetPr>
  <dimension ref="A1:Q291"/>
  <sheetViews>
    <sheetView topLeftCell="I1" workbookViewId="0">
      <selection activeCell="J2" sqref="J2:J101"/>
    </sheetView>
  </sheetViews>
  <sheetFormatPr defaultRowHeight="14.5" x14ac:dyDescent="0.35"/>
  <cols>
    <col min="1" max="1" width="12.453125" customWidth="1"/>
    <col min="2" max="2" width="11.1796875" customWidth="1"/>
    <col min="3" max="3" width="13.54296875" bestFit="1" customWidth="1"/>
    <col min="4" max="4" width="11.1796875" customWidth="1"/>
    <col min="5" max="5" width="12" bestFit="1" customWidth="1"/>
    <col min="6" max="6" width="14.81640625" bestFit="1" customWidth="1"/>
    <col min="7" max="7" width="44.81640625" bestFit="1" customWidth="1"/>
    <col min="8" max="8" width="29.453125" bestFit="1" customWidth="1"/>
    <col min="9" max="9" width="7.81640625" bestFit="1" customWidth="1"/>
    <col min="10" max="10" width="6" bestFit="1" customWidth="1"/>
    <col min="11" max="11" width="10.54296875" bestFit="1" customWidth="1"/>
    <col min="12" max="12" width="9.7265625" bestFit="1" customWidth="1"/>
    <col min="13" max="13" width="14.453125" bestFit="1" customWidth="1"/>
    <col min="14" max="14" width="10.7265625" bestFit="1" customWidth="1"/>
    <col min="15" max="15" width="8.7265625" bestFit="1" customWidth="1"/>
    <col min="16" max="16" width="37.7265625" bestFit="1" customWidth="1"/>
    <col min="17" max="17" width="29.453125" bestFit="1" customWidth="1"/>
  </cols>
  <sheetData>
    <row r="1" spans="1:17" x14ac:dyDescent="0.35">
      <c r="A1" s="42" t="s">
        <v>1342</v>
      </c>
      <c r="B1" s="42" t="s">
        <v>1343</v>
      </c>
      <c r="C1" s="42" t="s">
        <v>1641</v>
      </c>
      <c r="D1" s="42" t="s">
        <v>1344</v>
      </c>
      <c r="E1" s="42" t="s">
        <v>1265</v>
      </c>
      <c r="F1" s="42" t="s">
        <v>1266</v>
      </c>
      <c r="G1" s="42" t="s">
        <v>1267</v>
      </c>
      <c r="H1" s="42" t="s">
        <v>1244</v>
      </c>
      <c r="I1" s="42" t="s">
        <v>1257</v>
      </c>
      <c r="J1" s="42" t="s">
        <v>938</v>
      </c>
      <c r="K1" s="42" t="s">
        <v>1268</v>
      </c>
      <c r="L1" s="42" t="s">
        <v>1269</v>
      </c>
      <c r="M1" s="42" t="s">
        <v>1270</v>
      </c>
      <c r="N1" s="42" t="s">
        <v>1271</v>
      </c>
      <c r="O1" s="42" t="s">
        <v>1272</v>
      </c>
      <c r="P1">
        <v>0</v>
      </c>
      <c r="Q1">
        <v>0</v>
      </c>
    </row>
    <row r="2" spans="1:17" x14ac:dyDescent="0.35">
      <c r="A2" s="186">
        <v>488185414</v>
      </c>
      <c r="B2" s="186" t="s">
        <v>2025</v>
      </c>
      <c r="C2" s="186" t="s">
        <v>2026</v>
      </c>
      <c r="D2" s="186" t="s">
        <v>2008</v>
      </c>
      <c r="E2" s="186">
        <v>1032</v>
      </c>
      <c r="F2" t="s">
        <v>2031</v>
      </c>
      <c r="G2" t="s">
        <v>1193</v>
      </c>
      <c r="H2" t="s">
        <v>2029</v>
      </c>
      <c r="I2" t="s">
        <v>2030</v>
      </c>
      <c r="J2" t="s">
        <v>2027</v>
      </c>
      <c r="K2" s="187">
        <v>46247</v>
      </c>
      <c r="L2" s="187">
        <v>47343</v>
      </c>
      <c r="M2" t="s">
        <v>2028</v>
      </c>
      <c r="N2">
        <v>0.5</v>
      </c>
      <c r="P2">
        <v>0</v>
      </c>
      <c r="Q2">
        <v>0</v>
      </c>
    </row>
    <row r="3" spans="1:17" x14ac:dyDescent="0.35">
      <c r="A3" s="186">
        <v>488185414</v>
      </c>
      <c r="B3" s="186" t="s">
        <v>2025</v>
      </c>
      <c r="C3" s="186" t="s">
        <v>2026</v>
      </c>
      <c r="D3" s="186" t="s">
        <v>2008</v>
      </c>
      <c r="E3" s="186">
        <v>1035</v>
      </c>
      <c r="F3" t="s">
        <v>2032</v>
      </c>
      <c r="G3" t="s">
        <v>1066</v>
      </c>
      <c r="H3" t="s">
        <v>2029</v>
      </c>
      <c r="I3" t="s">
        <v>2030</v>
      </c>
      <c r="J3" t="s">
        <v>2027</v>
      </c>
      <c r="K3" s="187">
        <v>46247</v>
      </c>
      <c r="L3" s="187">
        <v>47343</v>
      </c>
      <c r="M3" t="s">
        <v>2028</v>
      </c>
      <c r="N3">
        <v>0.5</v>
      </c>
      <c r="P3">
        <v>0</v>
      </c>
      <c r="Q3">
        <v>0</v>
      </c>
    </row>
    <row r="4" spans="1:17" x14ac:dyDescent="0.35">
      <c r="A4" s="186">
        <v>488185414</v>
      </c>
      <c r="B4" s="186" t="s">
        <v>2025</v>
      </c>
      <c r="C4" s="186" t="s">
        <v>2026</v>
      </c>
      <c r="D4" s="186" t="s">
        <v>2008</v>
      </c>
      <c r="E4" s="186">
        <v>1084</v>
      </c>
      <c r="F4" t="s">
        <v>2033</v>
      </c>
      <c r="G4" t="s">
        <v>1041</v>
      </c>
      <c r="H4" t="s">
        <v>2029</v>
      </c>
      <c r="I4" t="s">
        <v>2030</v>
      </c>
      <c r="J4" t="s">
        <v>2027</v>
      </c>
      <c r="K4" s="187">
        <v>46247</v>
      </c>
      <c r="L4" s="187">
        <v>47343</v>
      </c>
      <c r="M4" t="s">
        <v>2028</v>
      </c>
      <c r="N4">
        <v>0.5</v>
      </c>
      <c r="P4">
        <v>0</v>
      </c>
      <c r="Q4">
        <v>0</v>
      </c>
    </row>
    <row r="5" spans="1:17" x14ac:dyDescent="0.35">
      <c r="A5" s="186">
        <v>488185414</v>
      </c>
      <c r="B5" s="186" t="s">
        <v>2025</v>
      </c>
      <c r="C5" s="186" t="s">
        <v>2026</v>
      </c>
      <c r="D5" s="186" t="s">
        <v>2008</v>
      </c>
      <c r="E5" s="186">
        <v>1086</v>
      </c>
      <c r="F5" t="s">
        <v>2034</v>
      </c>
      <c r="G5" t="s">
        <v>1042</v>
      </c>
      <c r="H5" t="s">
        <v>2029</v>
      </c>
      <c r="I5" t="s">
        <v>2030</v>
      </c>
      <c r="J5" t="s">
        <v>2027</v>
      </c>
      <c r="K5" s="187">
        <v>46247</v>
      </c>
      <c r="L5" s="187">
        <v>47343</v>
      </c>
      <c r="M5" t="s">
        <v>2028</v>
      </c>
      <c r="N5">
        <v>0.5</v>
      </c>
      <c r="P5">
        <v>0</v>
      </c>
      <c r="Q5">
        <v>0</v>
      </c>
    </row>
    <row r="6" spans="1:17" x14ac:dyDescent="0.35">
      <c r="A6" s="186">
        <v>488185414</v>
      </c>
      <c r="B6" s="186" t="s">
        <v>2025</v>
      </c>
      <c r="C6" s="186" t="s">
        <v>2026</v>
      </c>
      <c r="D6" s="186" t="s">
        <v>2008</v>
      </c>
      <c r="E6" s="186">
        <v>1094</v>
      </c>
      <c r="F6" t="s">
        <v>2035</v>
      </c>
      <c r="G6" t="s">
        <v>1048</v>
      </c>
      <c r="H6" t="s">
        <v>2029</v>
      </c>
      <c r="I6" t="s">
        <v>2030</v>
      </c>
      <c r="J6" t="s">
        <v>2027</v>
      </c>
      <c r="K6" s="187">
        <v>46247</v>
      </c>
      <c r="L6" s="187">
        <v>47343</v>
      </c>
      <c r="M6" t="s">
        <v>2028</v>
      </c>
      <c r="N6">
        <v>0.5</v>
      </c>
      <c r="P6">
        <v>0</v>
      </c>
      <c r="Q6">
        <v>0</v>
      </c>
    </row>
    <row r="7" spans="1:17" x14ac:dyDescent="0.35">
      <c r="A7" s="186">
        <v>488185414</v>
      </c>
      <c r="B7" s="186" t="s">
        <v>2025</v>
      </c>
      <c r="C7" s="186" t="s">
        <v>2026</v>
      </c>
      <c r="D7" s="186" t="s">
        <v>2008</v>
      </c>
      <c r="E7" s="186">
        <v>1096</v>
      </c>
      <c r="F7" t="s">
        <v>2036</v>
      </c>
      <c r="G7" t="s">
        <v>1043</v>
      </c>
      <c r="H7" t="s">
        <v>2029</v>
      </c>
      <c r="I7" t="s">
        <v>2030</v>
      </c>
      <c r="J7" t="s">
        <v>2027</v>
      </c>
      <c r="K7" s="187">
        <v>46247</v>
      </c>
      <c r="L7" s="187">
        <v>47343</v>
      </c>
      <c r="M7" t="s">
        <v>2028</v>
      </c>
      <c r="N7">
        <v>0.5</v>
      </c>
      <c r="P7">
        <v>0</v>
      </c>
      <c r="Q7">
        <v>0</v>
      </c>
    </row>
    <row r="8" spans="1:17" x14ac:dyDescent="0.35">
      <c r="A8" s="186">
        <v>488185414</v>
      </c>
      <c r="B8" s="186" t="s">
        <v>2025</v>
      </c>
      <c r="C8" s="186" t="s">
        <v>2026</v>
      </c>
      <c r="D8" s="186" t="s">
        <v>2008</v>
      </c>
      <c r="E8" s="186">
        <v>1104</v>
      </c>
      <c r="F8" t="s">
        <v>2037</v>
      </c>
      <c r="G8" t="s">
        <v>1064</v>
      </c>
      <c r="H8" t="s">
        <v>2029</v>
      </c>
      <c r="I8" t="s">
        <v>2030</v>
      </c>
      <c r="J8" t="s">
        <v>2027</v>
      </c>
      <c r="K8" s="187">
        <v>46247</v>
      </c>
      <c r="L8" s="187">
        <v>47343</v>
      </c>
      <c r="M8" t="s">
        <v>2028</v>
      </c>
      <c r="N8">
        <v>0.5</v>
      </c>
      <c r="P8">
        <v>0</v>
      </c>
      <c r="Q8">
        <v>0</v>
      </c>
    </row>
    <row r="9" spans="1:17" x14ac:dyDescent="0.35">
      <c r="A9" s="186">
        <v>488185414</v>
      </c>
      <c r="B9" s="186" t="s">
        <v>2025</v>
      </c>
      <c r="C9" s="186" t="s">
        <v>2026</v>
      </c>
      <c r="D9" s="186" t="s">
        <v>2008</v>
      </c>
      <c r="E9" s="186">
        <v>1105</v>
      </c>
      <c r="F9" t="s">
        <v>2038</v>
      </c>
      <c r="G9" t="s">
        <v>1054</v>
      </c>
      <c r="H9" t="s">
        <v>2029</v>
      </c>
      <c r="I9" t="s">
        <v>2030</v>
      </c>
      <c r="J9" t="s">
        <v>2027</v>
      </c>
      <c r="K9" s="187">
        <v>46247</v>
      </c>
      <c r="L9" s="187">
        <v>47343</v>
      </c>
      <c r="M9" t="s">
        <v>2028</v>
      </c>
      <c r="N9">
        <v>0.55000000000000004</v>
      </c>
      <c r="P9">
        <v>0</v>
      </c>
      <c r="Q9">
        <v>0</v>
      </c>
    </row>
    <row r="10" spans="1:17" x14ac:dyDescent="0.35">
      <c r="A10" s="186">
        <v>488185414</v>
      </c>
      <c r="B10" s="186" t="s">
        <v>2025</v>
      </c>
      <c r="C10" s="186" t="s">
        <v>2026</v>
      </c>
      <c r="D10" s="186" t="s">
        <v>2008</v>
      </c>
      <c r="E10" s="186">
        <v>1106</v>
      </c>
      <c r="F10" t="s">
        <v>2039</v>
      </c>
      <c r="G10" t="s">
        <v>1067</v>
      </c>
      <c r="H10" t="s">
        <v>2029</v>
      </c>
      <c r="I10" t="s">
        <v>2030</v>
      </c>
      <c r="J10" t="s">
        <v>2027</v>
      </c>
      <c r="K10" s="187">
        <v>46247</v>
      </c>
      <c r="L10" s="187">
        <v>47343</v>
      </c>
      <c r="M10" t="s">
        <v>2028</v>
      </c>
      <c r="N10">
        <v>0.5</v>
      </c>
      <c r="P10">
        <v>0</v>
      </c>
      <c r="Q10">
        <v>0</v>
      </c>
    </row>
    <row r="11" spans="1:17" x14ac:dyDescent="0.35">
      <c r="A11" s="186">
        <v>488185414</v>
      </c>
      <c r="B11" s="186" t="s">
        <v>2025</v>
      </c>
      <c r="C11" s="186" t="s">
        <v>2026</v>
      </c>
      <c r="D11" s="186" t="s">
        <v>2008</v>
      </c>
      <c r="E11" s="186">
        <v>1109</v>
      </c>
      <c r="F11" t="s">
        <v>1277</v>
      </c>
      <c r="G11" t="s">
        <v>1278</v>
      </c>
      <c r="H11" t="s">
        <v>2069</v>
      </c>
      <c r="I11" t="s">
        <v>2070</v>
      </c>
      <c r="J11" t="s">
        <v>2027</v>
      </c>
      <c r="K11" s="187">
        <v>46247</v>
      </c>
      <c r="L11" s="187">
        <v>47343</v>
      </c>
      <c r="M11" t="s">
        <v>2028</v>
      </c>
      <c r="N11">
        <v>0.35</v>
      </c>
      <c r="P11">
        <v>0</v>
      </c>
      <c r="Q11">
        <v>0</v>
      </c>
    </row>
    <row r="12" spans="1:17" x14ac:dyDescent="0.35">
      <c r="A12" s="186">
        <v>488185414</v>
      </c>
      <c r="B12" s="186" t="s">
        <v>2025</v>
      </c>
      <c r="C12" s="186" t="s">
        <v>2026</v>
      </c>
      <c r="D12" s="186" t="s">
        <v>2008</v>
      </c>
      <c r="E12" s="186">
        <v>1109</v>
      </c>
      <c r="F12" t="s">
        <v>1277</v>
      </c>
      <c r="G12" t="s">
        <v>1278</v>
      </c>
      <c r="H12" t="s">
        <v>2071</v>
      </c>
      <c r="I12" t="s">
        <v>2072</v>
      </c>
      <c r="J12" t="s">
        <v>2027</v>
      </c>
      <c r="K12" s="187">
        <v>46247</v>
      </c>
      <c r="L12" s="187">
        <v>47343</v>
      </c>
      <c r="M12" t="s">
        <v>2028</v>
      </c>
      <c r="N12">
        <v>0.35</v>
      </c>
      <c r="P12">
        <v>0</v>
      </c>
      <c r="Q12">
        <v>0</v>
      </c>
    </row>
    <row r="13" spans="1:17" x14ac:dyDescent="0.35">
      <c r="A13" s="186">
        <v>488185414</v>
      </c>
      <c r="B13" s="186" t="s">
        <v>2025</v>
      </c>
      <c r="C13" s="186" t="s">
        <v>2026</v>
      </c>
      <c r="D13" s="186" t="s">
        <v>2008</v>
      </c>
      <c r="E13" s="186">
        <v>1111</v>
      </c>
      <c r="F13" t="s">
        <v>1412</v>
      </c>
      <c r="G13" t="s">
        <v>1413</v>
      </c>
      <c r="H13" t="s">
        <v>2069</v>
      </c>
      <c r="I13" t="s">
        <v>2070</v>
      </c>
      <c r="J13" t="s">
        <v>2027</v>
      </c>
      <c r="K13" s="187">
        <v>46247</v>
      </c>
      <c r="L13" s="187">
        <v>47343</v>
      </c>
      <c r="M13" t="s">
        <v>2028</v>
      </c>
      <c r="N13">
        <v>0.25</v>
      </c>
      <c r="P13">
        <v>0</v>
      </c>
      <c r="Q13">
        <v>0</v>
      </c>
    </row>
    <row r="14" spans="1:17" x14ac:dyDescent="0.35">
      <c r="A14" s="186">
        <v>488185414</v>
      </c>
      <c r="B14" s="186" t="s">
        <v>2025</v>
      </c>
      <c r="C14" s="186" t="s">
        <v>2026</v>
      </c>
      <c r="D14" s="186" t="s">
        <v>2008</v>
      </c>
      <c r="E14" s="186">
        <v>1111</v>
      </c>
      <c r="F14" t="s">
        <v>1412</v>
      </c>
      <c r="G14" t="s">
        <v>1413</v>
      </c>
      <c r="H14" t="s">
        <v>2071</v>
      </c>
      <c r="I14" t="s">
        <v>2072</v>
      </c>
      <c r="J14" t="s">
        <v>2027</v>
      </c>
      <c r="K14" s="187">
        <v>46247</v>
      </c>
      <c r="L14" s="187">
        <v>47343</v>
      </c>
      <c r="M14" t="s">
        <v>2028</v>
      </c>
      <c r="N14">
        <v>0.25</v>
      </c>
      <c r="P14">
        <v>0</v>
      </c>
      <c r="Q14">
        <v>0</v>
      </c>
    </row>
    <row r="15" spans="1:17" x14ac:dyDescent="0.35">
      <c r="A15" s="186">
        <v>488185414</v>
      </c>
      <c r="B15" s="186" t="s">
        <v>2025</v>
      </c>
      <c r="C15" s="186" t="s">
        <v>2026</v>
      </c>
      <c r="D15" s="186" t="s">
        <v>2008</v>
      </c>
      <c r="E15" s="186">
        <v>1252</v>
      </c>
      <c r="F15" t="s">
        <v>2073</v>
      </c>
      <c r="G15" t="s">
        <v>2046</v>
      </c>
      <c r="H15" t="s">
        <v>2029</v>
      </c>
      <c r="I15" t="s">
        <v>2030</v>
      </c>
      <c r="J15" t="s">
        <v>2027</v>
      </c>
      <c r="K15" s="187">
        <v>46247</v>
      </c>
      <c r="L15" s="187">
        <v>47343</v>
      </c>
      <c r="M15" t="s">
        <v>2028</v>
      </c>
      <c r="N15">
        <v>0.25</v>
      </c>
      <c r="P15">
        <v>0</v>
      </c>
      <c r="Q15">
        <v>0</v>
      </c>
    </row>
    <row r="16" spans="1:17" x14ac:dyDescent="0.35">
      <c r="A16" s="186">
        <v>488185414</v>
      </c>
      <c r="B16" s="186" t="s">
        <v>2025</v>
      </c>
      <c r="C16" s="186" t="s">
        <v>2026</v>
      </c>
      <c r="D16" s="186" t="s">
        <v>2008</v>
      </c>
      <c r="E16" s="186">
        <v>1253</v>
      </c>
      <c r="F16" t="s">
        <v>2074</v>
      </c>
      <c r="G16" t="s">
        <v>2047</v>
      </c>
      <c r="H16" t="s">
        <v>2029</v>
      </c>
      <c r="I16" t="s">
        <v>2030</v>
      </c>
      <c r="J16" t="s">
        <v>2027</v>
      </c>
      <c r="K16" s="187">
        <v>46247</v>
      </c>
      <c r="L16" s="187">
        <v>47343</v>
      </c>
      <c r="M16" t="s">
        <v>2028</v>
      </c>
      <c r="N16">
        <v>0.25</v>
      </c>
      <c r="P16">
        <v>0</v>
      </c>
      <c r="Q16">
        <v>0</v>
      </c>
    </row>
    <row r="17" spans="1:17" x14ac:dyDescent="0.35">
      <c r="A17">
        <v>488185414</v>
      </c>
      <c r="B17" t="s">
        <v>2025</v>
      </c>
      <c r="C17" s="186" t="s">
        <v>2026</v>
      </c>
      <c r="D17" s="186" t="s">
        <v>2008</v>
      </c>
      <c r="E17" s="186">
        <v>1259</v>
      </c>
      <c r="F17" t="s">
        <v>1294</v>
      </c>
      <c r="G17" t="s">
        <v>1295</v>
      </c>
      <c r="H17" t="s">
        <v>2069</v>
      </c>
      <c r="I17" t="s">
        <v>2070</v>
      </c>
      <c r="J17" t="s">
        <v>2027</v>
      </c>
      <c r="K17" s="187">
        <v>46247</v>
      </c>
      <c r="L17" s="187">
        <v>47343</v>
      </c>
      <c r="M17" t="s">
        <v>2028</v>
      </c>
      <c r="N17">
        <v>0.35</v>
      </c>
      <c r="P17">
        <v>0</v>
      </c>
      <c r="Q17">
        <v>0</v>
      </c>
    </row>
    <row r="18" spans="1:17" x14ac:dyDescent="0.35">
      <c r="A18">
        <v>488185414</v>
      </c>
      <c r="B18" t="s">
        <v>2025</v>
      </c>
      <c r="C18" s="186" t="s">
        <v>2026</v>
      </c>
      <c r="D18" s="186" t="s">
        <v>2008</v>
      </c>
      <c r="E18" s="186">
        <v>1259</v>
      </c>
      <c r="F18" t="s">
        <v>1294</v>
      </c>
      <c r="G18" t="s">
        <v>1295</v>
      </c>
      <c r="H18" t="s">
        <v>2071</v>
      </c>
      <c r="I18" t="s">
        <v>2072</v>
      </c>
      <c r="J18" t="s">
        <v>2027</v>
      </c>
      <c r="K18" s="187">
        <v>46247</v>
      </c>
      <c r="L18" s="187">
        <v>47343</v>
      </c>
      <c r="M18" t="s">
        <v>2028</v>
      </c>
      <c r="N18">
        <v>0.35</v>
      </c>
      <c r="P18">
        <v>0</v>
      </c>
      <c r="Q18">
        <v>0</v>
      </c>
    </row>
    <row r="19" spans="1:17" x14ac:dyDescent="0.35">
      <c r="A19">
        <v>488185414</v>
      </c>
      <c r="B19" t="s">
        <v>2025</v>
      </c>
      <c r="C19" s="186" t="s">
        <v>2026</v>
      </c>
      <c r="D19" s="186" t="s">
        <v>2008</v>
      </c>
      <c r="E19" s="186">
        <v>1273</v>
      </c>
      <c r="F19" t="s">
        <v>2075</v>
      </c>
      <c r="G19" t="s">
        <v>1263</v>
      </c>
      <c r="H19" t="s">
        <v>2076</v>
      </c>
      <c r="I19" t="s">
        <v>2077</v>
      </c>
      <c r="J19" t="s">
        <v>2027</v>
      </c>
      <c r="K19" s="187">
        <v>46247</v>
      </c>
      <c r="L19" s="187">
        <v>47343</v>
      </c>
      <c r="M19" t="s">
        <v>2028</v>
      </c>
      <c r="N19">
        <v>0.5</v>
      </c>
      <c r="P19">
        <v>0</v>
      </c>
      <c r="Q19">
        <v>0</v>
      </c>
    </row>
    <row r="20" spans="1:17" x14ac:dyDescent="0.35">
      <c r="A20">
        <v>488185414</v>
      </c>
      <c r="B20" t="s">
        <v>2025</v>
      </c>
      <c r="C20" s="186" t="s">
        <v>2026</v>
      </c>
      <c r="D20" s="186" t="s">
        <v>2008</v>
      </c>
      <c r="E20" s="186">
        <v>1273</v>
      </c>
      <c r="F20" t="s">
        <v>2075</v>
      </c>
      <c r="G20" t="s">
        <v>1263</v>
      </c>
      <c r="H20" t="s">
        <v>2029</v>
      </c>
      <c r="I20" t="s">
        <v>2030</v>
      </c>
      <c r="J20" t="s">
        <v>2027</v>
      </c>
      <c r="K20" s="187">
        <v>46247</v>
      </c>
      <c r="L20" s="187">
        <v>47343</v>
      </c>
      <c r="M20" t="s">
        <v>2028</v>
      </c>
      <c r="N20">
        <v>0.5</v>
      </c>
      <c r="P20">
        <v>0</v>
      </c>
      <c r="Q20">
        <v>0</v>
      </c>
    </row>
    <row r="21" spans="1:17" x14ac:dyDescent="0.35">
      <c r="A21">
        <v>488185414</v>
      </c>
      <c r="B21" t="s">
        <v>2025</v>
      </c>
      <c r="C21" s="186" t="s">
        <v>2026</v>
      </c>
      <c r="D21" s="186" t="s">
        <v>2008</v>
      </c>
      <c r="E21" s="186">
        <v>1275</v>
      </c>
      <c r="F21" t="s">
        <v>2078</v>
      </c>
      <c r="G21" t="s">
        <v>1264</v>
      </c>
      <c r="H21" t="s">
        <v>2076</v>
      </c>
      <c r="I21" t="s">
        <v>2077</v>
      </c>
      <c r="J21" t="s">
        <v>2027</v>
      </c>
      <c r="K21" s="187">
        <v>46247</v>
      </c>
      <c r="L21" s="187">
        <v>47343</v>
      </c>
      <c r="M21" t="s">
        <v>2028</v>
      </c>
      <c r="N21">
        <v>0.5</v>
      </c>
      <c r="P21">
        <v>0</v>
      </c>
      <c r="Q21">
        <v>0</v>
      </c>
    </row>
    <row r="22" spans="1:17" x14ac:dyDescent="0.35">
      <c r="A22">
        <v>488185414</v>
      </c>
      <c r="B22" t="s">
        <v>2025</v>
      </c>
      <c r="C22" s="186" t="s">
        <v>2026</v>
      </c>
      <c r="D22" s="186" t="s">
        <v>2008</v>
      </c>
      <c r="E22" s="186">
        <v>1275</v>
      </c>
      <c r="F22" t="s">
        <v>2078</v>
      </c>
      <c r="G22" t="s">
        <v>1264</v>
      </c>
      <c r="H22" t="s">
        <v>2029</v>
      </c>
      <c r="I22" t="s">
        <v>2030</v>
      </c>
      <c r="J22" t="s">
        <v>2027</v>
      </c>
      <c r="K22" s="187">
        <v>46247</v>
      </c>
      <c r="L22" s="187">
        <v>47343</v>
      </c>
      <c r="M22" t="s">
        <v>2028</v>
      </c>
      <c r="N22">
        <v>0.5</v>
      </c>
      <c r="P22">
        <v>0</v>
      </c>
      <c r="Q22">
        <v>0</v>
      </c>
    </row>
    <row r="23" spans="1:17" x14ac:dyDescent="0.35">
      <c r="A23">
        <v>488185414</v>
      </c>
      <c r="B23" t="s">
        <v>2025</v>
      </c>
      <c r="C23" s="186" t="s">
        <v>2026</v>
      </c>
      <c r="D23" s="186" t="s">
        <v>2009</v>
      </c>
      <c r="E23" s="186">
        <v>2005</v>
      </c>
      <c r="F23" t="s">
        <v>1011</v>
      </c>
      <c r="G23" t="s">
        <v>1010</v>
      </c>
      <c r="H23" t="s">
        <v>2040</v>
      </c>
      <c r="I23" t="s">
        <v>2041</v>
      </c>
      <c r="J23" t="s">
        <v>2027</v>
      </c>
      <c r="K23" s="187">
        <v>46247</v>
      </c>
      <c r="L23" s="187">
        <v>47343</v>
      </c>
      <c r="M23" t="s">
        <v>2028</v>
      </c>
      <c r="N23">
        <v>0.75</v>
      </c>
      <c r="P23">
        <v>0</v>
      </c>
      <c r="Q23">
        <v>0</v>
      </c>
    </row>
    <row r="24" spans="1:17" x14ac:dyDescent="0.35">
      <c r="A24">
        <v>488185414</v>
      </c>
      <c r="B24" t="s">
        <v>2025</v>
      </c>
      <c r="C24" s="186" t="s">
        <v>2026</v>
      </c>
      <c r="D24" s="186" t="s">
        <v>2009</v>
      </c>
      <c r="E24" s="186">
        <v>2005</v>
      </c>
      <c r="F24" t="s">
        <v>1011</v>
      </c>
      <c r="G24" t="s">
        <v>1010</v>
      </c>
      <c r="H24" t="s">
        <v>2042</v>
      </c>
      <c r="I24" t="s">
        <v>2043</v>
      </c>
      <c r="J24" t="s">
        <v>2027</v>
      </c>
      <c r="K24" s="187">
        <v>46247</v>
      </c>
      <c r="L24" s="187">
        <v>47343</v>
      </c>
      <c r="M24" t="s">
        <v>2028</v>
      </c>
      <c r="N24">
        <v>0.75</v>
      </c>
      <c r="P24">
        <v>0</v>
      </c>
      <c r="Q24">
        <v>0</v>
      </c>
    </row>
    <row r="25" spans="1:17" x14ac:dyDescent="0.35">
      <c r="A25">
        <v>488185414</v>
      </c>
      <c r="B25" t="s">
        <v>2025</v>
      </c>
      <c r="C25" s="186" t="s">
        <v>2026</v>
      </c>
      <c r="D25" s="186" t="s">
        <v>2009</v>
      </c>
      <c r="E25" s="186">
        <v>2005</v>
      </c>
      <c r="F25" t="s">
        <v>1011</v>
      </c>
      <c r="G25" t="s">
        <v>1010</v>
      </c>
      <c r="H25" t="s">
        <v>2044</v>
      </c>
      <c r="I25" t="s">
        <v>2045</v>
      </c>
      <c r="J25" t="s">
        <v>2027</v>
      </c>
      <c r="K25" s="187">
        <v>46247</v>
      </c>
      <c r="L25" s="187">
        <v>47343</v>
      </c>
      <c r="M25" t="s">
        <v>2028</v>
      </c>
      <c r="N25">
        <v>0.35</v>
      </c>
      <c r="P25">
        <v>0</v>
      </c>
      <c r="Q25">
        <v>0</v>
      </c>
    </row>
    <row r="26" spans="1:17" x14ac:dyDescent="0.35">
      <c r="A26">
        <v>488185414</v>
      </c>
      <c r="B26" t="s">
        <v>2025</v>
      </c>
      <c r="C26" s="186" t="s">
        <v>2026</v>
      </c>
      <c r="D26" s="186" t="s">
        <v>2009</v>
      </c>
      <c r="E26" s="186">
        <v>2006</v>
      </c>
      <c r="F26" t="s">
        <v>1013</v>
      </c>
      <c r="G26" t="s">
        <v>1012</v>
      </c>
      <c r="H26" t="s">
        <v>2040</v>
      </c>
      <c r="I26" t="s">
        <v>2041</v>
      </c>
      <c r="J26" t="s">
        <v>2027</v>
      </c>
      <c r="K26" s="187">
        <v>46247</v>
      </c>
      <c r="L26" s="187">
        <v>47343</v>
      </c>
      <c r="M26" t="s">
        <v>2028</v>
      </c>
      <c r="N26">
        <v>0.5</v>
      </c>
      <c r="P26">
        <v>0</v>
      </c>
      <c r="Q26">
        <v>0</v>
      </c>
    </row>
    <row r="27" spans="1:17" x14ac:dyDescent="0.35">
      <c r="A27">
        <v>488185414</v>
      </c>
      <c r="B27" t="s">
        <v>2025</v>
      </c>
      <c r="C27" s="186" t="s">
        <v>2026</v>
      </c>
      <c r="D27" s="186" t="s">
        <v>2009</v>
      </c>
      <c r="E27" s="186">
        <v>2006</v>
      </c>
      <c r="F27" t="s">
        <v>1013</v>
      </c>
      <c r="G27" t="s">
        <v>1012</v>
      </c>
      <c r="H27" t="s">
        <v>2042</v>
      </c>
      <c r="I27" t="s">
        <v>2043</v>
      </c>
      <c r="J27" t="s">
        <v>2027</v>
      </c>
      <c r="K27" s="187">
        <v>46247</v>
      </c>
      <c r="L27" s="187">
        <v>47343</v>
      </c>
      <c r="M27" t="s">
        <v>2028</v>
      </c>
      <c r="N27">
        <v>0.5</v>
      </c>
      <c r="P27">
        <v>0</v>
      </c>
      <c r="Q27">
        <v>0</v>
      </c>
    </row>
    <row r="28" spans="1:17" x14ac:dyDescent="0.35">
      <c r="A28">
        <v>488185414</v>
      </c>
      <c r="B28" t="s">
        <v>2025</v>
      </c>
      <c r="C28" s="186" t="s">
        <v>2026</v>
      </c>
      <c r="D28" s="186" t="s">
        <v>2009</v>
      </c>
      <c r="E28" s="186">
        <v>2044</v>
      </c>
      <c r="F28" t="s">
        <v>1128</v>
      </c>
      <c r="G28" t="s">
        <v>1127</v>
      </c>
      <c r="H28" t="s">
        <v>2042</v>
      </c>
      <c r="I28" t="s">
        <v>2043</v>
      </c>
      <c r="J28" t="s">
        <v>2027</v>
      </c>
      <c r="K28" s="187">
        <v>46247</v>
      </c>
      <c r="L28" s="187">
        <v>47343</v>
      </c>
      <c r="M28" t="s">
        <v>2028</v>
      </c>
      <c r="N28">
        <v>0.5</v>
      </c>
      <c r="P28">
        <v>0</v>
      </c>
      <c r="Q28">
        <v>0</v>
      </c>
    </row>
    <row r="29" spans="1:17" x14ac:dyDescent="0.35">
      <c r="A29">
        <v>488185414</v>
      </c>
      <c r="B29" t="s">
        <v>2025</v>
      </c>
      <c r="C29" s="186" t="s">
        <v>2026</v>
      </c>
      <c r="D29" s="186" t="s">
        <v>2009</v>
      </c>
      <c r="E29" s="186">
        <v>2046</v>
      </c>
      <c r="F29" t="s">
        <v>1122</v>
      </c>
      <c r="G29" t="s">
        <v>1121</v>
      </c>
      <c r="H29" t="s">
        <v>2042</v>
      </c>
      <c r="I29" t="s">
        <v>2043</v>
      </c>
      <c r="J29" t="s">
        <v>2027</v>
      </c>
      <c r="K29" s="187">
        <v>46247</v>
      </c>
      <c r="L29" s="187">
        <v>47343</v>
      </c>
      <c r="M29" t="s">
        <v>2028</v>
      </c>
      <c r="N29">
        <v>0.5</v>
      </c>
      <c r="P29">
        <v>0</v>
      </c>
      <c r="Q29">
        <v>0</v>
      </c>
    </row>
    <row r="30" spans="1:17" x14ac:dyDescent="0.35">
      <c r="A30">
        <v>488185414</v>
      </c>
      <c r="B30" t="s">
        <v>2025</v>
      </c>
      <c r="C30" s="186" t="s">
        <v>2026</v>
      </c>
      <c r="D30" s="186" t="s">
        <v>2009</v>
      </c>
      <c r="E30" s="186">
        <v>2056</v>
      </c>
      <c r="F30" t="s">
        <v>1102</v>
      </c>
      <c r="G30" t="s">
        <v>1101</v>
      </c>
      <c r="H30" t="s">
        <v>2040</v>
      </c>
      <c r="I30" t="s">
        <v>2041</v>
      </c>
      <c r="J30" t="s">
        <v>2027</v>
      </c>
      <c r="K30" s="187">
        <v>46247</v>
      </c>
      <c r="L30" s="187">
        <v>47343</v>
      </c>
      <c r="M30" t="s">
        <v>2028</v>
      </c>
      <c r="N30">
        <v>0.5</v>
      </c>
      <c r="P30">
        <v>0</v>
      </c>
      <c r="Q30">
        <v>0</v>
      </c>
    </row>
    <row r="31" spans="1:17" x14ac:dyDescent="0.35">
      <c r="A31">
        <v>488185414</v>
      </c>
      <c r="B31" t="s">
        <v>2025</v>
      </c>
      <c r="C31" s="186" t="s">
        <v>2026</v>
      </c>
      <c r="D31" s="186" t="s">
        <v>2009</v>
      </c>
      <c r="E31" s="186">
        <v>2056</v>
      </c>
      <c r="F31" t="s">
        <v>1102</v>
      </c>
      <c r="G31" t="s">
        <v>1101</v>
      </c>
      <c r="H31" t="s">
        <v>2042</v>
      </c>
      <c r="I31" t="s">
        <v>2043</v>
      </c>
      <c r="J31" t="s">
        <v>2027</v>
      </c>
      <c r="K31" s="187">
        <v>46247</v>
      </c>
      <c r="L31" s="187">
        <v>47343</v>
      </c>
      <c r="M31" t="s">
        <v>2028</v>
      </c>
      <c r="N31">
        <v>0.5</v>
      </c>
      <c r="P31">
        <v>0</v>
      </c>
      <c r="Q31">
        <v>0</v>
      </c>
    </row>
    <row r="32" spans="1:17" x14ac:dyDescent="0.35">
      <c r="A32">
        <v>488185414</v>
      </c>
      <c r="B32" t="s">
        <v>2025</v>
      </c>
      <c r="C32" s="186" t="s">
        <v>2026</v>
      </c>
      <c r="D32" s="186" t="s">
        <v>2009</v>
      </c>
      <c r="E32" s="186">
        <v>2056</v>
      </c>
      <c r="F32" t="s">
        <v>1102</v>
      </c>
      <c r="G32" t="s">
        <v>1101</v>
      </c>
      <c r="H32" t="s">
        <v>2044</v>
      </c>
      <c r="I32" t="s">
        <v>2045</v>
      </c>
      <c r="J32" t="s">
        <v>2027</v>
      </c>
      <c r="K32" s="187">
        <v>46247</v>
      </c>
      <c r="L32" s="187">
        <v>47343</v>
      </c>
      <c r="M32" t="s">
        <v>2028</v>
      </c>
      <c r="N32">
        <v>0.5</v>
      </c>
      <c r="P32">
        <v>0</v>
      </c>
      <c r="Q32">
        <v>0</v>
      </c>
    </row>
    <row r="33" spans="1:17" x14ac:dyDescent="0.35">
      <c r="A33">
        <v>488185414</v>
      </c>
      <c r="B33" t="s">
        <v>2025</v>
      </c>
      <c r="C33" s="186" t="s">
        <v>2026</v>
      </c>
      <c r="D33" s="186" t="s">
        <v>2009</v>
      </c>
      <c r="E33" s="186">
        <v>2058</v>
      </c>
      <c r="F33" t="s">
        <v>1104</v>
      </c>
      <c r="G33" t="s">
        <v>1103</v>
      </c>
      <c r="H33" t="s">
        <v>2040</v>
      </c>
      <c r="I33" t="s">
        <v>2041</v>
      </c>
      <c r="J33" t="s">
        <v>2027</v>
      </c>
      <c r="K33" s="187">
        <v>46247</v>
      </c>
      <c r="L33" s="187">
        <v>47343</v>
      </c>
      <c r="M33" t="s">
        <v>2028</v>
      </c>
      <c r="N33">
        <v>0.5</v>
      </c>
      <c r="P33">
        <v>0</v>
      </c>
      <c r="Q33">
        <v>0</v>
      </c>
    </row>
    <row r="34" spans="1:17" x14ac:dyDescent="0.35">
      <c r="A34">
        <v>488185414</v>
      </c>
      <c r="B34" t="s">
        <v>2025</v>
      </c>
      <c r="C34" s="186" t="s">
        <v>2026</v>
      </c>
      <c r="D34" s="186" t="s">
        <v>2009</v>
      </c>
      <c r="E34" s="186">
        <v>2058</v>
      </c>
      <c r="F34" t="s">
        <v>1104</v>
      </c>
      <c r="G34" t="s">
        <v>1103</v>
      </c>
      <c r="H34" t="s">
        <v>2042</v>
      </c>
      <c r="I34" t="s">
        <v>2043</v>
      </c>
      <c r="J34" t="s">
        <v>2027</v>
      </c>
      <c r="K34" s="187">
        <v>46247</v>
      </c>
      <c r="L34" s="187">
        <v>47343</v>
      </c>
      <c r="M34" t="s">
        <v>2028</v>
      </c>
      <c r="N34">
        <v>0.5</v>
      </c>
      <c r="P34">
        <v>0</v>
      </c>
      <c r="Q34">
        <v>0</v>
      </c>
    </row>
    <row r="35" spans="1:17" x14ac:dyDescent="0.35">
      <c r="A35">
        <v>488185414</v>
      </c>
      <c r="B35" t="s">
        <v>2025</v>
      </c>
      <c r="C35" s="186" t="s">
        <v>2026</v>
      </c>
      <c r="D35" s="186" t="s">
        <v>2009</v>
      </c>
      <c r="E35" s="186">
        <v>2058</v>
      </c>
      <c r="F35" t="s">
        <v>1104</v>
      </c>
      <c r="G35" t="s">
        <v>1103</v>
      </c>
      <c r="H35" t="s">
        <v>2044</v>
      </c>
      <c r="I35" t="s">
        <v>2045</v>
      </c>
      <c r="J35" t="s">
        <v>2027</v>
      </c>
      <c r="K35" s="187">
        <v>46247</v>
      </c>
      <c r="L35" s="187">
        <v>47343</v>
      </c>
      <c r="M35" t="s">
        <v>2028</v>
      </c>
      <c r="N35">
        <v>0.5</v>
      </c>
      <c r="P35">
        <v>0</v>
      </c>
      <c r="Q35">
        <v>0</v>
      </c>
    </row>
    <row r="36" spans="1:17" x14ac:dyDescent="0.35">
      <c r="A36">
        <v>488185414</v>
      </c>
      <c r="B36" t="s">
        <v>2025</v>
      </c>
      <c r="C36" s="186" t="s">
        <v>2026</v>
      </c>
      <c r="D36" s="186" t="s">
        <v>2009</v>
      </c>
      <c r="E36" s="186">
        <v>2109</v>
      </c>
      <c r="F36" t="s">
        <v>1028</v>
      </c>
      <c r="G36" t="s">
        <v>1027</v>
      </c>
      <c r="H36" t="s">
        <v>2040</v>
      </c>
      <c r="I36" t="s">
        <v>2041</v>
      </c>
      <c r="J36" t="s">
        <v>2027</v>
      </c>
      <c r="K36" s="187">
        <v>46247</v>
      </c>
      <c r="L36" s="187">
        <v>47343</v>
      </c>
      <c r="M36" t="s">
        <v>2028</v>
      </c>
      <c r="N36">
        <v>0.75029999999999997</v>
      </c>
      <c r="P36">
        <v>0</v>
      </c>
      <c r="Q36">
        <v>0</v>
      </c>
    </row>
    <row r="37" spans="1:17" x14ac:dyDescent="0.35">
      <c r="A37">
        <v>488185414</v>
      </c>
      <c r="B37" t="s">
        <v>2025</v>
      </c>
      <c r="C37" s="186" t="s">
        <v>2026</v>
      </c>
      <c r="D37" s="186" t="s">
        <v>2009</v>
      </c>
      <c r="E37" s="186">
        <v>2109</v>
      </c>
      <c r="F37" t="s">
        <v>1028</v>
      </c>
      <c r="G37" t="s">
        <v>1027</v>
      </c>
      <c r="H37" t="s">
        <v>2042</v>
      </c>
      <c r="I37" t="s">
        <v>2043</v>
      </c>
      <c r="J37" t="s">
        <v>2027</v>
      </c>
      <c r="K37" s="187">
        <v>46247</v>
      </c>
      <c r="L37" s="187">
        <v>47343</v>
      </c>
      <c r="M37" t="s">
        <v>2028</v>
      </c>
      <c r="N37">
        <v>0.75029999999999997</v>
      </c>
      <c r="P37">
        <v>0</v>
      </c>
      <c r="Q37">
        <v>0</v>
      </c>
    </row>
    <row r="38" spans="1:17" x14ac:dyDescent="0.35">
      <c r="A38">
        <v>488185414</v>
      </c>
      <c r="B38" t="s">
        <v>2025</v>
      </c>
      <c r="C38" s="186" t="s">
        <v>2026</v>
      </c>
      <c r="D38" s="186" t="s">
        <v>2009</v>
      </c>
      <c r="E38" s="186">
        <v>2109</v>
      </c>
      <c r="F38" t="s">
        <v>1028</v>
      </c>
      <c r="G38" t="s">
        <v>1027</v>
      </c>
      <c r="H38" t="s">
        <v>2044</v>
      </c>
      <c r="I38" t="s">
        <v>2045</v>
      </c>
      <c r="J38" t="s">
        <v>2027</v>
      </c>
      <c r="K38" s="187">
        <v>46247</v>
      </c>
      <c r="L38" s="187">
        <v>47343</v>
      </c>
      <c r="M38" t="s">
        <v>2028</v>
      </c>
      <c r="N38">
        <v>0.35</v>
      </c>
      <c r="P38">
        <v>0</v>
      </c>
      <c r="Q38">
        <v>0</v>
      </c>
    </row>
    <row r="39" spans="1:17" x14ac:dyDescent="0.35">
      <c r="A39">
        <v>488185414</v>
      </c>
      <c r="B39" t="s">
        <v>2025</v>
      </c>
      <c r="C39" s="186" t="s">
        <v>2026</v>
      </c>
      <c r="D39" s="186" t="s">
        <v>2009</v>
      </c>
      <c r="E39" s="186">
        <v>2115</v>
      </c>
      <c r="F39" t="s">
        <v>1204</v>
      </c>
      <c r="G39" t="s">
        <v>1203</v>
      </c>
      <c r="H39" t="s">
        <v>2042</v>
      </c>
      <c r="I39" t="s">
        <v>2043</v>
      </c>
      <c r="J39" t="s">
        <v>2027</v>
      </c>
      <c r="K39" s="187">
        <v>46247</v>
      </c>
      <c r="L39" s="187">
        <v>47343</v>
      </c>
      <c r="M39" t="s">
        <v>2028</v>
      </c>
      <c r="N39">
        <v>0.5</v>
      </c>
      <c r="P39">
        <v>0</v>
      </c>
      <c r="Q39">
        <v>0</v>
      </c>
    </row>
    <row r="40" spans="1:17" x14ac:dyDescent="0.35">
      <c r="A40">
        <v>488185414</v>
      </c>
      <c r="B40" t="s">
        <v>2025</v>
      </c>
      <c r="C40" s="186" t="s">
        <v>2026</v>
      </c>
      <c r="D40" s="186" t="s">
        <v>2009</v>
      </c>
      <c r="E40" s="186">
        <v>2128</v>
      </c>
      <c r="F40" t="s">
        <v>1020</v>
      </c>
      <c r="G40" t="s">
        <v>1019</v>
      </c>
      <c r="H40" t="s">
        <v>2040</v>
      </c>
      <c r="I40" t="s">
        <v>2041</v>
      </c>
      <c r="J40" t="s">
        <v>2027</v>
      </c>
      <c r="K40" s="187">
        <v>46247</v>
      </c>
      <c r="L40" s="187">
        <v>47343</v>
      </c>
      <c r="M40" t="s">
        <v>2028</v>
      </c>
      <c r="N40">
        <v>0.75</v>
      </c>
      <c r="P40">
        <v>0</v>
      </c>
      <c r="Q40">
        <v>0</v>
      </c>
    </row>
    <row r="41" spans="1:17" x14ac:dyDescent="0.35">
      <c r="A41">
        <v>488185414</v>
      </c>
      <c r="B41" t="s">
        <v>2025</v>
      </c>
      <c r="C41" s="186" t="s">
        <v>2026</v>
      </c>
      <c r="D41" s="186" t="s">
        <v>2009</v>
      </c>
      <c r="E41" s="186">
        <v>2128</v>
      </c>
      <c r="F41" t="s">
        <v>1020</v>
      </c>
      <c r="G41" t="s">
        <v>1019</v>
      </c>
      <c r="H41" t="s">
        <v>2042</v>
      </c>
      <c r="I41" t="s">
        <v>2043</v>
      </c>
      <c r="J41" t="s">
        <v>2027</v>
      </c>
      <c r="K41" s="187">
        <v>46247</v>
      </c>
      <c r="L41" s="187">
        <v>47343</v>
      </c>
      <c r="M41" t="s">
        <v>2028</v>
      </c>
      <c r="N41">
        <v>0.75</v>
      </c>
      <c r="P41">
        <v>0</v>
      </c>
      <c r="Q41">
        <v>0</v>
      </c>
    </row>
    <row r="42" spans="1:17" x14ac:dyDescent="0.35">
      <c r="A42">
        <v>488185414</v>
      </c>
      <c r="B42" t="s">
        <v>2025</v>
      </c>
      <c r="C42" s="186" t="s">
        <v>2026</v>
      </c>
      <c r="D42" s="186" t="s">
        <v>2009</v>
      </c>
      <c r="E42" s="186">
        <v>2219</v>
      </c>
      <c r="F42" t="s">
        <v>1301</v>
      </c>
      <c r="G42" t="s">
        <v>1685</v>
      </c>
      <c r="H42" t="s">
        <v>2040</v>
      </c>
      <c r="I42" t="s">
        <v>2041</v>
      </c>
      <c r="J42" t="s">
        <v>2027</v>
      </c>
      <c r="K42" s="187">
        <v>46247</v>
      </c>
      <c r="L42" s="187">
        <v>47343</v>
      </c>
      <c r="M42" t="s">
        <v>2028</v>
      </c>
      <c r="N42">
        <v>0.5</v>
      </c>
      <c r="P42">
        <v>0</v>
      </c>
      <c r="Q42">
        <v>0</v>
      </c>
    </row>
    <row r="43" spans="1:17" x14ac:dyDescent="0.35">
      <c r="A43">
        <v>488185414</v>
      </c>
      <c r="B43" t="s">
        <v>2025</v>
      </c>
      <c r="C43" s="186" t="s">
        <v>2026</v>
      </c>
      <c r="D43" s="186" t="s">
        <v>2009</v>
      </c>
      <c r="E43" s="186">
        <v>2219</v>
      </c>
      <c r="F43" t="s">
        <v>1301</v>
      </c>
      <c r="G43" t="s">
        <v>1685</v>
      </c>
      <c r="H43" t="s">
        <v>2042</v>
      </c>
      <c r="I43" t="s">
        <v>2043</v>
      </c>
      <c r="J43" t="s">
        <v>2027</v>
      </c>
      <c r="K43" s="187">
        <v>46247</v>
      </c>
      <c r="L43" s="187">
        <v>47343</v>
      </c>
      <c r="M43" t="s">
        <v>2028</v>
      </c>
      <c r="N43">
        <v>0.5</v>
      </c>
      <c r="P43">
        <v>0</v>
      </c>
      <c r="Q43">
        <v>0</v>
      </c>
    </row>
    <row r="44" spans="1:17" x14ac:dyDescent="0.35">
      <c r="A44">
        <v>488185414</v>
      </c>
      <c r="B44" t="s">
        <v>2025</v>
      </c>
      <c r="C44" s="186" t="s">
        <v>2026</v>
      </c>
      <c r="D44" s="186" t="s">
        <v>2009</v>
      </c>
      <c r="E44" s="186">
        <v>2221</v>
      </c>
      <c r="F44" t="s">
        <v>1195</v>
      </c>
      <c r="G44" t="s">
        <v>2046</v>
      </c>
      <c r="H44" t="s">
        <v>2040</v>
      </c>
      <c r="I44" t="s">
        <v>2041</v>
      </c>
      <c r="J44" t="s">
        <v>2027</v>
      </c>
      <c r="K44" s="187">
        <v>46247</v>
      </c>
      <c r="L44" s="187">
        <v>47343</v>
      </c>
      <c r="M44" t="s">
        <v>2028</v>
      </c>
      <c r="N44">
        <v>0.5</v>
      </c>
      <c r="P44">
        <v>0</v>
      </c>
      <c r="Q44">
        <v>0</v>
      </c>
    </row>
    <row r="45" spans="1:17" x14ac:dyDescent="0.35">
      <c r="A45">
        <v>488185414</v>
      </c>
      <c r="B45" t="s">
        <v>2025</v>
      </c>
      <c r="C45" s="186" t="s">
        <v>2026</v>
      </c>
      <c r="D45" s="186" t="s">
        <v>2009</v>
      </c>
      <c r="E45" s="186">
        <v>2221</v>
      </c>
      <c r="F45" t="s">
        <v>1195</v>
      </c>
      <c r="G45" t="s">
        <v>2046</v>
      </c>
      <c r="H45" t="s">
        <v>2042</v>
      </c>
      <c r="I45" t="s">
        <v>2043</v>
      </c>
      <c r="J45" t="s">
        <v>2027</v>
      </c>
      <c r="K45" s="187">
        <v>46247</v>
      </c>
      <c r="L45" s="187">
        <v>47343</v>
      </c>
      <c r="M45" t="s">
        <v>2028</v>
      </c>
      <c r="N45">
        <v>0.5</v>
      </c>
      <c r="P45">
        <v>0</v>
      </c>
      <c r="Q45">
        <v>0</v>
      </c>
    </row>
    <row r="46" spans="1:17" x14ac:dyDescent="0.35">
      <c r="A46">
        <v>488185414</v>
      </c>
      <c r="B46" t="s">
        <v>2025</v>
      </c>
      <c r="C46" s="186" t="s">
        <v>2026</v>
      </c>
      <c r="D46" s="186" t="s">
        <v>2009</v>
      </c>
      <c r="E46" s="186">
        <v>2222</v>
      </c>
      <c r="F46" t="s">
        <v>1198</v>
      </c>
      <c r="G46" t="s">
        <v>2047</v>
      </c>
      <c r="H46" t="s">
        <v>2040</v>
      </c>
      <c r="I46" t="s">
        <v>2041</v>
      </c>
      <c r="J46" t="s">
        <v>2027</v>
      </c>
      <c r="K46" s="187">
        <v>46247</v>
      </c>
      <c r="L46" s="187">
        <v>47343</v>
      </c>
      <c r="M46" t="s">
        <v>2028</v>
      </c>
      <c r="N46">
        <v>0.55000000000000004</v>
      </c>
      <c r="P46">
        <v>0</v>
      </c>
      <c r="Q46">
        <v>0</v>
      </c>
    </row>
    <row r="47" spans="1:17" x14ac:dyDescent="0.35">
      <c r="A47">
        <v>488185414</v>
      </c>
      <c r="B47" t="s">
        <v>2025</v>
      </c>
      <c r="C47" s="186" t="s">
        <v>2026</v>
      </c>
      <c r="D47" s="186" t="s">
        <v>2009</v>
      </c>
      <c r="E47" s="186">
        <v>2222</v>
      </c>
      <c r="F47" t="s">
        <v>1198</v>
      </c>
      <c r="G47" t="s">
        <v>2047</v>
      </c>
      <c r="H47" t="s">
        <v>2042</v>
      </c>
      <c r="I47" t="s">
        <v>2043</v>
      </c>
      <c r="J47" t="s">
        <v>2027</v>
      </c>
      <c r="K47" s="187">
        <v>46247</v>
      </c>
      <c r="L47" s="187">
        <v>47343</v>
      </c>
      <c r="M47" t="s">
        <v>2028</v>
      </c>
      <c r="N47">
        <v>0.55000000000000004</v>
      </c>
      <c r="P47">
        <v>0</v>
      </c>
      <c r="Q47">
        <v>0</v>
      </c>
    </row>
    <row r="48" spans="1:17" x14ac:dyDescent="0.35">
      <c r="A48">
        <v>488185414</v>
      </c>
      <c r="B48" t="s">
        <v>2025</v>
      </c>
      <c r="C48" s="186" t="s">
        <v>2026</v>
      </c>
      <c r="D48" s="186" t="s">
        <v>2009</v>
      </c>
      <c r="E48" s="186">
        <v>2230</v>
      </c>
      <c r="F48" t="s">
        <v>2048</v>
      </c>
      <c r="G48" t="s">
        <v>1264</v>
      </c>
      <c r="H48" t="s">
        <v>2040</v>
      </c>
      <c r="I48" t="s">
        <v>2041</v>
      </c>
      <c r="J48" t="s">
        <v>2027</v>
      </c>
      <c r="K48" s="187">
        <v>46247</v>
      </c>
      <c r="L48" s="187">
        <v>47343</v>
      </c>
      <c r="M48" t="s">
        <v>2028</v>
      </c>
      <c r="N48">
        <v>0.5</v>
      </c>
      <c r="P48">
        <v>0</v>
      </c>
      <c r="Q48">
        <v>0</v>
      </c>
    </row>
    <row r="49" spans="1:17" x14ac:dyDescent="0.35">
      <c r="A49">
        <v>488185414</v>
      </c>
      <c r="B49" t="s">
        <v>2025</v>
      </c>
      <c r="C49" s="186" t="s">
        <v>2026</v>
      </c>
      <c r="D49" s="186" t="s">
        <v>2009</v>
      </c>
      <c r="E49" s="186">
        <v>2230</v>
      </c>
      <c r="F49" t="s">
        <v>2048</v>
      </c>
      <c r="G49" t="s">
        <v>1264</v>
      </c>
      <c r="H49" t="s">
        <v>2042</v>
      </c>
      <c r="I49" t="s">
        <v>2043</v>
      </c>
      <c r="J49" t="s">
        <v>2027</v>
      </c>
      <c r="K49" s="187">
        <v>46247</v>
      </c>
      <c r="L49" s="187">
        <v>47343</v>
      </c>
      <c r="M49" t="s">
        <v>2028</v>
      </c>
      <c r="N49">
        <v>0.5</v>
      </c>
      <c r="P49">
        <v>0</v>
      </c>
      <c r="Q49">
        <v>0</v>
      </c>
    </row>
    <row r="50" spans="1:17" x14ac:dyDescent="0.35">
      <c r="A50">
        <v>488185414</v>
      </c>
      <c r="B50" t="s">
        <v>2025</v>
      </c>
      <c r="C50" s="186" t="s">
        <v>2026</v>
      </c>
      <c r="D50" s="186" t="s">
        <v>2009</v>
      </c>
      <c r="E50" s="186">
        <v>2230</v>
      </c>
      <c r="F50" t="s">
        <v>2048</v>
      </c>
      <c r="G50" t="s">
        <v>1264</v>
      </c>
      <c r="H50" t="s">
        <v>2044</v>
      </c>
      <c r="I50" t="s">
        <v>2045</v>
      </c>
      <c r="J50" t="s">
        <v>2027</v>
      </c>
      <c r="K50" s="187">
        <v>46247</v>
      </c>
      <c r="L50" s="187">
        <v>47343</v>
      </c>
      <c r="M50" t="s">
        <v>2028</v>
      </c>
      <c r="N50">
        <v>0.5</v>
      </c>
      <c r="P50">
        <v>0</v>
      </c>
      <c r="Q50">
        <v>0</v>
      </c>
    </row>
    <row r="51" spans="1:17" x14ac:dyDescent="0.35">
      <c r="A51">
        <v>488185414</v>
      </c>
      <c r="B51" t="s">
        <v>2025</v>
      </c>
      <c r="C51" s="186" t="s">
        <v>2026</v>
      </c>
      <c r="D51" s="186" t="s">
        <v>2009</v>
      </c>
      <c r="E51" s="186">
        <v>2232</v>
      </c>
      <c r="F51" t="s">
        <v>2049</v>
      </c>
      <c r="G51" t="s">
        <v>2050</v>
      </c>
      <c r="H51" t="s">
        <v>2042</v>
      </c>
      <c r="I51" t="s">
        <v>2043</v>
      </c>
      <c r="J51" t="s">
        <v>2027</v>
      </c>
      <c r="K51" s="187">
        <v>46247</v>
      </c>
      <c r="L51" s="187">
        <v>47343</v>
      </c>
      <c r="M51" t="s">
        <v>2028</v>
      </c>
      <c r="N51">
        <v>0.5</v>
      </c>
      <c r="P51">
        <v>0</v>
      </c>
      <c r="Q51">
        <v>0</v>
      </c>
    </row>
    <row r="52" spans="1:17" x14ac:dyDescent="0.35">
      <c r="A52">
        <v>488185414</v>
      </c>
      <c r="B52" t="s">
        <v>2025</v>
      </c>
      <c r="C52" s="186" t="s">
        <v>2051</v>
      </c>
      <c r="D52" s="186" t="s">
        <v>2008</v>
      </c>
      <c r="E52" s="186">
        <v>1032</v>
      </c>
      <c r="F52" t="s">
        <v>2031</v>
      </c>
      <c r="G52" t="s">
        <v>1193</v>
      </c>
      <c r="H52" t="s">
        <v>2029</v>
      </c>
      <c r="I52" t="s">
        <v>2030</v>
      </c>
      <c r="J52" t="s">
        <v>2027</v>
      </c>
      <c r="K52" s="187">
        <v>46247</v>
      </c>
      <c r="L52" s="187">
        <v>47343</v>
      </c>
      <c r="M52" t="s">
        <v>2028</v>
      </c>
      <c r="N52">
        <v>0.5</v>
      </c>
      <c r="P52">
        <v>0</v>
      </c>
      <c r="Q52">
        <v>0</v>
      </c>
    </row>
    <row r="53" spans="1:17" x14ac:dyDescent="0.35">
      <c r="A53">
        <v>488185414</v>
      </c>
      <c r="B53" t="s">
        <v>2025</v>
      </c>
      <c r="C53" s="186" t="s">
        <v>2051</v>
      </c>
      <c r="D53" s="186" t="s">
        <v>2008</v>
      </c>
      <c r="E53" s="186">
        <v>1035</v>
      </c>
      <c r="F53" t="s">
        <v>2032</v>
      </c>
      <c r="G53" t="s">
        <v>1066</v>
      </c>
      <c r="H53" t="s">
        <v>2029</v>
      </c>
      <c r="I53" t="s">
        <v>2030</v>
      </c>
      <c r="J53" t="s">
        <v>2027</v>
      </c>
      <c r="K53" s="187">
        <v>46247</v>
      </c>
      <c r="L53" s="187">
        <v>47343</v>
      </c>
      <c r="M53" t="s">
        <v>2028</v>
      </c>
      <c r="N53">
        <v>0.5</v>
      </c>
      <c r="P53">
        <v>0</v>
      </c>
      <c r="Q53">
        <v>0</v>
      </c>
    </row>
    <row r="54" spans="1:17" x14ac:dyDescent="0.35">
      <c r="A54">
        <v>488185414</v>
      </c>
      <c r="B54" t="s">
        <v>2025</v>
      </c>
      <c r="C54" s="186" t="s">
        <v>2051</v>
      </c>
      <c r="D54" s="186" t="s">
        <v>2008</v>
      </c>
      <c r="E54" s="186">
        <v>1084</v>
      </c>
      <c r="F54" t="s">
        <v>2033</v>
      </c>
      <c r="G54" t="s">
        <v>1041</v>
      </c>
      <c r="H54" t="s">
        <v>2029</v>
      </c>
      <c r="I54" t="s">
        <v>2030</v>
      </c>
      <c r="J54" t="s">
        <v>2027</v>
      </c>
      <c r="K54" s="187">
        <v>46247</v>
      </c>
      <c r="L54" s="187">
        <v>47343</v>
      </c>
      <c r="M54" t="s">
        <v>2028</v>
      </c>
      <c r="N54">
        <v>0.5</v>
      </c>
      <c r="P54">
        <v>0</v>
      </c>
      <c r="Q54">
        <v>0</v>
      </c>
    </row>
    <row r="55" spans="1:17" x14ac:dyDescent="0.35">
      <c r="A55">
        <v>488185414</v>
      </c>
      <c r="B55" t="s">
        <v>2025</v>
      </c>
      <c r="C55" s="186" t="s">
        <v>2051</v>
      </c>
      <c r="D55" s="186" t="s">
        <v>2008</v>
      </c>
      <c r="E55" s="186">
        <v>1086</v>
      </c>
      <c r="F55" t="s">
        <v>2034</v>
      </c>
      <c r="G55" t="s">
        <v>1042</v>
      </c>
      <c r="H55" t="s">
        <v>2029</v>
      </c>
      <c r="I55" t="s">
        <v>2030</v>
      </c>
      <c r="J55" t="s">
        <v>2027</v>
      </c>
      <c r="K55" s="187">
        <v>46247</v>
      </c>
      <c r="L55" s="187">
        <v>47343</v>
      </c>
      <c r="M55" t="s">
        <v>2028</v>
      </c>
      <c r="N55">
        <v>0.5</v>
      </c>
      <c r="P55">
        <v>0</v>
      </c>
      <c r="Q55">
        <v>0</v>
      </c>
    </row>
    <row r="56" spans="1:17" x14ac:dyDescent="0.35">
      <c r="A56">
        <v>488185414</v>
      </c>
      <c r="B56" t="s">
        <v>2025</v>
      </c>
      <c r="C56" s="186" t="s">
        <v>2051</v>
      </c>
      <c r="D56" s="186" t="s">
        <v>2008</v>
      </c>
      <c r="E56" s="186">
        <v>1094</v>
      </c>
      <c r="F56" t="s">
        <v>2035</v>
      </c>
      <c r="G56" t="s">
        <v>1048</v>
      </c>
      <c r="H56" t="s">
        <v>2029</v>
      </c>
      <c r="I56" t="s">
        <v>2030</v>
      </c>
      <c r="J56" t="s">
        <v>2027</v>
      </c>
      <c r="K56" s="187">
        <v>46247</v>
      </c>
      <c r="L56" s="187">
        <v>47343</v>
      </c>
      <c r="M56" t="s">
        <v>2028</v>
      </c>
      <c r="N56">
        <v>0.5</v>
      </c>
      <c r="P56">
        <v>0</v>
      </c>
      <c r="Q56">
        <v>0</v>
      </c>
    </row>
    <row r="57" spans="1:17" x14ac:dyDescent="0.35">
      <c r="A57">
        <v>488185414</v>
      </c>
      <c r="B57" t="s">
        <v>2025</v>
      </c>
      <c r="C57" s="186" t="s">
        <v>2051</v>
      </c>
      <c r="D57" s="186" t="s">
        <v>2008</v>
      </c>
      <c r="E57" s="186">
        <v>1096</v>
      </c>
      <c r="F57" t="s">
        <v>2036</v>
      </c>
      <c r="G57" t="s">
        <v>1043</v>
      </c>
      <c r="H57" t="s">
        <v>2029</v>
      </c>
      <c r="I57" t="s">
        <v>2030</v>
      </c>
      <c r="J57" t="s">
        <v>2027</v>
      </c>
      <c r="K57" s="187">
        <v>46247</v>
      </c>
      <c r="L57" s="187">
        <v>47343</v>
      </c>
      <c r="M57" t="s">
        <v>2028</v>
      </c>
      <c r="N57">
        <v>0.5</v>
      </c>
      <c r="P57">
        <v>0</v>
      </c>
      <c r="Q57">
        <v>0</v>
      </c>
    </row>
    <row r="58" spans="1:17" x14ac:dyDescent="0.35">
      <c r="A58">
        <v>488185414</v>
      </c>
      <c r="B58" t="s">
        <v>2025</v>
      </c>
      <c r="C58" s="186" t="s">
        <v>2051</v>
      </c>
      <c r="D58" s="186" t="s">
        <v>2008</v>
      </c>
      <c r="E58" s="186">
        <v>1104</v>
      </c>
      <c r="F58" t="s">
        <v>2037</v>
      </c>
      <c r="G58" t="s">
        <v>1064</v>
      </c>
      <c r="H58" t="s">
        <v>2029</v>
      </c>
      <c r="I58" t="s">
        <v>2030</v>
      </c>
      <c r="J58" t="s">
        <v>2027</v>
      </c>
      <c r="K58" s="187">
        <v>46247</v>
      </c>
      <c r="L58" s="187">
        <v>47343</v>
      </c>
      <c r="M58" t="s">
        <v>2028</v>
      </c>
      <c r="N58">
        <v>0.5</v>
      </c>
      <c r="P58">
        <v>0</v>
      </c>
      <c r="Q58">
        <v>0</v>
      </c>
    </row>
    <row r="59" spans="1:17" x14ac:dyDescent="0.35">
      <c r="A59">
        <v>488185414</v>
      </c>
      <c r="B59" t="s">
        <v>2025</v>
      </c>
      <c r="C59" s="186" t="s">
        <v>2051</v>
      </c>
      <c r="D59" s="186" t="s">
        <v>2008</v>
      </c>
      <c r="E59" s="186">
        <v>1105</v>
      </c>
      <c r="F59" t="s">
        <v>2038</v>
      </c>
      <c r="G59" t="s">
        <v>1054</v>
      </c>
      <c r="H59" t="s">
        <v>2029</v>
      </c>
      <c r="I59" t="s">
        <v>2030</v>
      </c>
      <c r="J59" t="s">
        <v>2027</v>
      </c>
      <c r="K59" s="187">
        <v>46247</v>
      </c>
      <c r="L59" s="187">
        <v>47343</v>
      </c>
      <c r="M59" t="s">
        <v>2028</v>
      </c>
      <c r="N59">
        <v>0.55000000000000004</v>
      </c>
      <c r="P59">
        <v>0</v>
      </c>
      <c r="Q59">
        <v>0</v>
      </c>
    </row>
    <row r="60" spans="1:17" x14ac:dyDescent="0.35">
      <c r="A60">
        <v>488185414</v>
      </c>
      <c r="B60" t="s">
        <v>2025</v>
      </c>
      <c r="C60" s="186" t="s">
        <v>2051</v>
      </c>
      <c r="D60" s="186" t="s">
        <v>2008</v>
      </c>
      <c r="E60" s="186">
        <v>1106</v>
      </c>
      <c r="F60" t="s">
        <v>2039</v>
      </c>
      <c r="G60" t="s">
        <v>1067</v>
      </c>
      <c r="H60" t="s">
        <v>2029</v>
      </c>
      <c r="I60" t="s">
        <v>2030</v>
      </c>
      <c r="J60" t="s">
        <v>2027</v>
      </c>
      <c r="K60" s="187">
        <v>46247</v>
      </c>
      <c r="L60" s="187">
        <v>47343</v>
      </c>
      <c r="M60" t="s">
        <v>2028</v>
      </c>
      <c r="N60">
        <v>0.5</v>
      </c>
      <c r="P60">
        <v>0</v>
      </c>
      <c r="Q60">
        <v>0</v>
      </c>
    </row>
    <row r="61" spans="1:17" x14ac:dyDescent="0.35">
      <c r="A61">
        <v>488185414</v>
      </c>
      <c r="B61" t="s">
        <v>2025</v>
      </c>
      <c r="C61" s="186" t="s">
        <v>2051</v>
      </c>
      <c r="D61" s="186" t="s">
        <v>2008</v>
      </c>
      <c r="E61" s="186">
        <v>1109</v>
      </c>
      <c r="F61" t="s">
        <v>1277</v>
      </c>
      <c r="G61" t="s">
        <v>1278</v>
      </c>
      <c r="H61" t="s">
        <v>2069</v>
      </c>
      <c r="I61" t="s">
        <v>2070</v>
      </c>
      <c r="J61" t="s">
        <v>2027</v>
      </c>
      <c r="K61" s="187">
        <v>46247</v>
      </c>
      <c r="L61" s="187">
        <v>47343</v>
      </c>
      <c r="M61" t="s">
        <v>2028</v>
      </c>
      <c r="N61">
        <v>0.35</v>
      </c>
      <c r="P61">
        <v>0</v>
      </c>
      <c r="Q61">
        <v>0</v>
      </c>
    </row>
    <row r="62" spans="1:17" x14ac:dyDescent="0.35">
      <c r="A62">
        <v>488185414</v>
      </c>
      <c r="B62" t="s">
        <v>2025</v>
      </c>
      <c r="C62" s="186" t="s">
        <v>2051</v>
      </c>
      <c r="D62" s="186" t="s">
        <v>2008</v>
      </c>
      <c r="E62" s="186">
        <v>1109</v>
      </c>
      <c r="F62" t="s">
        <v>1277</v>
      </c>
      <c r="G62" t="s">
        <v>1278</v>
      </c>
      <c r="H62" t="s">
        <v>2071</v>
      </c>
      <c r="I62" t="s">
        <v>2072</v>
      </c>
      <c r="J62" t="s">
        <v>2027</v>
      </c>
      <c r="K62" s="187">
        <v>46247</v>
      </c>
      <c r="L62" s="187">
        <v>47343</v>
      </c>
      <c r="M62" t="s">
        <v>2028</v>
      </c>
      <c r="N62">
        <v>0.35</v>
      </c>
      <c r="P62">
        <v>0</v>
      </c>
      <c r="Q62">
        <v>0</v>
      </c>
    </row>
    <row r="63" spans="1:17" x14ac:dyDescent="0.35">
      <c r="A63">
        <v>488185414</v>
      </c>
      <c r="B63" t="s">
        <v>2025</v>
      </c>
      <c r="C63" s="186" t="s">
        <v>2051</v>
      </c>
      <c r="D63" s="186" t="s">
        <v>2008</v>
      </c>
      <c r="E63" s="186">
        <v>1111</v>
      </c>
      <c r="F63" t="s">
        <v>1412</v>
      </c>
      <c r="G63" t="s">
        <v>1413</v>
      </c>
      <c r="H63" t="s">
        <v>2069</v>
      </c>
      <c r="I63" t="s">
        <v>2070</v>
      </c>
      <c r="J63" t="s">
        <v>2027</v>
      </c>
      <c r="K63" s="187">
        <v>46247</v>
      </c>
      <c r="L63" s="187">
        <v>47343</v>
      </c>
      <c r="M63" t="s">
        <v>2028</v>
      </c>
      <c r="N63">
        <v>0.25</v>
      </c>
      <c r="P63">
        <v>0</v>
      </c>
      <c r="Q63">
        <v>0</v>
      </c>
    </row>
    <row r="64" spans="1:17" x14ac:dyDescent="0.35">
      <c r="A64">
        <v>488185414</v>
      </c>
      <c r="B64" t="s">
        <v>2025</v>
      </c>
      <c r="C64" s="186" t="s">
        <v>2051</v>
      </c>
      <c r="D64" s="186" t="s">
        <v>2008</v>
      </c>
      <c r="E64" s="186">
        <v>1111</v>
      </c>
      <c r="F64" t="s">
        <v>1412</v>
      </c>
      <c r="G64" t="s">
        <v>1413</v>
      </c>
      <c r="H64" t="s">
        <v>2071</v>
      </c>
      <c r="I64" t="s">
        <v>2072</v>
      </c>
      <c r="J64" t="s">
        <v>2027</v>
      </c>
      <c r="K64" s="187">
        <v>46247</v>
      </c>
      <c r="L64" s="187">
        <v>47343</v>
      </c>
      <c r="M64" t="s">
        <v>2028</v>
      </c>
      <c r="N64">
        <v>0.25</v>
      </c>
      <c r="P64">
        <v>0</v>
      </c>
      <c r="Q64">
        <v>0</v>
      </c>
    </row>
    <row r="65" spans="1:17" x14ac:dyDescent="0.35">
      <c r="A65">
        <v>488185414</v>
      </c>
      <c r="B65" t="s">
        <v>2025</v>
      </c>
      <c r="C65" s="186" t="s">
        <v>2051</v>
      </c>
      <c r="D65" s="186" t="s">
        <v>2008</v>
      </c>
      <c r="E65" s="186">
        <v>1252</v>
      </c>
      <c r="F65" t="s">
        <v>2073</v>
      </c>
      <c r="G65" t="s">
        <v>2046</v>
      </c>
      <c r="H65" t="s">
        <v>2029</v>
      </c>
      <c r="I65" t="s">
        <v>2030</v>
      </c>
      <c r="J65" t="s">
        <v>2027</v>
      </c>
      <c r="K65" s="187">
        <v>46247</v>
      </c>
      <c r="L65" s="187">
        <v>47343</v>
      </c>
      <c r="M65" t="s">
        <v>2028</v>
      </c>
      <c r="N65">
        <v>0.25</v>
      </c>
      <c r="P65">
        <v>0</v>
      </c>
      <c r="Q65">
        <v>0</v>
      </c>
    </row>
    <row r="66" spans="1:17" x14ac:dyDescent="0.35">
      <c r="A66">
        <v>488185414</v>
      </c>
      <c r="B66" t="s">
        <v>2025</v>
      </c>
      <c r="C66" s="186" t="s">
        <v>2051</v>
      </c>
      <c r="D66" s="186" t="s">
        <v>2008</v>
      </c>
      <c r="E66" s="186">
        <v>1253</v>
      </c>
      <c r="F66" t="s">
        <v>2074</v>
      </c>
      <c r="G66" t="s">
        <v>2047</v>
      </c>
      <c r="H66" t="s">
        <v>2029</v>
      </c>
      <c r="I66" t="s">
        <v>2030</v>
      </c>
      <c r="J66" t="s">
        <v>2027</v>
      </c>
      <c r="K66" s="187">
        <v>46247</v>
      </c>
      <c r="L66" s="187">
        <v>47343</v>
      </c>
      <c r="M66" t="s">
        <v>2028</v>
      </c>
      <c r="N66">
        <v>0.25</v>
      </c>
      <c r="P66">
        <v>0</v>
      </c>
      <c r="Q66">
        <v>0</v>
      </c>
    </row>
    <row r="67" spans="1:17" x14ac:dyDescent="0.35">
      <c r="A67">
        <v>488185414</v>
      </c>
      <c r="B67" t="s">
        <v>2025</v>
      </c>
      <c r="C67" s="186" t="s">
        <v>2051</v>
      </c>
      <c r="D67" s="186" t="s">
        <v>2008</v>
      </c>
      <c r="E67" s="186">
        <v>1259</v>
      </c>
      <c r="F67" t="s">
        <v>1294</v>
      </c>
      <c r="G67" t="s">
        <v>1295</v>
      </c>
      <c r="H67" t="s">
        <v>2069</v>
      </c>
      <c r="I67" t="s">
        <v>2070</v>
      </c>
      <c r="J67" t="s">
        <v>2027</v>
      </c>
      <c r="K67" s="187">
        <v>46247</v>
      </c>
      <c r="L67" s="187">
        <v>47343</v>
      </c>
      <c r="M67" t="s">
        <v>2028</v>
      </c>
      <c r="N67">
        <v>0.35</v>
      </c>
      <c r="P67">
        <v>0</v>
      </c>
      <c r="Q67">
        <v>0</v>
      </c>
    </row>
    <row r="68" spans="1:17" x14ac:dyDescent="0.35">
      <c r="A68">
        <v>488185414</v>
      </c>
      <c r="B68" t="s">
        <v>2025</v>
      </c>
      <c r="C68" s="186" t="s">
        <v>2051</v>
      </c>
      <c r="D68" s="186" t="s">
        <v>2008</v>
      </c>
      <c r="E68" s="186">
        <v>1259</v>
      </c>
      <c r="F68" t="s">
        <v>1294</v>
      </c>
      <c r="G68" t="s">
        <v>1295</v>
      </c>
      <c r="H68" t="s">
        <v>2071</v>
      </c>
      <c r="I68" t="s">
        <v>2072</v>
      </c>
      <c r="J68" t="s">
        <v>2027</v>
      </c>
      <c r="K68" s="187">
        <v>46247</v>
      </c>
      <c r="L68" s="187">
        <v>47343</v>
      </c>
      <c r="M68" t="s">
        <v>2028</v>
      </c>
      <c r="N68">
        <v>0.35</v>
      </c>
      <c r="P68">
        <v>0</v>
      </c>
      <c r="Q68">
        <v>0</v>
      </c>
    </row>
    <row r="69" spans="1:17" x14ac:dyDescent="0.35">
      <c r="A69">
        <v>488185414</v>
      </c>
      <c r="B69" t="s">
        <v>2025</v>
      </c>
      <c r="C69" s="186" t="s">
        <v>2051</v>
      </c>
      <c r="D69" s="186" t="s">
        <v>2008</v>
      </c>
      <c r="E69" s="186">
        <v>1273</v>
      </c>
      <c r="F69" t="s">
        <v>2075</v>
      </c>
      <c r="G69" t="s">
        <v>1263</v>
      </c>
      <c r="H69" t="s">
        <v>2076</v>
      </c>
      <c r="I69" t="s">
        <v>2077</v>
      </c>
      <c r="J69" t="s">
        <v>2027</v>
      </c>
      <c r="K69" s="187">
        <v>46247</v>
      </c>
      <c r="L69" s="187">
        <v>47343</v>
      </c>
      <c r="M69" t="s">
        <v>2028</v>
      </c>
      <c r="N69">
        <v>0.5</v>
      </c>
      <c r="P69">
        <v>0</v>
      </c>
      <c r="Q69">
        <v>0</v>
      </c>
    </row>
    <row r="70" spans="1:17" x14ac:dyDescent="0.35">
      <c r="A70">
        <v>488185414</v>
      </c>
      <c r="B70" t="s">
        <v>2025</v>
      </c>
      <c r="C70" s="186" t="s">
        <v>2051</v>
      </c>
      <c r="D70" s="186" t="s">
        <v>2008</v>
      </c>
      <c r="E70" s="186">
        <v>1273</v>
      </c>
      <c r="F70" t="s">
        <v>2075</v>
      </c>
      <c r="G70" t="s">
        <v>1263</v>
      </c>
      <c r="H70" t="s">
        <v>2029</v>
      </c>
      <c r="I70" t="s">
        <v>2030</v>
      </c>
      <c r="J70" t="s">
        <v>2027</v>
      </c>
      <c r="K70" s="187">
        <v>46247</v>
      </c>
      <c r="L70" s="187">
        <v>47343</v>
      </c>
      <c r="M70" t="s">
        <v>2028</v>
      </c>
      <c r="N70">
        <v>0.5</v>
      </c>
      <c r="P70">
        <v>0</v>
      </c>
      <c r="Q70">
        <v>0</v>
      </c>
    </row>
    <row r="71" spans="1:17" x14ac:dyDescent="0.35">
      <c r="A71">
        <v>488185414</v>
      </c>
      <c r="B71" t="s">
        <v>2025</v>
      </c>
      <c r="C71" s="186" t="s">
        <v>2051</v>
      </c>
      <c r="D71" s="186" t="s">
        <v>2008</v>
      </c>
      <c r="E71" s="186">
        <v>1275</v>
      </c>
      <c r="F71" t="s">
        <v>2078</v>
      </c>
      <c r="G71" t="s">
        <v>1264</v>
      </c>
      <c r="H71" t="s">
        <v>2076</v>
      </c>
      <c r="I71" t="s">
        <v>2077</v>
      </c>
      <c r="J71" t="s">
        <v>2027</v>
      </c>
      <c r="K71" s="187">
        <v>46247</v>
      </c>
      <c r="L71" s="187">
        <v>47343</v>
      </c>
      <c r="M71" t="s">
        <v>2028</v>
      </c>
      <c r="N71">
        <v>0.5</v>
      </c>
      <c r="P71">
        <v>0</v>
      </c>
      <c r="Q71">
        <v>0</v>
      </c>
    </row>
    <row r="72" spans="1:17" x14ac:dyDescent="0.35">
      <c r="A72">
        <v>488185414</v>
      </c>
      <c r="B72" t="s">
        <v>2025</v>
      </c>
      <c r="C72" s="186" t="s">
        <v>2051</v>
      </c>
      <c r="D72" s="186" t="s">
        <v>2008</v>
      </c>
      <c r="E72" s="186">
        <v>1275</v>
      </c>
      <c r="F72" t="s">
        <v>2078</v>
      </c>
      <c r="G72" t="s">
        <v>1264</v>
      </c>
      <c r="H72" t="s">
        <v>2029</v>
      </c>
      <c r="I72" t="s">
        <v>2030</v>
      </c>
      <c r="J72" t="s">
        <v>2027</v>
      </c>
      <c r="K72" s="187">
        <v>46247</v>
      </c>
      <c r="L72" s="187">
        <v>47343</v>
      </c>
      <c r="M72" t="s">
        <v>2028</v>
      </c>
      <c r="N72">
        <v>0.5</v>
      </c>
      <c r="P72">
        <v>0</v>
      </c>
      <c r="Q72">
        <v>0</v>
      </c>
    </row>
    <row r="73" spans="1:17" x14ac:dyDescent="0.35">
      <c r="A73">
        <v>488185414</v>
      </c>
      <c r="B73" t="s">
        <v>2025</v>
      </c>
      <c r="C73" s="186" t="s">
        <v>2051</v>
      </c>
      <c r="D73" s="186" t="s">
        <v>2009</v>
      </c>
      <c r="E73" s="186">
        <v>2005</v>
      </c>
      <c r="F73" t="s">
        <v>1011</v>
      </c>
      <c r="G73" t="s">
        <v>1010</v>
      </c>
      <c r="H73" t="s">
        <v>2040</v>
      </c>
      <c r="I73" t="s">
        <v>2041</v>
      </c>
      <c r="J73" t="s">
        <v>2027</v>
      </c>
      <c r="K73" s="187">
        <v>46247</v>
      </c>
      <c r="L73" s="187">
        <v>47343</v>
      </c>
      <c r="M73" t="s">
        <v>2028</v>
      </c>
      <c r="N73">
        <v>0.75</v>
      </c>
      <c r="P73">
        <v>0</v>
      </c>
      <c r="Q73">
        <v>0</v>
      </c>
    </row>
    <row r="74" spans="1:17" x14ac:dyDescent="0.35">
      <c r="A74">
        <v>488185414</v>
      </c>
      <c r="B74" t="s">
        <v>2025</v>
      </c>
      <c r="C74" s="186" t="s">
        <v>2051</v>
      </c>
      <c r="D74" s="186" t="s">
        <v>2009</v>
      </c>
      <c r="E74" s="186">
        <v>2005</v>
      </c>
      <c r="F74" t="s">
        <v>1011</v>
      </c>
      <c r="G74" t="s">
        <v>1010</v>
      </c>
      <c r="H74" t="s">
        <v>2042</v>
      </c>
      <c r="I74" t="s">
        <v>2043</v>
      </c>
      <c r="J74" t="s">
        <v>2027</v>
      </c>
      <c r="K74" s="187">
        <v>46247</v>
      </c>
      <c r="L74" s="187">
        <v>47343</v>
      </c>
      <c r="M74" t="s">
        <v>2028</v>
      </c>
      <c r="N74">
        <v>0.75</v>
      </c>
      <c r="P74">
        <v>0</v>
      </c>
      <c r="Q74">
        <v>0</v>
      </c>
    </row>
    <row r="75" spans="1:17" x14ac:dyDescent="0.35">
      <c r="A75">
        <v>488185414</v>
      </c>
      <c r="B75" t="s">
        <v>2025</v>
      </c>
      <c r="C75" s="186" t="s">
        <v>2051</v>
      </c>
      <c r="D75" s="186" t="s">
        <v>2009</v>
      </c>
      <c r="E75" s="186">
        <v>2005</v>
      </c>
      <c r="F75" t="s">
        <v>1011</v>
      </c>
      <c r="G75" t="s">
        <v>1010</v>
      </c>
      <c r="H75" t="s">
        <v>2044</v>
      </c>
      <c r="I75" t="s">
        <v>2045</v>
      </c>
      <c r="J75" t="s">
        <v>2027</v>
      </c>
      <c r="K75" s="187">
        <v>46247</v>
      </c>
      <c r="L75" s="187">
        <v>47343</v>
      </c>
      <c r="M75" t="s">
        <v>2028</v>
      </c>
      <c r="N75">
        <v>0.35</v>
      </c>
      <c r="P75">
        <v>0</v>
      </c>
      <c r="Q75">
        <v>0</v>
      </c>
    </row>
    <row r="76" spans="1:17" x14ac:dyDescent="0.35">
      <c r="A76">
        <v>488185414</v>
      </c>
      <c r="B76" t="s">
        <v>2025</v>
      </c>
      <c r="C76" s="186" t="s">
        <v>2051</v>
      </c>
      <c r="D76" s="186" t="s">
        <v>2009</v>
      </c>
      <c r="E76" s="186">
        <v>2006</v>
      </c>
      <c r="F76" t="s">
        <v>1013</v>
      </c>
      <c r="G76" t="s">
        <v>1012</v>
      </c>
      <c r="H76" t="s">
        <v>2040</v>
      </c>
      <c r="I76" t="s">
        <v>2041</v>
      </c>
      <c r="J76" t="s">
        <v>2027</v>
      </c>
      <c r="K76" s="187">
        <v>46247</v>
      </c>
      <c r="L76" s="187">
        <v>47343</v>
      </c>
      <c r="M76" t="s">
        <v>2028</v>
      </c>
      <c r="N76">
        <v>0.5</v>
      </c>
      <c r="P76">
        <v>0</v>
      </c>
      <c r="Q76">
        <v>0</v>
      </c>
    </row>
    <row r="77" spans="1:17" x14ac:dyDescent="0.35">
      <c r="A77">
        <v>488185414</v>
      </c>
      <c r="B77" t="s">
        <v>2025</v>
      </c>
      <c r="C77" s="186" t="s">
        <v>2051</v>
      </c>
      <c r="D77" s="186" t="s">
        <v>2009</v>
      </c>
      <c r="E77" s="186">
        <v>2006</v>
      </c>
      <c r="F77" t="s">
        <v>1013</v>
      </c>
      <c r="G77" t="s">
        <v>1012</v>
      </c>
      <c r="H77" t="s">
        <v>2042</v>
      </c>
      <c r="I77" t="s">
        <v>2043</v>
      </c>
      <c r="J77" t="s">
        <v>2027</v>
      </c>
      <c r="K77" s="187">
        <v>46247</v>
      </c>
      <c r="L77" s="187">
        <v>47343</v>
      </c>
      <c r="M77" t="s">
        <v>2028</v>
      </c>
      <c r="N77">
        <v>0.5</v>
      </c>
      <c r="P77">
        <v>0</v>
      </c>
      <c r="Q77">
        <v>0</v>
      </c>
    </row>
    <row r="78" spans="1:17" x14ac:dyDescent="0.35">
      <c r="A78">
        <v>488185414</v>
      </c>
      <c r="B78" t="s">
        <v>2025</v>
      </c>
      <c r="C78" s="186" t="s">
        <v>2051</v>
      </c>
      <c r="D78" s="186" t="s">
        <v>2009</v>
      </c>
      <c r="E78" s="186">
        <v>2044</v>
      </c>
      <c r="F78" t="s">
        <v>1128</v>
      </c>
      <c r="G78" t="s">
        <v>1127</v>
      </c>
      <c r="H78" t="s">
        <v>2042</v>
      </c>
      <c r="I78" t="s">
        <v>2043</v>
      </c>
      <c r="J78" t="s">
        <v>2027</v>
      </c>
      <c r="K78" s="187">
        <v>46247</v>
      </c>
      <c r="L78" s="187">
        <v>47343</v>
      </c>
      <c r="M78" t="s">
        <v>2028</v>
      </c>
      <c r="N78">
        <v>0.5</v>
      </c>
      <c r="P78">
        <v>0</v>
      </c>
      <c r="Q78">
        <v>0</v>
      </c>
    </row>
    <row r="79" spans="1:17" x14ac:dyDescent="0.35">
      <c r="A79">
        <v>488185414</v>
      </c>
      <c r="B79" t="s">
        <v>2025</v>
      </c>
      <c r="C79" s="186" t="s">
        <v>2051</v>
      </c>
      <c r="D79" s="186" t="s">
        <v>2009</v>
      </c>
      <c r="E79" s="186">
        <v>2046</v>
      </c>
      <c r="F79" t="s">
        <v>1122</v>
      </c>
      <c r="G79" t="s">
        <v>1121</v>
      </c>
      <c r="H79" t="s">
        <v>2042</v>
      </c>
      <c r="I79" t="s">
        <v>2043</v>
      </c>
      <c r="J79" t="s">
        <v>2027</v>
      </c>
      <c r="K79" s="187">
        <v>46247</v>
      </c>
      <c r="L79" s="187">
        <v>47343</v>
      </c>
      <c r="M79" t="s">
        <v>2028</v>
      </c>
      <c r="N79">
        <v>0.5</v>
      </c>
      <c r="P79">
        <v>0</v>
      </c>
      <c r="Q79">
        <v>0</v>
      </c>
    </row>
    <row r="80" spans="1:17" x14ac:dyDescent="0.35">
      <c r="A80">
        <v>488185414</v>
      </c>
      <c r="B80" t="s">
        <v>2025</v>
      </c>
      <c r="C80" s="186" t="s">
        <v>2051</v>
      </c>
      <c r="D80" s="186" t="s">
        <v>2009</v>
      </c>
      <c r="E80" s="186">
        <v>2056</v>
      </c>
      <c r="F80" t="s">
        <v>1102</v>
      </c>
      <c r="G80" t="s">
        <v>1101</v>
      </c>
      <c r="H80" t="s">
        <v>2040</v>
      </c>
      <c r="I80" t="s">
        <v>2041</v>
      </c>
      <c r="J80" t="s">
        <v>2027</v>
      </c>
      <c r="K80" s="187">
        <v>46247</v>
      </c>
      <c r="L80" s="187">
        <v>47343</v>
      </c>
      <c r="M80" t="s">
        <v>2028</v>
      </c>
      <c r="N80">
        <v>0.5</v>
      </c>
      <c r="P80">
        <v>0</v>
      </c>
      <c r="Q80">
        <v>0</v>
      </c>
    </row>
    <row r="81" spans="1:17" x14ac:dyDescent="0.35">
      <c r="A81">
        <v>488185414</v>
      </c>
      <c r="B81" t="s">
        <v>2025</v>
      </c>
      <c r="C81" s="186" t="s">
        <v>2051</v>
      </c>
      <c r="D81" s="186" t="s">
        <v>2009</v>
      </c>
      <c r="E81" s="186">
        <v>2056</v>
      </c>
      <c r="F81" t="s">
        <v>1102</v>
      </c>
      <c r="G81" t="s">
        <v>1101</v>
      </c>
      <c r="H81" t="s">
        <v>2042</v>
      </c>
      <c r="I81" t="s">
        <v>2043</v>
      </c>
      <c r="J81" t="s">
        <v>2027</v>
      </c>
      <c r="K81" s="187">
        <v>46247</v>
      </c>
      <c r="L81" s="187">
        <v>47343</v>
      </c>
      <c r="M81" t="s">
        <v>2028</v>
      </c>
      <c r="N81">
        <v>0.5</v>
      </c>
      <c r="P81">
        <v>0</v>
      </c>
      <c r="Q81">
        <v>0</v>
      </c>
    </row>
    <row r="82" spans="1:17" x14ac:dyDescent="0.35">
      <c r="A82">
        <v>488185414</v>
      </c>
      <c r="B82" t="s">
        <v>2025</v>
      </c>
      <c r="C82" s="186" t="s">
        <v>2051</v>
      </c>
      <c r="D82" s="186" t="s">
        <v>2009</v>
      </c>
      <c r="E82" s="186">
        <v>2056</v>
      </c>
      <c r="F82" t="s">
        <v>1102</v>
      </c>
      <c r="G82" t="s">
        <v>1101</v>
      </c>
      <c r="H82" t="s">
        <v>2044</v>
      </c>
      <c r="I82" t="s">
        <v>2045</v>
      </c>
      <c r="J82" t="s">
        <v>2027</v>
      </c>
      <c r="K82" s="187">
        <v>46247</v>
      </c>
      <c r="L82" s="187">
        <v>47343</v>
      </c>
      <c r="M82" t="s">
        <v>2028</v>
      </c>
      <c r="N82">
        <v>0.5</v>
      </c>
      <c r="P82">
        <v>0</v>
      </c>
      <c r="Q82">
        <v>0</v>
      </c>
    </row>
    <row r="83" spans="1:17" x14ac:dyDescent="0.35">
      <c r="A83">
        <v>488185414</v>
      </c>
      <c r="B83" t="s">
        <v>2025</v>
      </c>
      <c r="C83" s="186" t="s">
        <v>2051</v>
      </c>
      <c r="D83" s="186" t="s">
        <v>2009</v>
      </c>
      <c r="E83" s="186">
        <v>2058</v>
      </c>
      <c r="F83" t="s">
        <v>1104</v>
      </c>
      <c r="G83" t="s">
        <v>1103</v>
      </c>
      <c r="H83" t="s">
        <v>2040</v>
      </c>
      <c r="I83" t="s">
        <v>2041</v>
      </c>
      <c r="J83" t="s">
        <v>2027</v>
      </c>
      <c r="K83" s="187">
        <v>46247</v>
      </c>
      <c r="L83" s="187">
        <v>47343</v>
      </c>
      <c r="M83" t="s">
        <v>2028</v>
      </c>
      <c r="N83">
        <v>0.5</v>
      </c>
      <c r="P83">
        <v>0</v>
      </c>
      <c r="Q83">
        <v>0</v>
      </c>
    </row>
    <row r="84" spans="1:17" x14ac:dyDescent="0.35">
      <c r="A84">
        <v>488185414</v>
      </c>
      <c r="B84" t="s">
        <v>2025</v>
      </c>
      <c r="C84" s="186" t="s">
        <v>2051</v>
      </c>
      <c r="D84" s="186" t="s">
        <v>2009</v>
      </c>
      <c r="E84" s="186">
        <v>2058</v>
      </c>
      <c r="F84" t="s">
        <v>1104</v>
      </c>
      <c r="G84" t="s">
        <v>1103</v>
      </c>
      <c r="H84" t="s">
        <v>2042</v>
      </c>
      <c r="I84" t="s">
        <v>2043</v>
      </c>
      <c r="J84" t="s">
        <v>2027</v>
      </c>
      <c r="K84" s="187">
        <v>46247</v>
      </c>
      <c r="L84" s="187">
        <v>47343</v>
      </c>
      <c r="M84" t="s">
        <v>2028</v>
      </c>
      <c r="N84">
        <v>0.5</v>
      </c>
      <c r="P84">
        <v>0</v>
      </c>
      <c r="Q84">
        <v>0</v>
      </c>
    </row>
    <row r="85" spans="1:17" x14ac:dyDescent="0.35">
      <c r="A85">
        <v>488185414</v>
      </c>
      <c r="B85" t="s">
        <v>2025</v>
      </c>
      <c r="C85" s="186" t="s">
        <v>2051</v>
      </c>
      <c r="D85" s="186" t="s">
        <v>2009</v>
      </c>
      <c r="E85" s="186">
        <v>2058</v>
      </c>
      <c r="F85" t="s">
        <v>1104</v>
      </c>
      <c r="G85" t="s">
        <v>1103</v>
      </c>
      <c r="H85" t="s">
        <v>2044</v>
      </c>
      <c r="I85" t="s">
        <v>2045</v>
      </c>
      <c r="J85" t="s">
        <v>2027</v>
      </c>
      <c r="K85" s="187">
        <v>46247</v>
      </c>
      <c r="L85" s="187">
        <v>47343</v>
      </c>
      <c r="M85" t="s">
        <v>2028</v>
      </c>
      <c r="N85">
        <v>0.5</v>
      </c>
      <c r="P85">
        <v>0</v>
      </c>
      <c r="Q85">
        <v>0</v>
      </c>
    </row>
    <row r="86" spans="1:17" x14ac:dyDescent="0.35">
      <c r="A86">
        <v>488185414</v>
      </c>
      <c r="B86" t="s">
        <v>2025</v>
      </c>
      <c r="C86" s="186" t="s">
        <v>2051</v>
      </c>
      <c r="D86" s="186" t="s">
        <v>2009</v>
      </c>
      <c r="E86" s="186">
        <v>2109</v>
      </c>
      <c r="F86" t="s">
        <v>1028</v>
      </c>
      <c r="G86" t="s">
        <v>1027</v>
      </c>
      <c r="H86" t="s">
        <v>2040</v>
      </c>
      <c r="I86" t="s">
        <v>2041</v>
      </c>
      <c r="J86" t="s">
        <v>2027</v>
      </c>
      <c r="K86" s="187">
        <v>46247</v>
      </c>
      <c r="L86" s="187">
        <v>47343</v>
      </c>
      <c r="M86" t="s">
        <v>2028</v>
      </c>
      <c r="N86">
        <v>0.75029999999999997</v>
      </c>
      <c r="P86">
        <v>0</v>
      </c>
      <c r="Q86">
        <v>0</v>
      </c>
    </row>
    <row r="87" spans="1:17" x14ac:dyDescent="0.35">
      <c r="A87">
        <v>488185414</v>
      </c>
      <c r="B87" t="s">
        <v>2025</v>
      </c>
      <c r="C87" s="186" t="s">
        <v>2051</v>
      </c>
      <c r="D87" s="186" t="s">
        <v>2009</v>
      </c>
      <c r="E87" s="186">
        <v>2109</v>
      </c>
      <c r="F87" t="s">
        <v>1028</v>
      </c>
      <c r="G87" t="s">
        <v>1027</v>
      </c>
      <c r="H87" t="s">
        <v>2042</v>
      </c>
      <c r="I87" t="s">
        <v>2043</v>
      </c>
      <c r="J87" t="s">
        <v>2027</v>
      </c>
      <c r="K87" s="187">
        <v>46247</v>
      </c>
      <c r="L87" s="187">
        <v>47343</v>
      </c>
      <c r="M87" t="s">
        <v>2028</v>
      </c>
      <c r="N87">
        <v>0.75029999999999997</v>
      </c>
      <c r="P87">
        <v>0</v>
      </c>
      <c r="Q87">
        <v>0</v>
      </c>
    </row>
    <row r="88" spans="1:17" x14ac:dyDescent="0.35">
      <c r="A88">
        <v>488185414</v>
      </c>
      <c r="B88" t="s">
        <v>2025</v>
      </c>
      <c r="C88" s="186" t="s">
        <v>2051</v>
      </c>
      <c r="D88" s="186" t="s">
        <v>2009</v>
      </c>
      <c r="E88" s="186">
        <v>2109</v>
      </c>
      <c r="F88" t="s">
        <v>1028</v>
      </c>
      <c r="G88" t="s">
        <v>1027</v>
      </c>
      <c r="H88" t="s">
        <v>2044</v>
      </c>
      <c r="I88" t="s">
        <v>2045</v>
      </c>
      <c r="J88" t="s">
        <v>2027</v>
      </c>
      <c r="K88" s="187">
        <v>46247</v>
      </c>
      <c r="L88" s="187">
        <v>47343</v>
      </c>
      <c r="M88" t="s">
        <v>2028</v>
      </c>
      <c r="N88">
        <v>0.35</v>
      </c>
      <c r="P88">
        <v>0</v>
      </c>
      <c r="Q88">
        <v>0</v>
      </c>
    </row>
    <row r="89" spans="1:17" x14ac:dyDescent="0.35">
      <c r="A89">
        <v>488185414</v>
      </c>
      <c r="B89" t="s">
        <v>2025</v>
      </c>
      <c r="C89" s="186" t="s">
        <v>2051</v>
      </c>
      <c r="D89" s="186" t="s">
        <v>2009</v>
      </c>
      <c r="E89" s="186">
        <v>2115</v>
      </c>
      <c r="F89" t="s">
        <v>1204</v>
      </c>
      <c r="G89" t="s">
        <v>1203</v>
      </c>
      <c r="H89" t="s">
        <v>2042</v>
      </c>
      <c r="I89" t="s">
        <v>2043</v>
      </c>
      <c r="J89" t="s">
        <v>2027</v>
      </c>
      <c r="K89" s="187">
        <v>46247</v>
      </c>
      <c r="L89" s="187">
        <v>47343</v>
      </c>
      <c r="M89" t="s">
        <v>2028</v>
      </c>
      <c r="N89">
        <v>0.5</v>
      </c>
      <c r="P89">
        <v>0</v>
      </c>
      <c r="Q89">
        <v>0</v>
      </c>
    </row>
    <row r="90" spans="1:17" x14ac:dyDescent="0.35">
      <c r="A90">
        <v>488185414</v>
      </c>
      <c r="B90" t="s">
        <v>2025</v>
      </c>
      <c r="C90" s="186" t="s">
        <v>2051</v>
      </c>
      <c r="D90" s="186" t="s">
        <v>2009</v>
      </c>
      <c r="E90" s="186">
        <v>2128</v>
      </c>
      <c r="F90" t="s">
        <v>1020</v>
      </c>
      <c r="G90" t="s">
        <v>1019</v>
      </c>
      <c r="H90" t="s">
        <v>2040</v>
      </c>
      <c r="I90" t="s">
        <v>2041</v>
      </c>
      <c r="J90" t="s">
        <v>2027</v>
      </c>
      <c r="K90" s="187">
        <v>46247</v>
      </c>
      <c r="L90" s="187">
        <v>47343</v>
      </c>
      <c r="M90" t="s">
        <v>2028</v>
      </c>
      <c r="N90">
        <v>0.75</v>
      </c>
      <c r="P90">
        <v>0</v>
      </c>
      <c r="Q90">
        <v>0</v>
      </c>
    </row>
    <row r="91" spans="1:17" x14ac:dyDescent="0.35">
      <c r="A91">
        <v>488185414</v>
      </c>
      <c r="B91" t="s">
        <v>2025</v>
      </c>
      <c r="C91" s="186" t="s">
        <v>2051</v>
      </c>
      <c r="D91" s="186" t="s">
        <v>2009</v>
      </c>
      <c r="E91" s="186">
        <v>2128</v>
      </c>
      <c r="F91" t="s">
        <v>1020</v>
      </c>
      <c r="G91" t="s">
        <v>1019</v>
      </c>
      <c r="H91" t="s">
        <v>2042</v>
      </c>
      <c r="I91" t="s">
        <v>2043</v>
      </c>
      <c r="J91" t="s">
        <v>2027</v>
      </c>
      <c r="K91" s="187">
        <v>46247</v>
      </c>
      <c r="L91" s="187">
        <v>47343</v>
      </c>
      <c r="M91" t="s">
        <v>2028</v>
      </c>
      <c r="N91">
        <v>0.75</v>
      </c>
      <c r="P91">
        <v>0</v>
      </c>
      <c r="Q91">
        <v>0</v>
      </c>
    </row>
    <row r="92" spans="1:17" x14ac:dyDescent="0.35">
      <c r="A92">
        <v>488185414</v>
      </c>
      <c r="B92" t="s">
        <v>2025</v>
      </c>
      <c r="C92" s="186" t="s">
        <v>2051</v>
      </c>
      <c r="D92" s="186" t="s">
        <v>2009</v>
      </c>
      <c r="E92" s="186">
        <v>2219</v>
      </c>
      <c r="F92" t="s">
        <v>1301</v>
      </c>
      <c r="G92" t="s">
        <v>1685</v>
      </c>
      <c r="H92" t="s">
        <v>2040</v>
      </c>
      <c r="I92" t="s">
        <v>2041</v>
      </c>
      <c r="J92" t="s">
        <v>2027</v>
      </c>
      <c r="K92" s="187">
        <v>46247</v>
      </c>
      <c r="L92" s="187">
        <v>47343</v>
      </c>
      <c r="M92" t="s">
        <v>2028</v>
      </c>
      <c r="N92">
        <v>0.5</v>
      </c>
      <c r="P92">
        <v>0</v>
      </c>
      <c r="Q92">
        <v>0</v>
      </c>
    </row>
    <row r="93" spans="1:17" x14ac:dyDescent="0.35">
      <c r="A93">
        <v>488185414</v>
      </c>
      <c r="B93" t="s">
        <v>2025</v>
      </c>
      <c r="C93" s="186" t="s">
        <v>2051</v>
      </c>
      <c r="D93" s="186" t="s">
        <v>2009</v>
      </c>
      <c r="E93" s="186">
        <v>2219</v>
      </c>
      <c r="F93" t="s">
        <v>1301</v>
      </c>
      <c r="G93" t="s">
        <v>1685</v>
      </c>
      <c r="H93" t="s">
        <v>2042</v>
      </c>
      <c r="I93" t="s">
        <v>2043</v>
      </c>
      <c r="J93" t="s">
        <v>2027</v>
      </c>
      <c r="K93" s="187">
        <v>46247</v>
      </c>
      <c r="L93" s="187">
        <v>47343</v>
      </c>
      <c r="M93" t="s">
        <v>2028</v>
      </c>
      <c r="N93">
        <v>0.5</v>
      </c>
      <c r="P93">
        <v>0</v>
      </c>
      <c r="Q93">
        <v>0</v>
      </c>
    </row>
    <row r="94" spans="1:17" x14ac:dyDescent="0.35">
      <c r="A94">
        <v>488185414</v>
      </c>
      <c r="B94" t="s">
        <v>2025</v>
      </c>
      <c r="C94" s="186" t="s">
        <v>2051</v>
      </c>
      <c r="D94" s="186" t="s">
        <v>2009</v>
      </c>
      <c r="E94" s="186">
        <v>2221</v>
      </c>
      <c r="F94" t="s">
        <v>1195</v>
      </c>
      <c r="G94" t="s">
        <v>2046</v>
      </c>
      <c r="H94" t="s">
        <v>2040</v>
      </c>
      <c r="I94" t="s">
        <v>2041</v>
      </c>
      <c r="J94" t="s">
        <v>2027</v>
      </c>
      <c r="K94" s="187">
        <v>46247</v>
      </c>
      <c r="L94" s="187">
        <v>47343</v>
      </c>
      <c r="M94" t="s">
        <v>2028</v>
      </c>
      <c r="N94">
        <v>0.5</v>
      </c>
      <c r="P94">
        <v>0</v>
      </c>
      <c r="Q94">
        <v>0</v>
      </c>
    </row>
    <row r="95" spans="1:17" x14ac:dyDescent="0.35">
      <c r="A95">
        <v>488185414</v>
      </c>
      <c r="B95" t="s">
        <v>2025</v>
      </c>
      <c r="C95" s="186" t="s">
        <v>2051</v>
      </c>
      <c r="D95" s="186" t="s">
        <v>2009</v>
      </c>
      <c r="E95" s="186">
        <v>2221</v>
      </c>
      <c r="F95" t="s">
        <v>1195</v>
      </c>
      <c r="G95" t="s">
        <v>2046</v>
      </c>
      <c r="H95" t="s">
        <v>2042</v>
      </c>
      <c r="I95" t="s">
        <v>2043</v>
      </c>
      <c r="J95" t="s">
        <v>2027</v>
      </c>
      <c r="K95" s="187">
        <v>46247</v>
      </c>
      <c r="L95" s="187">
        <v>47343</v>
      </c>
      <c r="M95" t="s">
        <v>2028</v>
      </c>
      <c r="N95">
        <v>0.5</v>
      </c>
      <c r="P95">
        <v>0</v>
      </c>
      <c r="Q95">
        <v>0</v>
      </c>
    </row>
    <row r="96" spans="1:17" x14ac:dyDescent="0.35">
      <c r="A96">
        <v>488185414</v>
      </c>
      <c r="B96" t="s">
        <v>2025</v>
      </c>
      <c r="C96" s="186" t="s">
        <v>2051</v>
      </c>
      <c r="D96" s="186" t="s">
        <v>2009</v>
      </c>
      <c r="E96" s="186">
        <v>2222</v>
      </c>
      <c r="F96" t="s">
        <v>1198</v>
      </c>
      <c r="G96" t="s">
        <v>2047</v>
      </c>
      <c r="H96" t="s">
        <v>2040</v>
      </c>
      <c r="I96" t="s">
        <v>2041</v>
      </c>
      <c r="J96" t="s">
        <v>2027</v>
      </c>
      <c r="K96" s="187">
        <v>46247</v>
      </c>
      <c r="L96" s="187">
        <v>47343</v>
      </c>
      <c r="M96" t="s">
        <v>2028</v>
      </c>
      <c r="N96">
        <v>0.55000000000000004</v>
      </c>
      <c r="P96">
        <v>0</v>
      </c>
      <c r="Q96">
        <v>0</v>
      </c>
    </row>
    <row r="97" spans="1:17" x14ac:dyDescent="0.35">
      <c r="A97">
        <v>488185414</v>
      </c>
      <c r="B97" t="s">
        <v>2025</v>
      </c>
      <c r="C97" s="186" t="s">
        <v>2051</v>
      </c>
      <c r="D97" s="186" t="s">
        <v>2009</v>
      </c>
      <c r="E97" s="186">
        <v>2222</v>
      </c>
      <c r="F97" t="s">
        <v>1198</v>
      </c>
      <c r="G97" t="s">
        <v>2047</v>
      </c>
      <c r="H97" t="s">
        <v>2042</v>
      </c>
      <c r="I97" t="s">
        <v>2043</v>
      </c>
      <c r="J97" t="s">
        <v>2027</v>
      </c>
      <c r="K97" s="187">
        <v>46247</v>
      </c>
      <c r="L97" s="187">
        <v>47343</v>
      </c>
      <c r="M97" t="s">
        <v>2028</v>
      </c>
      <c r="N97">
        <v>0.55000000000000004</v>
      </c>
      <c r="P97">
        <v>0</v>
      </c>
      <c r="Q97">
        <v>0</v>
      </c>
    </row>
    <row r="98" spans="1:17" x14ac:dyDescent="0.35">
      <c r="A98">
        <v>488185414</v>
      </c>
      <c r="B98" t="s">
        <v>2025</v>
      </c>
      <c r="C98" s="186" t="s">
        <v>2051</v>
      </c>
      <c r="D98" s="186" t="s">
        <v>2009</v>
      </c>
      <c r="E98" s="186">
        <v>2230</v>
      </c>
      <c r="F98" t="s">
        <v>2048</v>
      </c>
      <c r="G98" t="s">
        <v>1264</v>
      </c>
      <c r="H98" t="s">
        <v>2040</v>
      </c>
      <c r="I98" t="s">
        <v>2041</v>
      </c>
      <c r="J98" t="s">
        <v>2027</v>
      </c>
      <c r="K98" s="187">
        <v>46247</v>
      </c>
      <c r="L98" s="187">
        <v>47343</v>
      </c>
      <c r="M98" t="s">
        <v>2028</v>
      </c>
      <c r="N98">
        <v>0.5</v>
      </c>
      <c r="P98">
        <v>0</v>
      </c>
      <c r="Q98">
        <v>0</v>
      </c>
    </row>
    <row r="99" spans="1:17" x14ac:dyDescent="0.35">
      <c r="A99">
        <v>488185414</v>
      </c>
      <c r="B99" t="s">
        <v>2025</v>
      </c>
      <c r="C99" s="186" t="s">
        <v>2051</v>
      </c>
      <c r="D99" s="186" t="s">
        <v>2009</v>
      </c>
      <c r="E99" s="186">
        <v>2230</v>
      </c>
      <c r="F99" t="s">
        <v>2048</v>
      </c>
      <c r="G99" t="s">
        <v>1264</v>
      </c>
      <c r="H99" t="s">
        <v>2042</v>
      </c>
      <c r="I99" t="s">
        <v>2043</v>
      </c>
      <c r="J99" t="s">
        <v>2027</v>
      </c>
      <c r="K99" s="187">
        <v>46247</v>
      </c>
      <c r="L99" s="187">
        <v>47343</v>
      </c>
      <c r="M99" t="s">
        <v>2028</v>
      </c>
      <c r="N99">
        <v>0.5</v>
      </c>
      <c r="P99">
        <v>0</v>
      </c>
      <c r="Q99">
        <v>0</v>
      </c>
    </row>
    <row r="100" spans="1:17" x14ac:dyDescent="0.35">
      <c r="A100">
        <v>488185414</v>
      </c>
      <c r="B100" t="s">
        <v>2025</v>
      </c>
      <c r="C100" s="186" t="s">
        <v>2051</v>
      </c>
      <c r="D100" s="186" t="s">
        <v>2009</v>
      </c>
      <c r="E100" s="186">
        <v>2230</v>
      </c>
      <c r="F100" t="s">
        <v>2048</v>
      </c>
      <c r="G100" t="s">
        <v>1264</v>
      </c>
      <c r="H100" t="s">
        <v>2044</v>
      </c>
      <c r="I100" t="s">
        <v>2045</v>
      </c>
      <c r="J100" t="s">
        <v>2027</v>
      </c>
      <c r="K100" s="187">
        <v>46247</v>
      </c>
      <c r="L100" s="187">
        <v>47343</v>
      </c>
      <c r="M100" t="s">
        <v>2028</v>
      </c>
      <c r="N100">
        <v>0.5</v>
      </c>
      <c r="P100">
        <v>0</v>
      </c>
      <c r="Q100">
        <v>0</v>
      </c>
    </row>
    <row r="101" spans="1:17" x14ac:dyDescent="0.35">
      <c r="A101">
        <v>488185414</v>
      </c>
      <c r="B101" t="s">
        <v>2025</v>
      </c>
      <c r="C101" s="186" t="s">
        <v>2051</v>
      </c>
      <c r="D101" s="186" t="s">
        <v>2009</v>
      </c>
      <c r="E101" s="186">
        <v>2232</v>
      </c>
      <c r="F101" t="s">
        <v>2049</v>
      </c>
      <c r="G101" t="s">
        <v>2050</v>
      </c>
      <c r="H101" t="s">
        <v>2042</v>
      </c>
      <c r="I101" t="s">
        <v>2043</v>
      </c>
      <c r="J101" t="s">
        <v>2027</v>
      </c>
      <c r="K101" s="187">
        <v>46247</v>
      </c>
      <c r="L101" s="187">
        <v>47343</v>
      </c>
      <c r="M101" t="s">
        <v>2028</v>
      </c>
      <c r="N101">
        <v>0.5</v>
      </c>
      <c r="P101">
        <v>0</v>
      </c>
      <c r="Q101">
        <v>0</v>
      </c>
    </row>
    <row r="102" spans="1:17" x14ac:dyDescent="0.35">
      <c r="C102" s="186"/>
      <c r="D102" s="186"/>
      <c r="E102" s="186"/>
      <c r="K102" s="187"/>
      <c r="L102" s="187"/>
    </row>
    <row r="103" spans="1:17" x14ac:dyDescent="0.35">
      <c r="C103" s="186"/>
      <c r="D103" s="186"/>
      <c r="E103" s="186"/>
      <c r="K103" s="187"/>
      <c r="L103" s="187"/>
    </row>
    <row r="104" spans="1:17" x14ac:dyDescent="0.35">
      <c r="C104" s="186"/>
      <c r="D104" s="186"/>
      <c r="E104" s="186"/>
      <c r="K104" s="187"/>
      <c r="L104" s="187"/>
    </row>
    <row r="105" spans="1:17" x14ac:dyDescent="0.35">
      <c r="C105" s="186"/>
      <c r="D105" s="186"/>
      <c r="E105" s="186"/>
      <c r="K105" s="187"/>
      <c r="L105" s="187"/>
    </row>
    <row r="106" spans="1:17" x14ac:dyDescent="0.35">
      <c r="C106" s="186"/>
      <c r="D106" s="186"/>
      <c r="E106" s="186"/>
      <c r="K106" s="187"/>
      <c r="L106" s="187"/>
    </row>
    <row r="107" spans="1:17" x14ac:dyDescent="0.35">
      <c r="C107" s="186"/>
      <c r="D107" s="186"/>
      <c r="E107" s="186"/>
      <c r="K107" s="187"/>
      <c r="L107" s="187"/>
    </row>
    <row r="108" spans="1:17" x14ac:dyDescent="0.35">
      <c r="C108" s="186"/>
      <c r="D108" s="186"/>
      <c r="E108" s="186"/>
      <c r="K108" s="187"/>
      <c r="L108" s="187"/>
    </row>
    <row r="109" spans="1:17" x14ac:dyDescent="0.35">
      <c r="C109" s="186"/>
      <c r="D109" s="186"/>
      <c r="E109" s="186"/>
      <c r="K109" s="187"/>
      <c r="L109" s="187"/>
    </row>
    <row r="110" spans="1:17" x14ac:dyDescent="0.35">
      <c r="C110" s="186"/>
      <c r="D110" s="186"/>
      <c r="E110" s="186"/>
      <c r="K110" s="187"/>
      <c r="L110" s="187"/>
    </row>
    <row r="111" spans="1:17" x14ac:dyDescent="0.35">
      <c r="C111" s="186"/>
      <c r="D111" s="186"/>
      <c r="E111" s="186"/>
      <c r="K111" s="187"/>
      <c r="L111" s="187"/>
    </row>
    <row r="112" spans="1:17" x14ac:dyDescent="0.35">
      <c r="C112" s="186"/>
      <c r="D112" s="186"/>
      <c r="E112" s="186"/>
      <c r="K112" s="187"/>
      <c r="L112" s="187"/>
    </row>
    <row r="113" spans="3:12" x14ac:dyDescent="0.35">
      <c r="C113" s="186"/>
      <c r="D113" s="186"/>
      <c r="E113" s="186"/>
      <c r="K113" s="187"/>
      <c r="L113" s="187"/>
    </row>
    <row r="114" spans="3:12" x14ac:dyDescent="0.35">
      <c r="C114" s="186"/>
      <c r="D114" s="186"/>
      <c r="E114" s="186"/>
      <c r="K114" s="187"/>
      <c r="L114" s="187"/>
    </row>
    <row r="115" spans="3:12" x14ac:dyDescent="0.35">
      <c r="C115" s="186"/>
      <c r="D115" s="186"/>
      <c r="E115" s="186"/>
      <c r="K115" s="187"/>
      <c r="L115" s="187"/>
    </row>
    <row r="116" spans="3:12" x14ac:dyDescent="0.35">
      <c r="C116" s="186"/>
      <c r="D116" s="186"/>
      <c r="E116" s="186"/>
      <c r="K116" s="187"/>
      <c r="L116" s="187"/>
    </row>
    <row r="117" spans="3:12" x14ac:dyDescent="0.35">
      <c r="C117" s="186"/>
      <c r="D117" s="186"/>
      <c r="E117" s="186"/>
      <c r="K117" s="187"/>
      <c r="L117" s="187"/>
    </row>
    <row r="118" spans="3:12" x14ac:dyDescent="0.35">
      <c r="C118" s="186"/>
      <c r="D118" s="186"/>
      <c r="E118" s="186"/>
      <c r="K118" s="187"/>
      <c r="L118" s="187"/>
    </row>
    <row r="119" spans="3:12" x14ac:dyDescent="0.35">
      <c r="C119" s="186"/>
      <c r="D119" s="186"/>
      <c r="E119" s="186"/>
      <c r="K119" s="187"/>
      <c r="L119" s="187"/>
    </row>
    <row r="120" spans="3:12" x14ac:dyDescent="0.35">
      <c r="C120" s="186"/>
      <c r="D120" s="186"/>
      <c r="E120" s="186"/>
      <c r="K120" s="187"/>
      <c r="L120" s="187"/>
    </row>
    <row r="121" spans="3:12" x14ac:dyDescent="0.35">
      <c r="C121" s="186"/>
      <c r="D121" s="186"/>
      <c r="E121" s="186"/>
      <c r="K121" s="187"/>
      <c r="L121" s="187"/>
    </row>
    <row r="122" spans="3:12" x14ac:dyDescent="0.35">
      <c r="C122" s="186"/>
      <c r="D122" s="186"/>
      <c r="E122" s="186"/>
      <c r="K122" s="187"/>
      <c r="L122" s="187"/>
    </row>
    <row r="123" spans="3:12" x14ac:dyDescent="0.35">
      <c r="C123" s="186"/>
      <c r="D123" s="186"/>
      <c r="E123" s="186"/>
      <c r="K123" s="187"/>
      <c r="L123" s="187"/>
    </row>
    <row r="124" spans="3:12" x14ac:dyDescent="0.35">
      <c r="C124" s="186"/>
      <c r="D124" s="186"/>
      <c r="E124" s="186"/>
      <c r="K124" s="187"/>
      <c r="L124" s="187"/>
    </row>
    <row r="125" spans="3:12" x14ac:dyDescent="0.35">
      <c r="C125" s="186"/>
      <c r="D125" s="186"/>
      <c r="E125" s="186"/>
      <c r="K125" s="187"/>
      <c r="L125" s="187"/>
    </row>
    <row r="126" spans="3:12" x14ac:dyDescent="0.35">
      <c r="C126" s="186"/>
      <c r="D126" s="186"/>
      <c r="E126" s="186"/>
      <c r="K126" s="187"/>
      <c r="L126" s="187"/>
    </row>
    <row r="127" spans="3:12" x14ac:dyDescent="0.35">
      <c r="C127" s="186"/>
      <c r="D127" s="186"/>
      <c r="E127" s="186"/>
      <c r="K127" s="187"/>
      <c r="L127" s="187"/>
    </row>
    <row r="128" spans="3:12" x14ac:dyDescent="0.35">
      <c r="C128" s="186"/>
      <c r="D128" s="186"/>
      <c r="E128" s="186"/>
      <c r="K128" s="187"/>
      <c r="L128" s="187"/>
    </row>
    <row r="129" spans="3:12" x14ac:dyDescent="0.35">
      <c r="C129" s="186"/>
      <c r="D129" s="186"/>
      <c r="E129" s="186"/>
      <c r="K129" s="187"/>
      <c r="L129" s="187"/>
    </row>
    <row r="130" spans="3:12" x14ac:dyDescent="0.35">
      <c r="C130" s="186"/>
      <c r="D130" s="186"/>
      <c r="E130" s="186"/>
      <c r="K130" s="187"/>
      <c r="L130" s="187"/>
    </row>
    <row r="131" spans="3:12" x14ac:dyDescent="0.35">
      <c r="C131" s="186"/>
      <c r="D131" s="186"/>
      <c r="E131" s="186"/>
      <c r="K131" s="187"/>
      <c r="L131" s="187"/>
    </row>
    <row r="132" spans="3:12" x14ac:dyDescent="0.35">
      <c r="C132" s="186"/>
      <c r="D132" s="186"/>
      <c r="E132" s="186"/>
      <c r="K132" s="187"/>
      <c r="L132" s="187"/>
    </row>
    <row r="133" spans="3:12" x14ac:dyDescent="0.35">
      <c r="C133" s="186"/>
      <c r="D133" s="186"/>
      <c r="E133" s="186"/>
      <c r="K133" s="187"/>
      <c r="L133" s="187"/>
    </row>
    <row r="134" spans="3:12" x14ac:dyDescent="0.35">
      <c r="C134" s="186"/>
      <c r="D134" s="186"/>
      <c r="E134" s="186"/>
      <c r="K134" s="187"/>
      <c r="L134" s="187"/>
    </row>
    <row r="135" spans="3:12" x14ac:dyDescent="0.35">
      <c r="C135" s="186"/>
      <c r="D135" s="186"/>
      <c r="E135" s="186"/>
      <c r="K135" s="187"/>
      <c r="L135" s="187"/>
    </row>
    <row r="136" spans="3:12" x14ac:dyDescent="0.35">
      <c r="C136" s="186"/>
      <c r="D136" s="186"/>
      <c r="E136" s="186"/>
      <c r="K136" s="187"/>
      <c r="L136" s="187"/>
    </row>
    <row r="137" spans="3:12" x14ac:dyDescent="0.35">
      <c r="C137" s="186"/>
      <c r="D137" s="186"/>
      <c r="E137" s="186"/>
      <c r="K137" s="187"/>
      <c r="L137" s="187"/>
    </row>
    <row r="138" spans="3:12" x14ac:dyDescent="0.35">
      <c r="C138" s="186"/>
      <c r="D138" s="186"/>
      <c r="E138" s="186"/>
      <c r="K138" s="187"/>
      <c r="L138" s="187"/>
    </row>
    <row r="139" spans="3:12" x14ac:dyDescent="0.35">
      <c r="C139" s="186"/>
      <c r="D139" s="186"/>
      <c r="E139" s="186"/>
      <c r="K139" s="187"/>
      <c r="L139" s="187"/>
    </row>
    <row r="140" spans="3:12" x14ac:dyDescent="0.35">
      <c r="C140" s="186"/>
      <c r="D140" s="186"/>
      <c r="E140" s="186"/>
      <c r="K140" s="187"/>
      <c r="L140" s="187"/>
    </row>
    <row r="141" spans="3:12" x14ac:dyDescent="0.35">
      <c r="C141" s="186"/>
      <c r="D141" s="186"/>
      <c r="E141" s="186"/>
      <c r="K141" s="187"/>
      <c r="L141" s="187"/>
    </row>
    <row r="142" spans="3:12" x14ac:dyDescent="0.35">
      <c r="C142" s="186"/>
      <c r="D142" s="186"/>
      <c r="E142" s="186"/>
      <c r="K142" s="187"/>
      <c r="L142" s="187"/>
    </row>
    <row r="143" spans="3:12" x14ac:dyDescent="0.35">
      <c r="C143" s="186"/>
      <c r="D143" s="186"/>
      <c r="E143" s="186"/>
      <c r="K143" s="187"/>
      <c r="L143" s="187"/>
    </row>
    <row r="144" spans="3:12" x14ac:dyDescent="0.35">
      <c r="C144" s="186"/>
      <c r="D144" s="186"/>
      <c r="E144" s="186"/>
      <c r="K144" s="187"/>
      <c r="L144" s="187"/>
    </row>
    <row r="145" spans="3:12" x14ac:dyDescent="0.35">
      <c r="C145" s="186"/>
      <c r="D145" s="186"/>
      <c r="E145" s="186"/>
      <c r="K145" s="187"/>
      <c r="L145" s="187"/>
    </row>
    <row r="146" spans="3:12" x14ac:dyDescent="0.35">
      <c r="C146" s="186"/>
      <c r="D146" s="186"/>
      <c r="E146" s="186"/>
      <c r="K146" s="187"/>
      <c r="L146" s="187"/>
    </row>
    <row r="147" spans="3:12" x14ac:dyDescent="0.35">
      <c r="C147" s="186"/>
      <c r="D147" s="186"/>
      <c r="E147" s="186"/>
      <c r="K147" s="187"/>
      <c r="L147" s="187"/>
    </row>
    <row r="148" spans="3:12" x14ac:dyDescent="0.35">
      <c r="C148" s="186"/>
      <c r="D148" s="186"/>
      <c r="E148" s="186"/>
      <c r="K148" s="187"/>
      <c r="L148" s="187"/>
    </row>
    <row r="149" spans="3:12" x14ac:dyDescent="0.35">
      <c r="C149" s="186"/>
      <c r="D149" s="186"/>
      <c r="E149" s="186"/>
      <c r="K149" s="187"/>
      <c r="L149" s="187"/>
    </row>
    <row r="150" spans="3:12" x14ac:dyDescent="0.35">
      <c r="C150" s="186"/>
      <c r="D150" s="186"/>
      <c r="E150" s="186"/>
      <c r="K150" s="187"/>
      <c r="L150" s="187"/>
    </row>
    <row r="151" spans="3:12" x14ac:dyDescent="0.35">
      <c r="C151" s="186"/>
      <c r="D151" s="186"/>
      <c r="E151" s="186"/>
      <c r="K151" s="187"/>
      <c r="L151" s="187"/>
    </row>
    <row r="152" spans="3:12" x14ac:dyDescent="0.35">
      <c r="C152" s="186"/>
      <c r="D152" s="186"/>
      <c r="E152" s="186"/>
      <c r="K152" s="187"/>
      <c r="L152" s="187"/>
    </row>
    <row r="153" spans="3:12" x14ac:dyDescent="0.35">
      <c r="C153" s="186"/>
      <c r="D153" s="186"/>
      <c r="E153" s="186"/>
      <c r="K153" s="187"/>
      <c r="L153" s="187"/>
    </row>
    <row r="154" spans="3:12" x14ac:dyDescent="0.35">
      <c r="C154" s="186"/>
      <c r="D154" s="186"/>
      <c r="E154" s="186"/>
      <c r="K154" s="187"/>
      <c r="L154" s="187"/>
    </row>
    <row r="155" spans="3:12" x14ac:dyDescent="0.35">
      <c r="C155" s="186"/>
      <c r="D155" s="186"/>
      <c r="E155" s="186"/>
      <c r="K155" s="187"/>
      <c r="L155" s="187"/>
    </row>
    <row r="156" spans="3:12" x14ac:dyDescent="0.35">
      <c r="C156" s="186"/>
      <c r="D156" s="186"/>
      <c r="E156" s="186"/>
      <c r="K156" s="187"/>
      <c r="L156" s="187"/>
    </row>
    <row r="157" spans="3:12" x14ac:dyDescent="0.35">
      <c r="C157" s="186"/>
      <c r="D157" s="186"/>
      <c r="E157" s="186"/>
      <c r="K157" s="187"/>
      <c r="L157" s="187"/>
    </row>
    <row r="158" spans="3:12" x14ac:dyDescent="0.35">
      <c r="C158" s="186"/>
      <c r="D158" s="186"/>
      <c r="E158" s="186"/>
    </row>
    <row r="159" spans="3:12" x14ac:dyDescent="0.35">
      <c r="C159" s="186"/>
      <c r="D159" s="186"/>
      <c r="E159" s="186"/>
    </row>
    <row r="160" spans="3:12" x14ac:dyDescent="0.35">
      <c r="C160" s="186"/>
      <c r="D160" s="186"/>
      <c r="E160" s="186"/>
    </row>
    <row r="161" spans="3:5" x14ac:dyDescent="0.35">
      <c r="C161" s="186"/>
      <c r="D161" s="186"/>
      <c r="E161" s="186"/>
    </row>
    <row r="162" spans="3:5" x14ac:dyDescent="0.35">
      <c r="C162" s="186"/>
      <c r="D162" s="186"/>
      <c r="E162" s="186"/>
    </row>
    <row r="163" spans="3:5" x14ac:dyDescent="0.35">
      <c r="C163" s="186"/>
      <c r="D163" s="186"/>
      <c r="E163" s="186"/>
    </row>
    <row r="164" spans="3:5" x14ac:dyDescent="0.35">
      <c r="C164" s="186"/>
      <c r="D164" s="186"/>
      <c r="E164" s="186"/>
    </row>
    <row r="165" spans="3:5" x14ac:dyDescent="0.35">
      <c r="C165" s="186"/>
      <c r="D165" s="186"/>
      <c r="E165" s="186"/>
    </row>
    <row r="166" spans="3:5" x14ac:dyDescent="0.35">
      <c r="C166" s="186"/>
      <c r="D166" s="186"/>
      <c r="E166" s="186"/>
    </row>
    <row r="167" spans="3:5" x14ac:dyDescent="0.35">
      <c r="C167" s="186"/>
      <c r="D167" s="186"/>
      <c r="E167" s="186"/>
    </row>
    <row r="168" spans="3:5" x14ac:dyDescent="0.35">
      <c r="C168" s="186"/>
      <c r="D168" s="186"/>
      <c r="E168" s="186"/>
    </row>
    <row r="169" spans="3:5" x14ac:dyDescent="0.35">
      <c r="C169" s="186"/>
      <c r="D169" s="186"/>
      <c r="E169" s="186"/>
    </row>
    <row r="170" spans="3:5" x14ac:dyDescent="0.35">
      <c r="C170" s="186"/>
      <c r="D170" s="186"/>
      <c r="E170" s="186"/>
    </row>
    <row r="171" spans="3:5" x14ac:dyDescent="0.35">
      <c r="C171" s="186"/>
      <c r="D171" s="186"/>
      <c r="E171" s="186"/>
    </row>
    <row r="172" spans="3:5" x14ac:dyDescent="0.35">
      <c r="C172" s="186"/>
      <c r="D172" s="186"/>
      <c r="E172" s="186"/>
    </row>
    <row r="173" spans="3:5" x14ac:dyDescent="0.35">
      <c r="C173" s="186"/>
      <c r="D173" s="186"/>
      <c r="E173" s="186"/>
    </row>
    <row r="174" spans="3:5" x14ac:dyDescent="0.35">
      <c r="C174" s="186"/>
      <c r="D174" s="186"/>
      <c r="E174" s="186"/>
    </row>
    <row r="175" spans="3:5" x14ac:dyDescent="0.35">
      <c r="C175" s="186"/>
      <c r="D175" s="186"/>
      <c r="E175" s="186"/>
    </row>
    <row r="176" spans="3:5" x14ac:dyDescent="0.35">
      <c r="C176" s="186"/>
      <c r="D176" s="186"/>
      <c r="E176" s="186"/>
    </row>
    <row r="177" spans="3:5" x14ac:dyDescent="0.35">
      <c r="C177" s="186"/>
      <c r="D177" s="186"/>
      <c r="E177" s="186"/>
    </row>
    <row r="178" spans="3:5" x14ac:dyDescent="0.35">
      <c r="C178" s="186"/>
      <c r="D178" s="186"/>
      <c r="E178" s="186"/>
    </row>
    <row r="179" spans="3:5" x14ac:dyDescent="0.35">
      <c r="C179" s="186"/>
      <c r="D179" s="186"/>
      <c r="E179" s="186"/>
    </row>
    <row r="180" spans="3:5" x14ac:dyDescent="0.35">
      <c r="C180" s="186"/>
      <c r="D180" s="186"/>
      <c r="E180" s="186"/>
    </row>
    <row r="181" spans="3:5" x14ac:dyDescent="0.35">
      <c r="C181" s="186"/>
      <c r="D181" s="186"/>
      <c r="E181" s="186"/>
    </row>
    <row r="182" spans="3:5" x14ac:dyDescent="0.35">
      <c r="C182" s="186"/>
      <c r="D182" s="186"/>
      <c r="E182" s="186"/>
    </row>
    <row r="183" spans="3:5" x14ac:dyDescent="0.35">
      <c r="C183" s="186"/>
      <c r="D183" s="186"/>
      <c r="E183" s="186"/>
    </row>
    <row r="184" spans="3:5" x14ac:dyDescent="0.35">
      <c r="C184" s="186"/>
      <c r="D184" s="186"/>
      <c r="E184" s="186"/>
    </row>
    <row r="185" spans="3:5" x14ac:dyDescent="0.35">
      <c r="C185" s="186"/>
      <c r="D185" s="186"/>
      <c r="E185" s="186"/>
    </row>
    <row r="186" spans="3:5" x14ac:dyDescent="0.35">
      <c r="C186" s="186"/>
      <c r="D186" s="186"/>
      <c r="E186" s="186"/>
    </row>
    <row r="187" spans="3:5" x14ac:dyDescent="0.35">
      <c r="C187" s="186"/>
      <c r="D187" s="186"/>
      <c r="E187" s="186"/>
    </row>
    <row r="188" spans="3:5" x14ac:dyDescent="0.35">
      <c r="C188" s="186"/>
      <c r="D188" s="186"/>
      <c r="E188" s="186"/>
    </row>
    <row r="189" spans="3:5" x14ac:dyDescent="0.35">
      <c r="C189" s="186"/>
      <c r="D189" s="186"/>
      <c r="E189" s="186"/>
    </row>
    <row r="190" spans="3:5" x14ac:dyDescent="0.35">
      <c r="C190" s="186"/>
      <c r="D190" s="186"/>
      <c r="E190" s="186"/>
    </row>
    <row r="191" spans="3:5" x14ac:dyDescent="0.35">
      <c r="C191" s="186"/>
      <c r="D191" s="186"/>
      <c r="E191" s="186"/>
    </row>
    <row r="192" spans="3:5" x14ac:dyDescent="0.35">
      <c r="C192" s="186"/>
      <c r="D192" s="186"/>
      <c r="E192" s="186"/>
    </row>
    <row r="193" spans="3:5" x14ac:dyDescent="0.35">
      <c r="C193" s="186"/>
      <c r="D193" s="186"/>
      <c r="E193" s="186"/>
    </row>
    <row r="194" spans="3:5" x14ac:dyDescent="0.35">
      <c r="C194" s="186"/>
      <c r="D194" s="186"/>
      <c r="E194" s="186"/>
    </row>
    <row r="195" spans="3:5" x14ac:dyDescent="0.35">
      <c r="C195" s="186"/>
      <c r="D195" s="186"/>
      <c r="E195" s="186"/>
    </row>
    <row r="196" spans="3:5" x14ac:dyDescent="0.35">
      <c r="C196" s="186"/>
      <c r="D196" s="186"/>
      <c r="E196" s="186"/>
    </row>
    <row r="197" spans="3:5" x14ac:dyDescent="0.35">
      <c r="C197" s="186"/>
      <c r="D197" s="186"/>
      <c r="E197" s="186"/>
    </row>
    <row r="198" spans="3:5" x14ac:dyDescent="0.35">
      <c r="C198" s="186"/>
      <c r="D198" s="186"/>
      <c r="E198" s="186"/>
    </row>
    <row r="199" spans="3:5" x14ac:dyDescent="0.35">
      <c r="C199" s="186"/>
      <c r="D199" s="186"/>
      <c r="E199" s="186"/>
    </row>
    <row r="200" spans="3:5" x14ac:dyDescent="0.35">
      <c r="C200" s="186"/>
      <c r="D200" s="186"/>
      <c r="E200" s="186"/>
    </row>
    <row r="201" spans="3:5" x14ac:dyDescent="0.35">
      <c r="C201" s="186"/>
      <c r="D201" s="186"/>
      <c r="E201" s="186"/>
    </row>
    <row r="202" spans="3:5" x14ac:dyDescent="0.35">
      <c r="C202" s="186"/>
      <c r="D202" s="186"/>
      <c r="E202" s="186"/>
    </row>
    <row r="203" spans="3:5" x14ac:dyDescent="0.35">
      <c r="C203" s="186"/>
      <c r="D203" s="186"/>
      <c r="E203" s="186"/>
    </row>
    <row r="204" spans="3:5" x14ac:dyDescent="0.35">
      <c r="C204" s="186"/>
      <c r="D204" s="186"/>
      <c r="E204" s="186"/>
    </row>
    <row r="205" spans="3:5" x14ac:dyDescent="0.35">
      <c r="C205" s="186"/>
      <c r="D205" s="186"/>
      <c r="E205" s="186"/>
    </row>
    <row r="206" spans="3:5" x14ac:dyDescent="0.35">
      <c r="C206" s="186"/>
      <c r="D206" s="186"/>
      <c r="E206" s="186"/>
    </row>
    <row r="207" spans="3:5" x14ac:dyDescent="0.35">
      <c r="C207" s="186"/>
      <c r="D207" s="186"/>
      <c r="E207" s="186"/>
    </row>
    <row r="208" spans="3:5" x14ac:dyDescent="0.35">
      <c r="C208" s="186"/>
      <c r="D208" s="186"/>
      <c r="E208" s="186"/>
    </row>
    <row r="209" spans="3:5" x14ac:dyDescent="0.35">
      <c r="C209" s="186"/>
      <c r="D209" s="186"/>
      <c r="E209" s="186"/>
    </row>
    <row r="210" spans="3:5" x14ac:dyDescent="0.35">
      <c r="C210" s="186"/>
      <c r="D210" s="186"/>
      <c r="E210" s="186"/>
    </row>
    <row r="211" spans="3:5" x14ac:dyDescent="0.35">
      <c r="C211" s="186"/>
      <c r="D211" s="186"/>
      <c r="E211" s="186"/>
    </row>
    <row r="212" spans="3:5" x14ac:dyDescent="0.35">
      <c r="C212" s="186"/>
      <c r="D212" s="186"/>
      <c r="E212" s="186"/>
    </row>
    <row r="213" spans="3:5" x14ac:dyDescent="0.35">
      <c r="C213" s="186"/>
      <c r="D213" s="186"/>
      <c r="E213" s="186"/>
    </row>
    <row r="214" spans="3:5" x14ac:dyDescent="0.35">
      <c r="C214" s="186"/>
      <c r="D214" s="186"/>
      <c r="E214" s="186"/>
    </row>
    <row r="215" spans="3:5" x14ac:dyDescent="0.35">
      <c r="C215" s="186"/>
      <c r="D215" s="186"/>
      <c r="E215" s="186"/>
    </row>
    <row r="216" spans="3:5" x14ac:dyDescent="0.35">
      <c r="C216" s="186"/>
      <c r="D216" s="186"/>
      <c r="E216" s="186"/>
    </row>
    <row r="217" spans="3:5" x14ac:dyDescent="0.35">
      <c r="C217" s="186"/>
      <c r="D217" s="186"/>
      <c r="E217" s="186"/>
    </row>
    <row r="218" spans="3:5" x14ac:dyDescent="0.35">
      <c r="C218" s="186"/>
      <c r="D218" s="186"/>
      <c r="E218" s="186"/>
    </row>
    <row r="219" spans="3:5" x14ac:dyDescent="0.35">
      <c r="C219" s="186"/>
      <c r="D219" s="186"/>
      <c r="E219" s="186"/>
    </row>
    <row r="220" spans="3:5" x14ac:dyDescent="0.35">
      <c r="C220" s="186"/>
      <c r="D220" s="186"/>
      <c r="E220" s="186"/>
    </row>
    <row r="221" spans="3:5" x14ac:dyDescent="0.35">
      <c r="C221" s="186"/>
      <c r="D221" s="186"/>
      <c r="E221" s="186"/>
    </row>
    <row r="222" spans="3:5" x14ac:dyDescent="0.35">
      <c r="C222" s="186"/>
      <c r="D222" s="186"/>
      <c r="E222" s="186"/>
    </row>
    <row r="223" spans="3:5" x14ac:dyDescent="0.35">
      <c r="C223" s="186"/>
      <c r="D223" s="186"/>
      <c r="E223" s="186"/>
    </row>
    <row r="224" spans="3:5" x14ac:dyDescent="0.35">
      <c r="C224" s="186"/>
      <c r="D224" s="186"/>
      <c r="E224" s="186"/>
    </row>
    <row r="225" spans="3:5" x14ac:dyDescent="0.35">
      <c r="C225" s="186"/>
      <c r="D225" s="186"/>
      <c r="E225" s="186"/>
    </row>
    <row r="226" spans="3:5" x14ac:dyDescent="0.35">
      <c r="C226" s="186"/>
      <c r="D226" s="186"/>
      <c r="E226" s="186"/>
    </row>
    <row r="227" spans="3:5" x14ac:dyDescent="0.35">
      <c r="C227" s="186"/>
      <c r="D227" s="186"/>
      <c r="E227" s="186"/>
    </row>
    <row r="228" spans="3:5" x14ac:dyDescent="0.35">
      <c r="C228" s="186"/>
      <c r="D228" s="186"/>
      <c r="E228" s="186"/>
    </row>
    <row r="229" spans="3:5" x14ac:dyDescent="0.35">
      <c r="C229" s="186"/>
      <c r="D229" s="186"/>
      <c r="E229" s="186"/>
    </row>
    <row r="230" spans="3:5" x14ac:dyDescent="0.35">
      <c r="C230" s="186"/>
      <c r="D230" s="186"/>
      <c r="E230" s="186"/>
    </row>
    <row r="231" spans="3:5" x14ac:dyDescent="0.35">
      <c r="C231" s="186"/>
      <c r="D231" s="186"/>
      <c r="E231" s="186"/>
    </row>
    <row r="232" spans="3:5" x14ac:dyDescent="0.35">
      <c r="C232" s="186"/>
      <c r="D232" s="186"/>
      <c r="E232" s="186"/>
    </row>
    <row r="233" spans="3:5" x14ac:dyDescent="0.35">
      <c r="C233" s="186"/>
      <c r="D233" s="186"/>
      <c r="E233" s="186"/>
    </row>
    <row r="234" spans="3:5" x14ac:dyDescent="0.35">
      <c r="C234" s="186"/>
      <c r="D234" s="186"/>
      <c r="E234" s="186"/>
    </row>
    <row r="235" spans="3:5" x14ac:dyDescent="0.35">
      <c r="C235" s="186"/>
      <c r="D235" s="186"/>
      <c r="E235" s="186"/>
    </row>
    <row r="236" spans="3:5" x14ac:dyDescent="0.35">
      <c r="C236" s="186"/>
      <c r="D236" s="186"/>
      <c r="E236" s="186"/>
    </row>
    <row r="237" spans="3:5" x14ac:dyDescent="0.35">
      <c r="C237" s="186"/>
      <c r="D237" s="186"/>
      <c r="E237" s="186"/>
    </row>
    <row r="238" spans="3:5" x14ac:dyDescent="0.35">
      <c r="C238" s="186"/>
      <c r="D238" s="186"/>
      <c r="E238" s="186"/>
    </row>
    <row r="239" spans="3:5" x14ac:dyDescent="0.35">
      <c r="C239" s="186"/>
      <c r="D239" s="186"/>
      <c r="E239" s="186"/>
    </row>
    <row r="240" spans="3:5" x14ac:dyDescent="0.35">
      <c r="C240" s="186"/>
      <c r="D240" s="186"/>
      <c r="E240" s="186"/>
    </row>
    <row r="241" spans="3:5" x14ac:dyDescent="0.35">
      <c r="C241" s="186"/>
      <c r="D241" s="186"/>
      <c r="E241" s="186"/>
    </row>
    <row r="242" spans="3:5" x14ac:dyDescent="0.35">
      <c r="C242" s="186"/>
      <c r="D242" s="186"/>
      <c r="E242" s="186"/>
    </row>
    <row r="243" spans="3:5" x14ac:dyDescent="0.35">
      <c r="C243" s="186"/>
      <c r="D243" s="186"/>
      <c r="E243" s="186"/>
    </row>
    <row r="244" spans="3:5" x14ac:dyDescent="0.35">
      <c r="C244" s="186"/>
      <c r="D244" s="186"/>
      <c r="E244" s="186"/>
    </row>
    <row r="245" spans="3:5" x14ac:dyDescent="0.35">
      <c r="C245" s="186"/>
      <c r="D245" s="186"/>
      <c r="E245" s="186"/>
    </row>
    <row r="246" spans="3:5" x14ac:dyDescent="0.35">
      <c r="C246" s="186"/>
      <c r="D246" s="186"/>
      <c r="E246" s="186"/>
    </row>
    <row r="247" spans="3:5" x14ac:dyDescent="0.35">
      <c r="C247" s="186"/>
      <c r="D247" s="186"/>
      <c r="E247" s="186"/>
    </row>
    <row r="248" spans="3:5" x14ac:dyDescent="0.35">
      <c r="C248" s="186"/>
      <c r="D248" s="186"/>
      <c r="E248" s="186"/>
    </row>
    <row r="249" spans="3:5" x14ac:dyDescent="0.35">
      <c r="C249" s="186"/>
      <c r="D249" s="186"/>
      <c r="E249" s="186"/>
    </row>
    <row r="250" spans="3:5" x14ac:dyDescent="0.35">
      <c r="C250" s="186"/>
      <c r="D250" s="186"/>
      <c r="E250" s="186"/>
    </row>
    <row r="251" spans="3:5" x14ac:dyDescent="0.35">
      <c r="C251" s="186"/>
      <c r="D251" s="186"/>
      <c r="E251" s="186"/>
    </row>
    <row r="252" spans="3:5" x14ac:dyDescent="0.35">
      <c r="C252" s="186"/>
      <c r="D252" s="186"/>
      <c r="E252" s="186"/>
    </row>
    <row r="253" spans="3:5" x14ac:dyDescent="0.35">
      <c r="C253" s="186"/>
      <c r="D253" s="186"/>
      <c r="E253" s="186"/>
    </row>
    <row r="254" spans="3:5" x14ac:dyDescent="0.35">
      <c r="C254" s="186"/>
      <c r="D254" s="186"/>
      <c r="E254" s="186"/>
    </row>
    <row r="255" spans="3:5" x14ac:dyDescent="0.35">
      <c r="C255" s="186"/>
      <c r="D255" s="186"/>
      <c r="E255" s="186"/>
    </row>
    <row r="256" spans="3:5" x14ac:dyDescent="0.35">
      <c r="C256" s="186"/>
      <c r="D256" s="186"/>
      <c r="E256" s="186"/>
    </row>
    <row r="257" spans="3:5" x14ac:dyDescent="0.35">
      <c r="C257" s="186"/>
      <c r="D257" s="186"/>
      <c r="E257" s="186"/>
    </row>
    <row r="258" spans="3:5" x14ac:dyDescent="0.35">
      <c r="C258" s="186"/>
      <c r="D258" s="186"/>
      <c r="E258" s="186"/>
    </row>
    <row r="259" spans="3:5" x14ac:dyDescent="0.35">
      <c r="C259" s="186"/>
      <c r="D259" s="186"/>
      <c r="E259" s="186"/>
    </row>
    <row r="260" spans="3:5" x14ac:dyDescent="0.35">
      <c r="C260" s="186"/>
      <c r="D260" s="186"/>
      <c r="E260" s="186"/>
    </row>
    <row r="261" spans="3:5" x14ac:dyDescent="0.35">
      <c r="C261" s="186"/>
      <c r="D261" s="186"/>
      <c r="E261" s="186"/>
    </row>
    <row r="262" spans="3:5" x14ac:dyDescent="0.35">
      <c r="C262" s="186"/>
      <c r="D262" s="186"/>
      <c r="E262" s="186"/>
    </row>
    <row r="263" spans="3:5" x14ac:dyDescent="0.35">
      <c r="C263" s="186"/>
      <c r="D263" s="186"/>
      <c r="E263" s="186"/>
    </row>
    <row r="264" spans="3:5" x14ac:dyDescent="0.35">
      <c r="C264" s="186"/>
      <c r="D264" s="186"/>
      <c r="E264" s="186"/>
    </row>
    <row r="265" spans="3:5" x14ac:dyDescent="0.35">
      <c r="C265" s="186"/>
      <c r="D265" s="186"/>
      <c r="E265" s="186"/>
    </row>
    <row r="266" spans="3:5" x14ac:dyDescent="0.35">
      <c r="C266" s="186"/>
      <c r="D266" s="186"/>
      <c r="E266" s="186"/>
    </row>
    <row r="267" spans="3:5" x14ac:dyDescent="0.35">
      <c r="C267" s="186"/>
      <c r="D267" s="186"/>
      <c r="E267" s="186"/>
    </row>
    <row r="268" spans="3:5" x14ac:dyDescent="0.35">
      <c r="C268" s="186"/>
      <c r="D268" s="186"/>
      <c r="E268" s="186"/>
    </row>
    <row r="269" spans="3:5" x14ac:dyDescent="0.35">
      <c r="C269" s="186"/>
      <c r="D269" s="186"/>
      <c r="E269" s="186"/>
    </row>
    <row r="270" spans="3:5" x14ac:dyDescent="0.35">
      <c r="C270" s="186"/>
      <c r="D270" s="186"/>
      <c r="E270" s="186"/>
    </row>
    <row r="271" spans="3:5" x14ac:dyDescent="0.35">
      <c r="C271" s="186"/>
      <c r="D271" s="186"/>
      <c r="E271" s="186"/>
    </row>
    <row r="272" spans="3:5" x14ac:dyDescent="0.35">
      <c r="C272" s="186"/>
      <c r="D272" s="186"/>
      <c r="E272" s="186"/>
    </row>
    <row r="273" spans="3:5" x14ac:dyDescent="0.35">
      <c r="C273" s="186"/>
      <c r="D273" s="186"/>
      <c r="E273" s="186"/>
    </row>
    <row r="274" spans="3:5" x14ac:dyDescent="0.35">
      <c r="C274" s="186"/>
      <c r="D274" s="186"/>
      <c r="E274" s="186"/>
    </row>
    <row r="275" spans="3:5" x14ac:dyDescent="0.35">
      <c r="C275" s="186"/>
      <c r="D275" s="186"/>
      <c r="E275" s="186"/>
    </row>
    <row r="276" spans="3:5" x14ac:dyDescent="0.35">
      <c r="C276" s="186"/>
      <c r="D276" s="186"/>
      <c r="E276" s="186"/>
    </row>
    <row r="277" spans="3:5" x14ac:dyDescent="0.35">
      <c r="C277" s="186"/>
      <c r="D277" s="186"/>
      <c r="E277" s="186"/>
    </row>
    <row r="278" spans="3:5" x14ac:dyDescent="0.35">
      <c r="C278" s="186"/>
      <c r="D278" s="186"/>
      <c r="E278" s="186"/>
    </row>
    <row r="279" spans="3:5" x14ac:dyDescent="0.35">
      <c r="C279" s="186"/>
      <c r="D279" s="186"/>
      <c r="E279" s="186"/>
    </row>
    <row r="280" spans="3:5" x14ac:dyDescent="0.35">
      <c r="C280" s="186"/>
      <c r="D280" s="186"/>
      <c r="E280" s="186"/>
    </row>
    <row r="281" spans="3:5" x14ac:dyDescent="0.35">
      <c r="C281" s="186"/>
      <c r="D281" s="186"/>
      <c r="E281" s="186"/>
    </row>
    <row r="282" spans="3:5" x14ac:dyDescent="0.35">
      <c r="C282" s="186"/>
      <c r="D282" s="186"/>
      <c r="E282" s="186"/>
    </row>
    <row r="283" spans="3:5" x14ac:dyDescent="0.35">
      <c r="C283" s="186"/>
      <c r="D283" s="186"/>
      <c r="E283" s="186"/>
    </row>
    <row r="284" spans="3:5" x14ac:dyDescent="0.35">
      <c r="C284" s="186"/>
      <c r="D284" s="186"/>
      <c r="E284" s="186"/>
    </row>
    <row r="285" spans="3:5" x14ac:dyDescent="0.35">
      <c r="C285" s="186"/>
      <c r="D285" s="186"/>
      <c r="E285" s="186"/>
    </row>
    <row r="286" spans="3:5" x14ac:dyDescent="0.35">
      <c r="C286" s="186"/>
      <c r="D286" s="186"/>
      <c r="E286" s="186"/>
    </row>
    <row r="287" spans="3:5" x14ac:dyDescent="0.35">
      <c r="C287" s="186"/>
      <c r="D287" s="186"/>
      <c r="E287" s="186"/>
    </row>
    <row r="288" spans="3:5" x14ac:dyDescent="0.35">
      <c r="C288" s="186"/>
      <c r="D288" s="186"/>
      <c r="E288" s="186"/>
    </row>
    <row r="289" spans="3:5" x14ac:dyDescent="0.35">
      <c r="C289" s="186"/>
      <c r="D289" s="186"/>
      <c r="E289" s="186"/>
    </row>
    <row r="290" spans="3:5" x14ac:dyDescent="0.35">
      <c r="C290" s="186"/>
      <c r="D290" s="186"/>
      <c r="E290" s="186"/>
    </row>
    <row r="291" spans="3:5" x14ac:dyDescent="0.35">
      <c r="C291" s="186"/>
      <c r="D291" s="186"/>
      <c r="E291" s="18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5940-42EC-4D8A-980B-A5D723AF123A}">
  <sheetPr codeName="Sheet13">
    <tabColor theme="4" tint="-0.499984740745262"/>
  </sheetPr>
  <dimension ref="A1:BE56"/>
  <sheetViews>
    <sheetView topLeftCell="A4" zoomScaleNormal="100" workbookViewId="0">
      <selection activeCell="D10" sqref="D10"/>
    </sheetView>
  </sheetViews>
  <sheetFormatPr defaultColWidth="9.1796875" defaultRowHeight="15.5" x14ac:dyDescent="0.35"/>
  <cols>
    <col min="1" max="1" width="30.26953125" style="65" bestFit="1" customWidth="1"/>
    <col min="2" max="2" width="9.54296875" style="65" bestFit="1" customWidth="1"/>
    <col min="3" max="3" width="8.7265625" style="65" bestFit="1" customWidth="1"/>
    <col min="4" max="4" width="8.7265625" style="65" customWidth="1"/>
    <col min="5" max="5" width="8.81640625" style="65" bestFit="1" customWidth="1"/>
    <col min="6" max="6" width="8.453125" style="65" bestFit="1" customWidth="1"/>
    <col min="7" max="7" width="8.81640625" style="65" bestFit="1" customWidth="1"/>
    <col min="8" max="8" width="12.26953125" style="65" customWidth="1"/>
    <col min="9" max="10" width="12.26953125" style="65" bestFit="1" customWidth="1"/>
    <col min="11" max="11" width="12.81640625" style="65" bestFit="1" customWidth="1"/>
    <col min="12" max="13" width="8.7265625" style="65" hidden="1" customWidth="1"/>
    <col min="14" max="14" width="9.54296875" style="65" hidden="1" customWidth="1"/>
    <col min="15" max="15" width="8.453125" style="65" hidden="1" customWidth="1"/>
    <col min="16" max="16" width="9.54296875" style="65" hidden="1" customWidth="1"/>
    <col min="17" max="17" width="12.26953125" style="82" hidden="1" customWidth="1"/>
    <col min="18" max="18" width="10.7265625" style="3" hidden="1" customWidth="1"/>
    <col min="19" max="19" width="8" style="3" hidden="1" customWidth="1"/>
    <col min="20" max="20" width="12.81640625" style="3" hidden="1" customWidth="1"/>
    <col min="21" max="22" width="8.7265625" style="3" hidden="1" customWidth="1"/>
    <col min="23" max="23" width="9.54296875" style="3" hidden="1" customWidth="1"/>
    <col min="24" max="24" width="8.453125" style="3" hidden="1" customWidth="1"/>
    <col min="25" max="25" width="9.54296875" style="3" hidden="1" customWidth="1"/>
    <col min="26" max="26" width="12.26953125" style="3" hidden="1" customWidth="1"/>
    <col min="27" max="27" width="10.7265625" style="3" hidden="1" customWidth="1"/>
    <col min="28" max="28" width="8" style="3" hidden="1" customWidth="1"/>
    <col min="29" max="29" width="11.26953125" style="3" hidden="1" customWidth="1"/>
    <col min="30" max="57" width="9.1796875" style="3"/>
  </cols>
  <sheetData>
    <row r="1" spans="1:57" ht="31" x14ac:dyDescent="0.7">
      <c r="A1" s="578" t="s">
        <v>921</v>
      </c>
      <c r="B1" s="579"/>
      <c r="C1" s="579"/>
      <c r="D1" s="579"/>
      <c r="E1" s="579"/>
      <c r="F1" s="579"/>
      <c r="G1" s="579"/>
      <c r="H1" s="579"/>
      <c r="I1" s="579"/>
      <c r="J1" s="579"/>
      <c r="K1" s="579"/>
      <c r="L1" s="449"/>
      <c r="M1" s="449"/>
      <c r="N1" s="449"/>
      <c r="O1" s="449"/>
      <c r="P1" s="449"/>
      <c r="Q1" s="449"/>
      <c r="R1" s="449"/>
      <c r="S1" s="449"/>
      <c r="T1" s="449"/>
      <c r="U1" s="449"/>
      <c r="V1" s="449"/>
      <c r="W1" s="449"/>
      <c r="X1" s="449"/>
      <c r="Y1" s="449"/>
      <c r="Z1" s="449"/>
      <c r="AA1" s="449"/>
      <c r="AB1" s="449"/>
      <c r="AC1" s="450"/>
    </row>
    <row r="2" spans="1:57" ht="21" x14ac:dyDescent="0.5">
      <c r="A2" s="342"/>
      <c r="B2" s="343"/>
      <c r="C2" s="583" t="s">
        <v>1341</v>
      </c>
      <c r="D2" s="584"/>
      <c r="E2" s="584"/>
      <c r="F2" s="584"/>
      <c r="G2" s="584"/>
      <c r="H2" s="584"/>
      <c r="I2" s="584"/>
      <c r="J2" s="584"/>
      <c r="K2" s="585"/>
      <c r="L2" s="582" t="s">
        <v>1350</v>
      </c>
      <c r="M2" s="582"/>
      <c r="N2" s="582"/>
      <c r="O2" s="582"/>
      <c r="P2" s="582"/>
      <c r="Q2" s="582"/>
      <c r="R2" s="582"/>
      <c r="S2" s="582"/>
      <c r="T2" s="582"/>
      <c r="U2" s="580" t="s">
        <v>1351</v>
      </c>
      <c r="V2" s="580"/>
      <c r="W2" s="580"/>
      <c r="X2" s="580"/>
      <c r="Y2" s="580"/>
      <c r="Z2" s="580"/>
      <c r="AA2" s="580"/>
      <c r="AB2" s="580"/>
      <c r="AC2" s="581"/>
    </row>
    <row r="3" spans="1:57" s="98" customFormat="1" ht="29" x14ac:dyDescent="0.35">
      <c r="A3" s="95" t="s">
        <v>345</v>
      </c>
      <c r="B3" s="96" t="s">
        <v>1739</v>
      </c>
      <c r="C3" s="338" t="s">
        <v>1712</v>
      </c>
      <c r="D3" s="310" t="s">
        <v>1714</v>
      </c>
      <c r="E3" s="310" t="s">
        <v>1709</v>
      </c>
      <c r="F3" s="338" t="s">
        <v>1427</v>
      </c>
      <c r="G3" s="344" t="s">
        <v>1715</v>
      </c>
      <c r="H3" s="311" t="s">
        <v>9</v>
      </c>
      <c r="I3" s="312" t="s">
        <v>1711</v>
      </c>
      <c r="J3" s="312" t="s">
        <v>1427</v>
      </c>
      <c r="K3" s="299" t="s">
        <v>1713</v>
      </c>
      <c r="L3" s="96" t="s">
        <v>1712</v>
      </c>
      <c r="M3" s="88" t="s">
        <v>1714</v>
      </c>
      <c r="N3" s="88" t="s">
        <v>1709</v>
      </c>
      <c r="O3" s="96" t="s">
        <v>1427</v>
      </c>
      <c r="P3" s="345" t="s">
        <v>1715</v>
      </c>
      <c r="Q3" s="97" t="s">
        <v>9</v>
      </c>
      <c r="R3" s="90" t="s">
        <v>1711</v>
      </c>
      <c r="S3" s="90" t="s">
        <v>1427</v>
      </c>
      <c r="T3" s="90" t="s">
        <v>1713</v>
      </c>
      <c r="U3" s="317" t="s">
        <v>1712</v>
      </c>
      <c r="V3" s="318" t="s">
        <v>1714</v>
      </c>
      <c r="W3" s="318" t="s">
        <v>1709</v>
      </c>
      <c r="X3" s="317" t="s">
        <v>1427</v>
      </c>
      <c r="Y3" s="346" t="s">
        <v>1715</v>
      </c>
      <c r="Z3" s="319" t="s">
        <v>9</v>
      </c>
      <c r="AA3" s="323" t="s">
        <v>1711</v>
      </c>
      <c r="AB3" s="323" t="s">
        <v>1427</v>
      </c>
      <c r="AC3" s="323" t="s">
        <v>1713</v>
      </c>
      <c r="AD3" s="472"/>
      <c r="AE3" s="472"/>
      <c r="AF3" s="472"/>
      <c r="AG3" s="472"/>
      <c r="AH3" s="472"/>
      <c r="AI3" s="472"/>
      <c r="AJ3" s="472"/>
      <c r="AK3" s="472"/>
      <c r="AL3" s="472"/>
      <c r="AM3" s="472"/>
      <c r="AN3" s="472"/>
      <c r="AO3" s="472"/>
      <c r="AP3" s="472"/>
      <c r="AQ3" s="472"/>
      <c r="AR3" s="472"/>
      <c r="AS3" s="472"/>
      <c r="AT3" s="472"/>
      <c r="AU3" s="472"/>
      <c r="AV3" s="472"/>
      <c r="AW3" s="472"/>
      <c r="AX3" s="472"/>
      <c r="AY3" s="472"/>
      <c r="AZ3" s="472"/>
      <c r="BA3" s="472"/>
      <c r="BB3" s="472"/>
      <c r="BC3" s="472"/>
      <c r="BD3" s="472"/>
      <c r="BE3" s="472"/>
    </row>
    <row r="4" spans="1:57" ht="14.5" x14ac:dyDescent="0.35">
      <c r="A4" s="70" t="s">
        <v>922</v>
      </c>
      <c r="B4" s="341"/>
      <c r="C4" s="313"/>
      <c r="D4" s="431"/>
      <c r="E4" s="99"/>
      <c r="F4" s="99"/>
      <c r="G4" s="99"/>
      <c r="H4" s="100">
        <f>SUM(H5:H8)</f>
        <v>0</v>
      </c>
      <c r="I4" s="347">
        <f>SUM(I5:I8)</f>
        <v>0</v>
      </c>
      <c r="J4" s="347">
        <f t="shared" ref="J4:J48" si="0">K4-I4</f>
        <v>0</v>
      </c>
      <c r="K4" s="101">
        <f>SUM(K5:K8)</f>
        <v>0</v>
      </c>
      <c r="L4" s="315"/>
      <c r="M4" s="432"/>
      <c r="N4" s="99"/>
      <c r="O4" s="99"/>
      <c r="P4" s="99"/>
      <c r="Q4" s="100">
        <f>SUM(Q5:Q8)</f>
        <v>0</v>
      </c>
      <c r="R4" s="347">
        <f>SUM(R5:R8)</f>
        <v>0</v>
      </c>
      <c r="S4" s="350">
        <f t="shared" ref="S4:S48" si="1">T4-R4</f>
        <v>0</v>
      </c>
      <c r="T4" s="101">
        <f>SUM(T5:T8)</f>
        <v>0</v>
      </c>
      <c r="U4" s="320"/>
      <c r="V4" s="433"/>
      <c r="W4" s="99"/>
      <c r="X4" s="99"/>
      <c r="Y4" s="99"/>
      <c r="Z4" s="100">
        <f>SUM(Z5:Z8)</f>
        <v>0</v>
      </c>
      <c r="AA4" s="324">
        <f>SUM(AA5:AA8)</f>
        <v>0</v>
      </c>
      <c r="AB4" s="76">
        <f t="shared" ref="AB4:AB48" si="2">AC4-AA4</f>
        <v>0</v>
      </c>
      <c r="AC4" s="324">
        <f>SUM(AC5:AC8)</f>
        <v>0</v>
      </c>
    </row>
    <row r="5" spans="1:57" ht="14.5" x14ac:dyDescent="0.35">
      <c r="A5" s="73" t="s">
        <v>923</v>
      </c>
      <c r="B5" s="102">
        <v>29.5</v>
      </c>
      <c r="C5" s="304" cm="1">
        <f t="array" ref="C5">IF(SUMPRODUCT(--(D_EffDate="Eff_Date_1"),--(D_Product="SO"),--(D_SC_Name="AHS - Dimensions"),--(D_Zone="02"),--(D_Category="Ex_Cat_1"),(D_Percent))=0,SUMPRODUCT(--(D_EffDate="Eff_Date_1"),--(D_Product="SO"),--(D_SC_Name="AHS - Dimensions"),--(D_Zone="ALL"),--(D_Category="Ex_Cat_1"),(D_Percent)),SUMPRODUCT(--(D_EffDate="Eff_Date_1"),--(D_Product="SO"),--(D_SC_Name="AHS - Dimensions"),--(D_Zone="02"),--(D_Category="Ex_Cat_1"),(D_Percent)))</f>
        <v>0</v>
      </c>
      <c r="D5" s="304" cm="1">
        <f t="array" ref="D5">IF(SUMPRODUCT(--(D_EffDate="Eff_Date_2"),--(D_Product="SO"),--(D_SC_Name="AHS - Dimensions"),--(D_Zone="02"),--(D_Category="Ex_Cat_1"),(D_Percent))=0,SUMPRODUCT(--(D_EffDate="Eff_Date_2"),--(D_Product="SO"),--(D_SC_Name="AHS - Dimensions"),--(D_Zone="ALL"),--(D_Category="Ex_Cat_1"),(D_Percent)),SUMPRODUCT(--(D_EffDate="Eff_Date_2"),--(D_Product="SO"),--(D_SC_Name="AHS - Dimensions"),--(D_Zone="02"),--(D_Category="Ex_Cat_1"),(D_Percent)))</f>
        <v>0</v>
      </c>
      <c r="E5" s="84">
        <f>ROUND(($B5*(1-$C5)),2)</f>
        <v>29.5</v>
      </c>
      <c r="F5" s="102">
        <f>G5-E5</f>
        <v>0</v>
      </c>
      <c r="G5" s="84">
        <f>ROUND(($B5*(1-$D5)),2)</f>
        <v>29.5</v>
      </c>
      <c r="H5" s="74" cm="1">
        <f t="array" ref="H5">SUMPRODUCT(--(Category="Ex_Cat_1"),--(OpCo="Express"),--(Intl="Domestic"),--(Zone=$A5),--(SC_Name="AHS - Dimensions"),(SC_Count))</f>
        <v>0</v>
      </c>
      <c r="I5" s="328">
        <f>E5*$H5</f>
        <v>0</v>
      </c>
      <c r="J5" s="328">
        <f t="shared" si="0"/>
        <v>0</v>
      </c>
      <c r="K5" s="75">
        <f>G5*$H5</f>
        <v>0</v>
      </c>
      <c r="L5" s="309" cm="1">
        <f t="array" ref="L5">IF(SUMPRODUCT(--(D_EffDate="Eff_Date_1"),--(D_Product="SO"),--(D_SC_Name="AHS - Dimensions"),--(D_Zone="02"),--(D_Category="Ex_Cat_2"),(D_Percent))=0,SUMPRODUCT(--(D_EffDate="Eff_Date_1"),--(D_Product="SO"),--(D_SC_Name="AHS - Dimensions"),--(D_Zone="ALL"),--(D_Category="Ex_Cat_2"),(D_Percent)),SUMPRODUCT(--(D_EffDate="Eff_Date_1"),--(D_Product="SO"),--(D_SC_Name="AHS - Dimensions"),--(D_Zone="02"),--(D_Category="Ex_Cat_2"),(D_Percent)))</f>
        <v>0</v>
      </c>
      <c r="M5" s="309" cm="1">
        <f t="array" ref="M5">IF(SUMPRODUCT(--(D_EffDate="Eff_Date_2"),--(D_Product="SO"),--(D_SC_Name="AHS - Dimensions"),--(D_Zone="02"),--(D_Category="Ex_Cat_2"),(D_Percent))=0,SUMPRODUCT(--(D_EffDate="Eff_Date_2"),--(D_Product="SO"),--(D_SC_Name="AHS - Dimensions"),--(D_Zone="ALL"),--(D_Category="Ex_Cat_2"),(D_Percent)),SUMPRODUCT(--(D_EffDate="Eff_Date_2"),--(D_Product="SO"),--(D_SC_Name="AHS - Dimensions"),--(D_Zone="02"),--(D_Category="Ex_Cat_2"),(D_Percent)))</f>
        <v>0</v>
      </c>
      <c r="N5" s="84">
        <f>ROUND(($B5*(1-$L5)),2)</f>
        <v>29.5</v>
      </c>
      <c r="O5" s="84">
        <f t="shared" ref="O5:O48" si="3">P5-N5</f>
        <v>0</v>
      </c>
      <c r="P5" s="84">
        <f>ROUND(($B5*(1-$M5)),2)</f>
        <v>29.5</v>
      </c>
      <c r="Q5" s="74" cm="1">
        <f t="array" ref="Q5">SUMPRODUCT(--(Category="Ex_Cat_2"),--(OpCo="Express"),--(Intl="Domestic"),--(Zone=$A5),--(SC_Name="AHS - Dimensions"),(SC_Count))</f>
        <v>0</v>
      </c>
      <c r="R5" s="328">
        <f>N5*$Q5</f>
        <v>0</v>
      </c>
      <c r="S5" s="328">
        <f t="shared" si="1"/>
        <v>0</v>
      </c>
      <c r="T5" s="75">
        <f>P5*$Q5</f>
        <v>0</v>
      </c>
      <c r="U5" s="321" cm="1">
        <f t="array" ref="U5">IF(SUMPRODUCT(--(D_EffDate="Eff_Date_1"),--(D_Product="SO"),--(D_SC_Name="AHS - Dimensions"),--(D_Zone="02"),--(D_Category="Ex_Cat_3"),(D_Percent))=0,SUMPRODUCT(--(D_EffDate="Eff_Date_1"),--(D_Product="SO"),--(D_SC_Name="AHS - Dimensions"),--(D_Zone="ALL"),--(D_Category="Ex_Cat_3"),(D_Percent)),SUMPRODUCT(--(D_EffDate="Eff_Date_1"),--(D_Product="SO"),--(D_SC_Name="AHS - Dimensions"),--(D_Zone="02"),--(D_Category="Ex_Cat_3"),(D_Percent)))</f>
        <v>0</v>
      </c>
      <c r="V5" s="321" cm="1">
        <f t="array" ref="V5">IF(SUMPRODUCT(--(D_EffDate="Eff_Date_2"),--(D_Product="SO"),--(D_SC_Name="AHS - Dimensions"),--(D_Zone="02"),--(D_Category="Ex_Cat_3"),(D_Percent))=0,SUMPRODUCT(--(D_EffDate="Eff_Date_2"),--(D_Product="SO"),--(D_SC_Name="AHS - Dimensions"),--(D_Zone="ALL"),--(D_Category="Ex_Cat_3"),(D_Percent)),SUMPRODUCT(--(D_EffDate="Eff_Date_2"),--(D_Product="SO"),--(D_SC_Name="AHS - Dimensions"),--(D_Zone="02"),--(D_Category="Ex_Cat_3"),(D_Percent)))</f>
        <v>0</v>
      </c>
      <c r="W5" s="84">
        <f>ROUND(($B5*(1-$U5)),2)</f>
        <v>29.5</v>
      </c>
      <c r="X5" s="84">
        <f t="shared" ref="X5:X48" si="4">Y5-W5</f>
        <v>0</v>
      </c>
      <c r="Y5" s="84">
        <f>ROUND(($B5*(1-$V5)),2)</f>
        <v>29.5</v>
      </c>
      <c r="Z5" s="74" cm="1">
        <f t="array" ref="Z5">SUMPRODUCT(--(Category="Ex_Cat_3"),--(OpCo="Express"),--(Intl="Domestic"),--(Zone=$A5),--(SC_Name="AHS - Dimensions"),(SC_Count))</f>
        <v>0</v>
      </c>
      <c r="AA5" s="76">
        <f>W5*$Z5</f>
        <v>0</v>
      </c>
      <c r="AB5" s="76">
        <f t="shared" si="2"/>
        <v>0</v>
      </c>
      <c r="AC5" s="76">
        <f>Y5*$Z5</f>
        <v>0</v>
      </c>
    </row>
    <row r="6" spans="1:57" ht="14.5" x14ac:dyDescent="0.35">
      <c r="A6" s="73" t="s">
        <v>936</v>
      </c>
      <c r="B6" s="102">
        <v>32.75</v>
      </c>
      <c r="C6" s="304" cm="1">
        <f t="array" ref="C6">IF(SUMPRODUCT(--(D_EffDate="Eff_Date_1"),--(D_Product="SO"),--(D_SC_Name="AHS - Dimensions"),--(D_Zone="03"),--(D_Category="Ex_Cat_1"),(D_Percent))=0,SUMPRODUCT(--(D_EffDate="Eff_Date_1"),--(D_Product="SO"),--(D_SC_Name="AHS - Dimensions"),--(D_Zone="ALL"),--(D_Category="Ex_Cat_1"),(D_Percent)),SUMPRODUCT(--(D_EffDate="Eff_Date_1"),--(D_Product="SO"),--(D_SC_Name="AHS - Dimensions"),--(D_Zone="03"),--(D_Category="Ex_Cat_1"),(D_Percent)))</f>
        <v>0</v>
      </c>
      <c r="D6" s="304" cm="1">
        <f t="array" ref="D6">IF(SUMPRODUCT(--(D_EffDate="Eff_Date_2"),--(D_Product="SO"),--(D_SC_Name="AHS - Dimensions"),--(D_Zone="03"),--(D_Category="Ex_Cat_1"),(D_Percent))=0,SUMPRODUCT(--(D_EffDate="Eff_Date_2"),--(D_Product="SO"),--(D_SC_Name="AHS - Dimensions"),--(D_Zone="ALL"),--(D_Category="Ex_Cat_1"),(D_Percent)),SUMPRODUCT(--(D_EffDate="Eff_Date_2"),--(D_Product="SO"),--(D_SC_Name="AHS - Dimensions"),--(D_Zone="03"),--(D_Category="Ex_Cat_1"),(D_Percent)))</f>
        <v>0</v>
      </c>
      <c r="E6" s="84">
        <f>ROUND(($B6*(1-$C6)),2)</f>
        <v>32.75</v>
      </c>
      <c r="F6" s="102">
        <f t="shared" ref="F6:F8" si="5">G6-E6</f>
        <v>0</v>
      </c>
      <c r="G6" s="84">
        <f>ROUND(($B6*(1-$D6)),2)</f>
        <v>32.75</v>
      </c>
      <c r="H6" s="74" cm="1">
        <f t="array" ref="H6">SUMPRODUCT(--(Category="Ex_Cat_1"),--(OpCo="Express"),--(Intl="Domestic"),--(Zone=$A6),--(SC_Name="AHS - Dimensions"),(SC_Count))</f>
        <v>0</v>
      </c>
      <c r="I6" s="328">
        <f>E6*$H6</f>
        <v>0</v>
      </c>
      <c r="J6" s="328">
        <f t="shared" si="0"/>
        <v>0</v>
      </c>
      <c r="K6" s="75">
        <f>G6*$H6</f>
        <v>0</v>
      </c>
      <c r="L6" s="309" cm="1">
        <f t="array" ref="L6">IF(SUMPRODUCT(--(D_EffDate="Eff_Date_1"),--(D_Product="SO"),--(D_SC_Name="AHS - Dimensions"),--(D_Zone="03"),--(D_Category="Ex_Cat_2"),(D_Percent))=0,SUMPRODUCT(--(D_EffDate="Eff_Date_1"),--(D_Product="SO"),--(D_SC_Name="AHS - Dimensions"),--(D_Zone="ALL"),--(D_Category="Ex_Cat_2"),(D_Percent)),SUMPRODUCT(--(D_EffDate="Eff_Date_1"),--(D_Product="SO"),--(D_SC_Name="AHS - Dimensions"),--(D_Zone="03"),--(D_Category="Ex_Cat_2"),(D_Percent)))</f>
        <v>0</v>
      </c>
      <c r="M6" s="309" cm="1">
        <f t="array" ref="M6">IF(SUMPRODUCT(--(D_EffDate="Eff_Date_2"),--(D_Product="SO"),--(D_SC_Name="AHS - Dimensions"),--(D_Zone="03"),--(D_Category="Ex_Cat_2"),(D_Percent))=0,SUMPRODUCT(--(D_EffDate="Eff_Date_2"),--(D_Product="SO"),--(D_SC_Name="AHS - Dimensions"),--(D_Zone="ALL"),--(D_Category="Ex_Cat_2"),(D_Percent)),SUMPRODUCT(--(D_EffDate="Eff_Date_2"),--(D_Product="SO"),--(D_SC_Name="AHS - Dimensions"),--(D_Zone="03"),--(D_Category="Ex_Cat_2"),(D_Percent)))</f>
        <v>0</v>
      </c>
      <c r="N6" s="84">
        <f>ROUND(($B6*(1-$L6)),2)</f>
        <v>32.75</v>
      </c>
      <c r="O6" s="84">
        <f t="shared" si="3"/>
        <v>0</v>
      </c>
      <c r="P6" s="84">
        <f>ROUND(($B6*(1-$M6)),2)</f>
        <v>32.75</v>
      </c>
      <c r="Q6" s="74" cm="1">
        <f t="array" ref="Q6">SUMPRODUCT(--(Category="Ex_Cat_2"),--(OpCo="Express"),--(Intl="Domestic"),--(Zone=$A6),--(SC_Name="AHS - Dimensions"),(SC_Count))</f>
        <v>0</v>
      </c>
      <c r="R6" s="328">
        <f>N6*$Q6</f>
        <v>0</v>
      </c>
      <c r="S6" s="328">
        <f t="shared" si="1"/>
        <v>0</v>
      </c>
      <c r="T6" s="75">
        <f>P6*$Q6</f>
        <v>0</v>
      </c>
      <c r="U6" s="321" cm="1">
        <f t="array" ref="U6">IF(SUMPRODUCT(--(D_EffDate="Eff_Date_1"),--(D_Product="SO"),--(D_SC_Name="AHS - Dimensions"),--(D_Zone="03"),--(D_Category="Ex_Cat_3"),(D_Percent))=0,SUMPRODUCT(--(D_EffDate="Eff_Date_1"),--(D_Product="SO"),--(D_SC_Name="AHS - Dimensions"),--(D_Zone="ALL"),--(D_Category="Ex_Cat_3"),(D_Percent)),SUMPRODUCT(--(D_EffDate="Eff_Date_1"),--(D_Product="SO"),--(D_SC_Name="AHS - Dimensions"),--(D_Zone="03"),--(D_Category="Ex_Cat_3"),(D_Percent)))</f>
        <v>0</v>
      </c>
      <c r="V6" s="321" cm="1">
        <f t="array" ref="V6">IF(SUMPRODUCT(--(D_EffDate="Eff_Date_2"),--(D_Product="SO"),--(D_SC_Name="AHS - Dimensions"),--(D_Zone="03"),--(D_Category="Ex_Cat_3"),(D_Percent))=0,SUMPRODUCT(--(D_EffDate="Eff_Date_2"),--(D_Product="SO"),--(D_SC_Name="AHS - Dimensions"),--(D_Zone="ALL"),--(D_Category="Ex_Cat_3"),(D_Percent)),SUMPRODUCT(--(D_EffDate="Eff_Date_2"),--(D_Product="SO"),--(D_SC_Name="AHS - Dimensions"),--(D_Zone="03"),--(D_Category="Ex_Cat_3"),(D_Percent)))</f>
        <v>0</v>
      </c>
      <c r="W6" s="84">
        <f>ROUND(($B6*(1-$U6)),2)</f>
        <v>32.75</v>
      </c>
      <c r="X6" s="84">
        <f t="shared" si="4"/>
        <v>0</v>
      </c>
      <c r="Y6" s="84">
        <f>ROUND(($B6*(1-$V6)),2)</f>
        <v>32.75</v>
      </c>
      <c r="Z6" s="74" cm="1">
        <f t="array" ref="Z6">SUMPRODUCT(--(Category="Ex_Cat_3"),--(OpCo="Express"),--(Intl="Domestic"),--(Zone=$A6),--(SC_Name="AHS - Dimensions"),(SC_Count))</f>
        <v>0</v>
      </c>
      <c r="AA6" s="76">
        <f>W6*$Z6</f>
        <v>0</v>
      </c>
      <c r="AB6" s="76">
        <f t="shared" si="2"/>
        <v>0</v>
      </c>
      <c r="AC6" s="76">
        <f>Y6*$Z6</f>
        <v>0</v>
      </c>
    </row>
    <row r="7" spans="1:57" ht="14.5" x14ac:dyDescent="0.35">
      <c r="A7" s="73" t="s">
        <v>924</v>
      </c>
      <c r="B7" s="102">
        <v>38.5</v>
      </c>
      <c r="C7" s="304" cm="1">
        <f t="array" ref="C7">IF(SUMPRODUCT(--(D_EffDate="Eff_Date_1"),--(D_Product="SO"),--(D_SC_Name="AHS - Dimensions"),--(D_Zone="05"),--(D_Category="Ex_Cat_1"),(D_Percent))=0,SUMPRODUCT(--(D_EffDate="Eff_Date_1"),--(D_Product="SO"),--(D_SC_Name="AHS - Dimensions"),--(D_Zone="ALL"),--(D_Category="Ex_Cat_1"),(D_Percent)),SUMPRODUCT(--(D_EffDate="Eff_Date_1"),--(D_Product="SO"),--(D_SC_Name="AHS - Dimensions"),--(D_Zone="05"),--(D_Category="Ex_Cat_1"),(D_Percent)))</f>
        <v>0</v>
      </c>
      <c r="D7" s="304" cm="1">
        <f t="array" ref="D7">IF(SUMPRODUCT(--(D_EffDate="Eff_Date_2"),--(D_Product="SO"),--(D_SC_Name="AHS - Dimensions"),--(D_Zone="05"),--(D_Category="Ex_Cat_1"),(D_Percent))=0,SUMPRODUCT(--(D_EffDate="Eff_Date_2"),--(D_Product="SO"),--(D_SC_Name="AHS - Dimensions"),--(D_Zone="ALL"),--(D_Category="Ex_Cat_1"),(D_Percent)),SUMPRODUCT(--(D_EffDate="Eff_Date_2"),--(D_Product="SO"),--(D_SC_Name="AHS - Dimensions"),--(D_Zone="05"),--(D_Category="Ex_Cat_1"),(D_Percent)))</f>
        <v>0</v>
      </c>
      <c r="E7" s="84">
        <f>ROUND(($B7*(1-$C7)),2)</f>
        <v>38.5</v>
      </c>
      <c r="F7" s="102">
        <f t="shared" si="5"/>
        <v>0</v>
      </c>
      <c r="G7" s="84">
        <f>ROUND(($B7*(1-$D7)),2)</f>
        <v>38.5</v>
      </c>
      <c r="H7" s="74" cm="1">
        <f t="array" ref="H7">SUMPRODUCT(--(Category="Ex_Cat_1"),--(OpCo="Express"),--(Intl="Domestic"),--(Zone=$A7),--(SC_Name="AHS - Dimensions"),(SC_Count))</f>
        <v>0</v>
      </c>
      <c r="I7" s="328">
        <f>E7*$H7</f>
        <v>0</v>
      </c>
      <c r="J7" s="328">
        <f t="shared" si="0"/>
        <v>0</v>
      </c>
      <c r="K7" s="75">
        <f>G7*$H7</f>
        <v>0</v>
      </c>
      <c r="L7" s="309" cm="1">
        <f t="array" ref="L7">IF(SUMPRODUCT(--(D_EffDate="Eff_Date_1"),--(D_Product="SO"),--(D_SC_Name="AHS - Dimensions"),--(D_Zone="05"),--(D_Category="Ex_Cat_2"),(D_Percent))=0,SUMPRODUCT(--(D_EffDate="Eff_Date_1"),--(D_Product="SO"),--(D_SC_Name="AHS - Dimensions"),--(D_Zone="ALL"),--(D_Category="Ex_Cat_2"),(D_Percent)),SUMPRODUCT(--(D_EffDate="Eff_Date_1"),--(D_Product="SO"),--(D_SC_Name="AHS - Dimensions"),--(D_Zone="05"),--(D_Category="Ex_Cat_2"),(D_Percent)))</f>
        <v>0</v>
      </c>
      <c r="M7" s="309" cm="1">
        <f t="array" ref="M7">IF(SUMPRODUCT(--(D_EffDate="Eff_Date_2"),--(D_Product="SO"),--(D_SC_Name="AHS - Dimensions"),--(D_Zone="05"),--(D_Category="Ex_Cat_2"),(D_Percent))=0,SUMPRODUCT(--(D_EffDate="Eff_Date_2"),--(D_Product="SO"),--(D_SC_Name="AHS - Dimensions"),--(D_Zone="ALL"),--(D_Category="Ex_Cat_2"),(D_Percent)),SUMPRODUCT(--(D_EffDate="Eff_Date_2"),--(D_Product="SO"),--(D_SC_Name="AHS - Dimensions"),--(D_Zone="05"),--(D_Category="Ex_Cat_2"),(D_Percent)))</f>
        <v>0</v>
      </c>
      <c r="N7" s="84">
        <f>ROUND(($B7*(1-$L7)),2)</f>
        <v>38.5</v>
      </c>
      <c r="O7" s="84">
        <f t="shared" si="3"/>
        <v>0</v>
      </c>
      <c r="P7" s="84">
        <f>ROUND(($B7*(1-$M7)),2)</f>
        <v>38.5</v>
      </c>
      <c r="Q7" s="74" cm="1">
        <f t="array" ref="Q7">SUMPRODUCT(--(Category="Ex_Cat_2"),--(OpCo="Express"),--(Intl="Domestic"),--(Zone=$A7),--(SC_Name="AHS - Dimensions"),(SC_Count))</f>
        <v>0</v>
      </c>
      <c r="R7" s="328">
        <f>N7*$Q7</f>
        <v>0</v>
      </c>
      <c r="S7" s="328">
        <f t="shared" si="1"/>
        <v>0</v>
      </c>
      <c r="T7" s="75">
        <f>P7*$Q7</f>
        <v>0</v>
      </c>
      <c r="U7" s="321" cm="1">
        <f t="array" ref="U7">IF(SUMPRODUCT(--(D_EffDate="Eff_Date_1"),--(D_Product="SO"),--(D_SC_Name="AHS - Dimensions"),--(D_Zone="05"),--(D_Category="Ex_Cat_3"),(D_Percent))=0,SUMPRODUCT(--(D_EffDate="Eff_Date_1"),--(D_Product="SO"),--(D_SC_Name="AHS - Dimensions"),--(D_Zone="ALL"),--(D_Category="Ex_Cat_3"),(D_Percent)),SUMPRODUCT(--(D_EffDate="Eff_Date_1"),--(D_Product="SO"),--(D_SC_Name="AHS - Dimensions"),--(D_Zone="05"),--(D_Category="Ex_Cat_3"),(D_Percent)))</f>
        <v>0</v>
      </c>
      <c r="V7" s="321" cm="1">
        <f t="array" ref="V7">IF(SUMPRODUCT(--(D_EffDate="Eff_Date_2"),--(D_Product="SO"),--(D_SC_Name="AHS - Dimensions"),--(D_Zone="05"),--(D_Category="Ex_Cat_3"),(D_Percent))=0,SUMPRODUCT(--(D_EffDate="Eff_Date_2"),--(D_Product="SO"),--(D_SC_Name="AHS - Dimensions"),--(D_Zone="ALL"),--(D_Category="Ex_Cat_3"),(D_Percent)),SUMPRODUCT(--(D_EffDate="Eff_Date_2"),--(D_Product="SO"),--(D_SC_Name="AHS - Dimensions"),--(D_Zone="05"),--(D_Category="Ex_Cat_3"),(D_Percent)))</f>
        <v>0</v>
      </c>
      <c r="W7" s="84">
        <f>ROUND(($B7*(1-$U7)),2)</f>
        <v>38.5</v>
      </c>
      <c r="X7" s="84">
        <f t="shared" si="4"/>
        <v>0</v>
      </c>
      <c r="Y7" s="84">
        <f>ROUND(($B7*(1-$V7)),2)</f>
        <v>38.5</v>
      </c>
      <c r="Z7" s="74" cm="1">
        <f t="array" ref="Z7">SUMPRODUCT(--(Category="Ex_Cat_3"),--(OpCo="Express"),--(Intl="Domestic"),--(Zone=$A7),--(SC_Name="AHS - Dimensions"),(SC_Count))</f>
        <v>0</v>
      </c>
      <c r="AA7" s="76">
        <f>W7*$Z7</f>
        <v>0</v>
      </c>
      <c r="AB7" s="76">
        <f t="shared" si="2"/>
        <v>0</v>
      </c>
      <c r="AC7" s="76">
        <f>Y7*$Z7</f>
        <v>0</v>
      </c>
    </row>
    <row r="8" spans="1:57" ht="14.5" x14ac:dyDescent="0.35">
      <c r="A8" s="73" t="s">
        <v>937</v>
      </c>
      <c r="B8" s="102">
        <v>40.75</v>
      </c>
      <c r="C8" s="304" cm="1">
        <f t="array" ref="C8">IF(SUMPRODUCT(--(D_EffDate="Eff_Date_1"),--(D_Product="SO"),--(D_SC_Name="AHS - Dimensions"),--(D_Zone="07"),--(D_Category="Ex_Cat_1"),(D_Percent))=0,SUMPRODUCT(--(D_EffDate="Eff_Date_1"),--(D_Product="SO"),--(D_SC_Name="AHS - Dimensions"),--(D_Zone="ALL"),--(D_Category="Ex_Cat_1"),(D_Percent)),SUMPRODUCT(--(D_EffDate="Eff_Date_1"),--(D_Product="SO"),--(D_SC_Name="AHS - Dimensions"),--(D_Zone="07"),--(D_Category="Ex_Cat_1"),(D_Percent)))</f>
        <v>0</v>
      </c>
      <c r="D8" s="304" cm="1">
        <f t="array" ref="D8">IF(SUMPRODUCT(--(D_EffDate="Eff_Date_2"),--(D_Product="SO"),--(D_SC_Name="AHS - Dimensions"),--(D_Zone="07"),--(D_Category="Ex_Cat_1"),(D_Percent))=0,SUMPRODUCT(--(D_EffDate="Eff_Date_2"),--(D_Product="SO"),--(D_SC_Name="AHS - Dimensions"),--(D_Zone="ALL"),--(D_Category="Ex_Cat_1"),(D_Percent)),SUMPRODUCT(--(D_EffDate="Eff_Date_2"),--(D_Product="SO"),--(D_SC_Name="AHS - Dimensions"),--(D_Zone="07"),--(D_Category="Ex_Cat_1"),(D_Percent)))</f>
        <v>0</v>
      </c>
      <c r="E8" s="84">
        <f>ROUND(($B8*(1-$C8)),2)</f>
        <v>40.75</v>
      </c>
      <c r="F8" s="102">
        <f t="shared" si="5"/>
        <v>0</v>
      </c>
      <c r="G8" s="84">
        <f>ROUND(($B8*(1-$D8)),2)</f>
        <v>40.75</v>
      </c>
      <c r="H8" s="74" cm="1">
        <f t="array" ref="H8">SUMPRODUCT(--(Category="Ex_Cat_1"),--(OpCo="Express"),--(Intl="Domestic"),--(Zone=$A8),--(SC_Name="AHS - Dimensions"),(SC_Count))</f>
        <v>0</v>
      </c>
      <c r="I8" s="328">
        <f>E8*$H8</f>
        <v>0</v>
      </c>
      <c r="J8" s="328">
        <f t="shared" si="0"/>
        <v>0</v>
      </c>
      <c r="K8" s="75">
        <f>G8*$H8</f>
        <v>0</v>
      </c>
      <c r="L8" s="309" cm="1">
        <f t="array" ref="L8">IF(SUMPRODUCT(--(D_EffDate="Eff_Date_1"),--(D_Product="SO"),--(D_SC_Name="AHS - Dimensions"),--(D_Zone="07"),--(D_Category="Ex_Cat_2"),(D_Percent))=0,SUMPRODUCT(--(D_EffDate="Eff_Date_1"),--(D_Product="SO"),--(D_SC_Name="AHS - Dimensions"),--(D_Zone="ALL"),--(D_Category="Ex_Cat_2"),(D_Percent)),SUMPRODUCT(--(D_EffDate="Eff_Date_1"),--(D_Product="SO"),--(D_SC_Name="AHS - Dimensions"),--(D_Zone="07"),--(D_Category="Ex_Cat_2"),(D_Percent)))</f>
        <v>0</v>
      </c>
      <c r="M8" s="309" cm="1">
        <f t="array" ref="M8">IF(SUMPRODUCT(--(D_EffDate="Eff_Date_2"),--(D_Product="SO"),--(D_SC_Name="AHS - Dimensions"),--(D_Zone="07"),--(D_Category="Ex_Cat_2"),(D_Percent))=0,SUMPRODUCT(--(D_EffDate="Eff_Date_2"),--(D_Product="SO"),--(D_SC_Name="AHS - Dimensions"),--(D_Zone="ALL"),--(D_Category="Ex_Cat_2"),(D_Percent)),SUMPRODUCT(--(D_EffDate="Eff_Date_2"),--(D_Product="SO"),--(D_SC_Name="AHS - Dimensions"),--(D_Zone="07"),--(D_Category="Ex_Cat_2"),(D_Percent)))</f>
        <v>0</v>
      </c>
      <c r="N8" s="84">
        <f>ROUND(($B8*(1-$L8)),2)</f>
        <v>40.75</v>
      </c>
      <c r="O8" s="84">
        <f t="shared" si="3"/>
        <v>0</v>
      </c>
      <c r="P8" s="84">
        <f>ROUND(($B8*(1-$M8)),2)</f>
        <v>40.75</v>
      </c>
      <c r="Q8" s="74" cm="1">
        <f t="array" ref="Q8">SUMPRODUCT(--(Category="Ex_Cat_2"),--(OpCo="Express"),--(Intl="Domestic"),--(Zone=$A8),--(SC_Name="AHS - Dimensions"),(SC_Count))</f>
        <v>0</v>
      </c>
      <c r="R8" s="328">
        <f>N8*$Q8</f>
        <v>0</v>
      </c>
      <c r="S8" s="328">
        <f t="shared" si="1"/>
        <v>0</v>
      </c>
      <c r="T8" s="75">
        <f>P8*$Q8</f>
        <v>0</v>
      </c>
      <c r="U8" s="321" cm="1">
        <f t="array" ref="U8">IF(SUMPRODUCT(--(D_EffDate="Eff_Date_1"),--(D_Product="SO"),--(D_SC_Name="AHS - Dimensions"),--(D_Zone="07"),--(D_Category="Ex_Cat_3"),(D_Percent))=0,SUMPRODUCT(--(D_EffDate="Eff_Date_1"),--(D_Product="SO"),--(D_SC_Name="AHS - Dimensions"),--(D_Zone="ALL"),--(D_Category="Ex_Cat_3"),(D_Percent)),SUMPRODUCT(--(D_EffDate="Eff_Date_1"),--(D_Product="SO"),--(D_SC_Name="AHS - Dimensions"),--(D_Zone="07"),--(D_Category="Ex_Cat_3"),(D_Percent)))</f>
        <v>0</v>
      </c>
      <c r="V8" s="321" cm="1">
        <f t="array" ref="V8">IF(SUMPRODUCT(--(D_EffDate="Eff_Date_2"),--(D_Product="SO"),--(D_SC_Name="AHS - Dimensions"),--(D_Zone="07"),--(D_Category="Ex_Cat_3"),(D_Percent))=0,SUMPRODUCT(--(D_EffDate="Eff_Date_2"),--(D_Product="SO"),--(D_SC_Name="AHS - Dimensions"),--(D_Zone="ALL"),--(D_Category="Ex_Cat_3"),(D_Percent)),SUMPRODUCT(--(D_EffDate="Eff_Date_2"),--(D_Product="SO"),--(D_SC_Name="AHS - Dimensions"),--(D_Zone="07"),--(D_Category="Ex_Cat_3"),(D_Percent)))</f>
        <v>0</v>
      </c>
      <c r="W8" s="84">
        <f>ROUND(($B8*(1-$U8)),2)</f>
        <v>40.75</v>
      </c>
      <c r="X8" s="84">
        <f t="shared" si="4"/>
        <v>0</v>
      </c>
      <c r="Y8" s="84">
        <f>ROUND(($B8*(1-$V8)),2)</f>
        <v>40.75</v>
      </c>
      <c r="Z8" s="74" cm="1">
        <f t="array" ref="Z8">SUMPRODUCT(--(Category="Ex_Cat_3"),--(OpCo="Express"),--(Intl="Domestic"),--(Zone=$A8),--(SC_Name="AHS - Dimensions"),(SC_Count))</f>
        <v>0</v>
      </c>
      <c r="AA8" s="76">
        <f>W8*$Z8</f>
        <v>0</v>
      </c>
      <c r="AB8" s="76">
        <f t="shared" si="2"/>
        <v>0</v>
      </c>
      <c r="AC8" s="76">
        <f>Y8*$Z8</f>
        <v>0</v>
      </c>
    </row>
    <row r="9" spans="1:57" ht="14.5" x14ac:dyDescent="0.35">
      <c r="A9" s="71" t="s">
        <v>925</v>
      </c>
      <c r="B9" s="103"/>
      <c r="C9" s="313"/>
      <c r="D9" s="313"/>
      <c r="E9" s="104"/>
      <c r="F9" s="104"/>
      <c r="G9" s="104"/>
      <c r="H9" s="105">
        <f>SUM(H10:H13)</f>
        <v>0</v>
      </c>
      <c r="I9" s="348">
        <f>SUM(I10:I13)</f>
        <v>0</v>
      </c>
      <c r="J9" s="348">
        <f t="shared" si="0"/>
        <v>0</v>
      </c>
      <c r="K9" s="106">
        <f>SUM(K10:K13)</f>
        <v>0</v>
      </c>
      <c r="L9" s="315"/>
      <c r="M9" s="315"/>
      <c r="N9" s="104"/>
      <c r="O9" s="104"/>
      <c r="P9" s="104"/>
      <c r="Q9" s="105">
        <f>SUM(Q10:Q13)</f>
        <v>0</v>
      </c>
      <c r="R9" s="348">
        <f>SUM(R10:R13)</f>
        <v>0</v>
      </c>
      <c r="S9" s="348">
        <f t="shared" si="1"/>
        <v>0</v>
      </c>
      <c r="T9" s="106">
        <f>SUM(T10:T13)</f>
        <v>0</v>
      </c>
      <c r="U9" s="320"/>
      <c r="V9" s="320"/>
      <c r="W9" s="104"/>
      <c r="X9" s="104"/>
      <c r="Y9" s="104"/>
      <c r="Z9" s="105">
        <f>SUM(Z10:Z13)</f>
        <v>0</v>
      </c>
      <c r="AA9" s="107">
        <f>SUM(AA10:AA13)</f>
        <v>0</v>
      </c>
      <c r="AB9" s="107">
        <f t="shared" si="2"/>
        <v>0</v>
      </c>
      <c r="AC9" s="107">
        <f>SUM(AC10:AC13)</f>
        <v>0</v>
      </c>
    </row>
    <row r="10" spans="1:57" ht="14.5" x14ac:dyDescent="0.35">
      <c r="A10" s="72" t="s">
        <v>923</v>
      </c>
      <c r="B10" s="108">
        <v>46</v>
      </c>
      <c r="C10" s="304" cm="1">
        <f t="array" ref="C10">IF(SUMPRODUCT(--(D_EffDate="Eff_Date_1"),--(D_Product="SO"),--(D_SC_Name="AHS - Weight"),--(D_Zone="02"),--(D_Category="Ex_Cat_1"),(D_Percent))=0,SUMPRODUCT(--(D_EffDate="Eff_Date_1"),--(D_Product="SO"),--(D_SC_Name="AHS - Weight"),--(D_Zone="ALL"),--(D_Category="Ex_Cat_1"),(D_Percent)),SUMPRODUCT(--(D_EffDate="Eff_Date_1"),--(D_Product="SO"),--(D_SC_Name="AHS - Weight"),--(D_Zone="02"),--(D_Category="Ex_Cat_1"),(D_Percent)))</f>
        <v>0</v>
      </c>
      <c r="D10" s="304" cm="1">
        <f t="array" ref="D10">IF(SUMPRODUCT(--(D_EffDate="Eff_Date_2"),--(D_Product="SO"),--(D_SC_Name="AHS - Weight"),--(D_Zone="02"),--(D_Category="Ex_Cat_1"),(D_Percent))=0,SUMPRODUCT(--(D_EffDate="Eff_Date_2"),--(D_Product="SO"),--(D_SC_Name="AHS - Weight"),--(D_Zone="ALL"),--(D_Category="Ex_Cat_1"),(D_Percent)),SUMPRODUCT(--(D_EffDate="Eff_Date_2"),--(D_Product="SO"),--(D_SC_Name="AHS - Weight"),--(D_Zone="02"),--(D_Category="Ex_Cat_1"),(D_Percent)))</f>
        <v>0</v>
      </c>
      <c r="E10" s="109">
        <f>ROUND(($B10*(1-$C10)),2)</f>
        <v>46</v>
      </c>
      <c r="F10" s="108">
        <f t="shared" ref="F10:F13" si="6">G10-E10</f>
        <v>0</v>
      </c>
      <c r="G10" s="109">
        <f>ROUND(($B10*(1-$D10)),2)</f>
        <v>46</v>
      </c>
      <c r="H10" s="79" cm="1">
        <f t="array" ref="H10">SUMPRODUCT(--(Category="Ex_Cat_1"),--(OpCo="Express"),--(Intl="Domestic"),--(Zone=$A10),--(SC_Name="AHS - Weight"),(SC_Count))</f>
        <v>0</v>
      </c>
      <c r="I10" s="329">
        <f>E10*$H10</f>
        <v>0</v>
      </c>
      <c r="J10" s="329">
        <f t="shared" si="0"/>
        <v>0</v>
      </c>
      <c r="K10" s="80">
        <f>G10*$H10</f>
        <v>0</v>
      </c>
      <c r="L10" s="309" cm="1">
        <f t="array" ref="L10">IF(SUMPRODUCT(--(D_EffDate="Eff_Date_1"),--(D_Product="SO"),--(D_SC_Name="AHS - Weight"),--(D_Zone="02"),--(D_Category="Ex_Cat_2"),(D_Percent))=0,SUMPRODUCT(--(D_EffDate="Eff_Date_1"),--(D_Product="SO"),--(D_SC_Name="AHS - Weight"),--(D_Zone="ALL"),--(D_Category="Ex_Cat_2"),(D_Percent)),SUMPRODUCT(--(D_EffDate="Eff_Date_1"),--(D_Product="SO"),--(D_SC_Name="AHS - Weight"),--(D_Zone="02"),--(D_Category="Ex_Cat_2"),(D_Percent)))</f>
        <v>0</v>
      </c>
      <c r="M10" s="309" cm="1">
        <f t="array" ref="M10">IF(SUMPRODUCT(--(D_EffDate="Eff_Date_2"),--(D_Product="SO"),--(D_SC_Name="AHS - Weight"),--(D_Zone="02"),--(D_Category="Ex_Cat_2"),(D_Percent))=0,SUMPRODUCT(--(D_EffDate="Eff_Date_2"),--(D_Product="SO"),--(D_SC_Name="AHS - Weight"),--(D_Zone="ALL"),--(D_Category="Ex_Cat_2"),(D_Percent)),SUMPRODUCT(--(D_EffDate="Eff_Date_2"),--(D_Product="SO"),--(D_SC_Name="AHS - Weight"),--(D_Zone="02"),--(D_Category="Ex_Cat_2"),(D_Percent)))</f>
        <v>0</v>
      </c>
      <c r="N10" s="109">
        <f>ROUND(($B10*(1-$L10)),2)</f>
        <v>46</v>
      </c>
      <c r="O10" s="109">
        <f t="shared" si="3"/>
        <v>0</v>
      </c>
      <c r="P10" s="109">
        <f>ROUND(($B10*(1-$M10)),2)</f>
        <v>46</v>
      </c>
      <c r="Q10" s="79" cm="1">
        <f t="array" ref="Q10">SUMPRODUCT(--(Category="Ex_Cat_2"),--(OpCo="Express"),--(Intl="Domestic"),--(Zone=$A10),--(SC_Name="AHS - Weight"),(SC_Count))</f>
        <v>0</v>
      </c>
      <c r="R10" s="329">
        <f>N10*$Q10</f>
        <v>0</v>
      </c>
      <c r="S10" s="329">
        <f t="shared" si="1"/>
        <v>0</v>
      </c>
      <c r="T10" s="80">
        <f>P10*$Q10</f>
        <v>0</v>
      </c>
      <c r="U10" s="321" cm="1">
        <f t="array" ref="U10">IF(SUMPRODUCT(--(D_EffDate="Eff_Date_1"),--(D_Product="SO"),--(D_SC_Name="AHS - Weight"),--(D_Zone="02"),--(D_Category="Ex_Cat_3"),(D_Percent))=0,SUMPRODUCT(--(D_EffDate="Eff_Date_1"),--(D_Product="SO"),--(D_SC_Name="AHS - Weight"),--(D_Zone="ALL"),--(D_Category="Ex_Cat_3"),(D_Percent)),SUMPRODUCT(--(D_EffDate="Eff_Date_1"),--(D_Product="SO"),--(D_SC_Name="AHS - Weight"),--(D_Zone="02"),--(D_Category="Ex_Cat_3"),(D_Percent)))</f>
        <v>0</v>
      </c>
      <c r="V10" s="321" cm="1">
        <f t="array" ref="V10">IF(SUMPRODUCT(--(D_EffDate="Eff_Date_2"),--(D_Product="SO"),--(D_SC_Name="AHS - Weight"),--(D_Zone="02"),--(D_Category="Ex_Cat_3"),(D_Percent))=0,SUMPRODUCT(--(D_EffDate="Eff_Date_2"),--(D_Product="SO"),--(D_SC_Name="AHS - Weight"),--(D_Zone="ALL"),--(D_Category="Ex_Cat_3"),(D_Percent)),SUMPRODUCT(--(D_EffDate="Eff_Date_2"),--(D_Product="SO"),--(D_SC_Name="AHS - Weight"),--(D_Zone="02"),--(D_Category="Ex_Cat_3"),(D_Percent)))</f>
        <v>0</v>
      </c>
      <c r="W10" s="109">
        <f>ROUND(($B10*(1-$U10)),2)</f>
        <v>46</v>
      </c>
      <c r="X10" s="109">
        <f t="shared" si="4"/>
        <v>0</v>
      </c>
      <c r="Y10" s="109">
        <f>ROUND(($B10*(1-$V10)),2)</f>
        <v>46</v>
      </c>
      <c r="Z10" s="79" cm="1">
        <f t="array" ref="Z10">SUMPRODUCT(--(Category="Ex_Cat_3"),--(OpCo="Express"),--(Intl="Domestic"),--(Zone=$A10),--(SC_Name="AHS - Weight"),(SC_Count))</f>
        <v>0</v>
      </c>
      <c r="AA10" s="81">
        <f>W10*$Z10</f>
        <v>0</v>
      </c>
      <c r="AB10" s="81">
        <f t="shared" si="2"/>
        <v>0</v>
      </c>
      <c r="AC10" s="81">
        <f>Y10*$Z10</f>
        <v>0</v>
      </c>
    </row>
    <row r="11" spans="1:57" ht="14.5" x14ac:dyDescent="0.35">
      <c r="A11" s="72" t="s">
        <v>936</v>
      </c>
      <c r="B11" s="108">
        <v>50.25</v>
      </c>
      <c r="C11" s="304" cm="1">
        <f t="array" ref="C11">IF(SUMPRODUCT(--(D_EffDate="Eff_Date_1"),--(D_Product="SO"),--(D_SC_Name="AHS - Weight"),--(D_Zone="03"),--(D_Category="Ex_Cat_1"),(D_Percent))=0,SUMPRODUCT(--(D_EffDate="Eff_Date_1"),--(D_Product="SO"),--(D_SC_Name="AHS - Weight"),--(D_Zone="ALL"),--(D_Category="Ex_Cat_1"),(D_Percent)),SUMPRODUCT(--(D_EffDate="Eff_Date_1"),--(D_Product="SO"),--(D_SC_Name="AHS - Weight"),--(D_Zone="03"),--(D_Category="Ex_Cat_1"),(D_Percent)))</f>
        <v>0</v>
      </c>
      <c r="D11" s="304" cm="1">
        <f t="array" ref="D11">IF(SUMPRODUCT(--(D_EffDate="Eff_Date_2"),--(D_Product="SO"),--(D_SC_Name="AHS - Weight"),--(D_Zone="03"),--(D_Category="Ex_Cat_1"),(D_Percent))=0,SUMPRODUCT(--(D_EffDate="Eff_Date_2"),--(D_Product="SO"),--(D_SC_Name="AHS - Weight"),--(D_Zone="ALL"),--(D_Category="Ex_Cat_1"),(D_Percent)),SUMPRODUCT(--(D_EffDate="Eff_Date_2"),--(D_Product="SO"),--(D_SC_Name="AHS - Weight"),--(D_Zone="03"),--(D_Category="Ex_Cat_1"),(D_Percent)))</f>
        <v>0</v>
      </c>
      <c r="E11" s="109">
        <f>ROUND(($B11*(1-$C11)),2)</f>
        <v>50.25</v>
      </c>
      <c r="F11" s="108">
        <f t="shared" si="6"/>
        <v>0</v>
      </c>
      <c r="G11" s="109">
        <f>ROUND(($B11*(1-$D11)),2)</f>
        <v>50.25</v>
      </c>
      <c r="H11" s="79" cm="1">
        <f t="array" ref="H11">SUMPRODUCT(--(Category="Ex_Cat_1"),--(OpCo="Express"),--(Intl="Domestic"),--(Zone=$A11),--(SC_Name="AHS - Weight"),(SC_Count))</f>
        <v>0</v>
      </c>
      <c r="I11" s="329">
        <f>E11*$H11</f>
        <v>0</v>
      </c>
      <c r="J11" s="329">
        <f t="shared" si="0"/>
        <v>0</v>
      </c>
      <c r="K11" s="80">
        <f>G11*$H11</f>
        <v>0</v>
      </c>
      <c r="L11" s="309" cm="1">
        <f t="array" ref="L11">IF(SUMPRODUCT(--(D_EffDate="Eff_Date_1"),--(D_Product="SO"),--(D_SC_Name="AHS - Weight"),--(D_Zone="03"),--(D_Category="Ex_Cat_2"),(D_Percent))=0,SUMPRODUCT(--(D_EffDate="Eff_Date_1"),--(D_Product="SO"),--(D_SC_Name="AHS - Weight"),--(D_Zone="ALL"),--(D_Category="Ex_Cat_2"),(D_Percent)),SUMPRODUCT(--(D_EffDate="Eff_Date_1"),--(D_Product="SO"),--(D_SC_Name="AHS - Weight"),--(D_Zone="03"),--(D_Category="Ex_Cat_2"),(D_Percent)))</f>
        <v>0</v>
      </c>
      <c r="M11" s="309" cm="1">
        <f t="array" ref="M11">IF(SUMPRODUCT(--(D_EffDate="Eff_Date_2"),--(D_Product="SO"),--(D_SC_Name="AHS - Weight"),--(D_Zone="03"),--(D_Category="Ex_Cat_2"),(D_Percent))=0,SUMPRODUCT(--(D_EffDate="Eff_Date_2"),--(D_Product="SO"),--(D_SC_Name="AHS - Weight"),--(D_Zone="ALL"),--(D_Category="Ex_Cat_2"),(D_Percent)),SUMPRODUCT(--(D_EffDate="Eff_Date_2"),--(D_Product="SO"),--(D_SC_Name="AHS - Weight"),--(D_Zone="03"),--(D_Category="Ex_Cat_2"),(D_Percent)))</f>
        <v>0</v>
      </c>
      <c r="N11" s="109">
        <f>ROUND(($B11*(1-$L11)),2)</f>
        <v>50.25</v>
      </c>
      <c r="O11" s="109">
        <f t="shared" si="3"/>
        <v>0</v>
      </c>
      <c r="P11" s="109">
        <f>ROUND(($B11*(1-$M11)),2)</f>
        <v>50.25</v>
      </c>
      <c r="Q11" s="79" cm="1">
        <f t="array" ref="Q11">SUMPRODUCT(--(Category="Ex_Cat_2"),--(OpCo="Express"),--(Intl="Domestic"),--(Zone=$A11),--(SC_Name="AHS - Weight"),(SC_Count))</f>
        <v>0</v>
      </c>
      <c r="R11" s="329">
        <f>N11*$Q11</f>
        <v>0</v>
      </c>
      <c r="S11" s="329">
        <f t="shared" si="1"/>
        <v>0</v>
      </c>
      <c r="T11" s="80">
        <f>P11*$Q11</f>
        <v>0</v>
      </c>
      <c r="U11" s="321" cm="1">
        <f t="array" ref="U11">IF(SUMPRODUCT(--(D_EffDate="Eff_Date_1"),--(D_Product="SO"),--(D_SC_Name="AHS - Weight"),--(D_Zone="03"),--(D_Category="Ex_Cat_3"),(D_Percent))=0,SUMPRODUCT(--(D_EffDate="Eff_Date_1"),--(D_Product="SO"),--(D_SC_Name="AHS - Weight"),--(D_Zone="ALL"),--(D_Category="Ex_Cat_3"),(D_Percent)),SUMPRODUCT(--(D_EffDate="Eff_Date_1"),--(D_Product="SO"),--(D_SC_Name="AHS - Weight"),--(D_Zone="03"),--(D_Category="Ex_Cat_3"),(D_Percent)))</f>
        <v>0</v>
      </c>
      <c r="V11" s="321" cm="1">
        <f t="array" ref="V11">IF(SUMPRODUCT(--(D_EffDate="Eff_Date_2"),--(D_Product="SO"),--(D_SC_Name="AHS - Weight"),--(D_Zone="03"),--(D_Category="Ex_Cat_3"),(D_Percent))=0,SUMPRODUCT(--(D_EffDate="Eff_Date_2"),--(D_Product="SO"),--(D_SC_Name="AHS - Weight"),--(D_Zone="ALL"),--(D_Category="Ex_Cat_3"),(D_Percent)),SUMPRODUCT(--(D_EffDate="Eff_Date_2"),--(D_Product="SO"),--(D_SC_Name="AHS - Weight"),--(D_Zone="03"),--(D_Category="Ex_Cat_3"),(D_Percent)))</f>
        <v>0</v>
      </c>
      <c r="W11" s="109">
        <f>ROUND(($B11*(1-$U11)),2)</f>
        <v>50.25</v>
      </c>
      <c r="X11" s="109">
        <f t="shared" si="4"/>
        <v>0</v>
      </c>
      <c r="Y11" s="109">
        <f>ROUND(($B11*(1-$V11)),2)</f>
        <v>50.25</v>
      </c>
      <c r="Z11" s="79" cm="1">
        <f t="array" ref="Z11">SUMPRODUCT(--(Category="Ex_Cat_3"),--(OpCo="Express"),--(Intl="Domestic"),--(Zone=$A11),--(SC_Name="AHS - Weight"),(SC_Count))</f>
        <v>0</v>
      </c>
      <c r="AA11" s="81">
        <f>W11*$Z11</f>
        <v>0</v>
      </c>
      <c r="AB11" s="81">
        <f t="shared" si="2"/>
        <v>0</v>
      </c>
      <c r="AC11" s="81">
        <f>Y11*$Z11</f>
        <v>0</v>
      </c>
    </row>
    <row r="12" spans="1:57" ht="14.5" x14ac:dyDescent="0.35">
      <c r="A12" s="72" t="s">
        <v>924</v>
      </c>
      <c r="B12" s="108">
        <v>56.25</v>
      </c>
      <c r="C12" s="304" cm="1">
        <f t="array" ref="C12">IF(SUMPRODUCT(--(D_EffDate="Eff_Date_1"),--(D_Product="SO"),--(D_SC_Name="AHS - Weight"),--(D_Zone="05"),--(D_Category="Ex_Cat_1"),(D_Percent))=0,SUMPRODUCT(--(D_EffDate="Eff_Date_1"),--(D_Product="SO"),--(D_SC_Name="AHS - Weight"),--(D_Zone="ALL"),--(D_Category="Ex_Cat_1"),(D_Percent)),SUMPRODUCT(--(D_EffDate="Eff_Date_1"),--(D_Product="SO"),--(D_SC_Name="AHS - Weight"),--(D_Zone="05"),--(D_Category="Ex_Cat_1"),(D_Percent)))</f>
        <v>0</v>
      </c>
      <c r="D12" s="304" cm="1">
        <f t="array" ref="D12">IF(SUMPRODUCT(--(D_EffDate="Eff_Date_2"),--(D_Product="SO"),--(D_SC_Name="AHS - Weight"),--(D_Zone="05"),--(D_Category="Ex_Cat_1"),(D_Percent))=0,SUMPRODUCT(--(D_EffDate="Eff_Date_2"),--(D_Product="SO"),--(D_SC_Name="AHS - Weight"),--(D_Zone="ALL"),--(D_Category="Ex_Cat_1"),(D_Percent)),SUMPRODUCT(--(D_EffDate="Eff_Date_2"),--(D_Product="SO"),--(D_SC_Name="AHS - Weight"),--(D_Zone="05"),--(D_Category="Ex_Cat_1"),(D_Percent)))</f>
        <v>0</v>
      </c>
      <c r="E12" s="109">
        <f>ROUND(($B12*(1-$C12)),2)</f>
        <v>56.25</v>
      </c>
      <c r="F12" s="108">
        <f t="shared" si="6"/>
        <v>0</v>
      </c>
      <c r="G12" s="109">
        <f>ROUND(($B12*(1-$D12)),2)</f>
        <v>56.25</v>
      </c>
      <c r="H12" s="79" cm="1">
        <f t="array" ref="H12">SUMPRODUCT(--(Category="Ex_Cat_1"),--(OpCo="Express"),--(Intl="Domestic"),--(Zone=$A12),--(SC_Name="AHS - Weight"),(SC_Count))</f>
        <v>0</v>
      </c>
      <c r="I12" s="329">
        <f>E12*$H12</f>
        <v>0</v>
      </c>
      <c r="J12" s="329">
        <f t="shared" si="0"/>
        <v>0</v>
      </c>
      <c r="K12" s="80">
        <f>G12*$H12</f>
        <v>0</v>
      </c>
      <c r="L12" s="309" cm="1">
        <f t="array" ref="L12">IF(SUMPRODUCT(--(D_EffDate="Eff_Date_1"),--(D_Product="SO"),--(D_SC_Name="AHS - Weight"),--(D_Zone="05"),--(D_Category="Ex_Cat_2"),(D_Percent))=0,SUMPRODUCT(--(D_EffDate="Eff_Date_1"),--(D_Product="SO"),--(D_SC_Name="AHS - Weight"),--(D_Zone="ALL"),--(D_Category="Ex_Cat_2"),(D_Percent)),SUMPRODUCT(--(D_EffDate="Eff_Date_1"),--(D_Product="SO"),--(D_SC_Name="AHS - Weight"),--(D_Zone="05"),--(D_Category="Ex_Cat_2"),(D_Percent)))</f>
        <v>0</v>
      </c>
      <c r="M12" s="309" cm="1">
        <f t="array" ref="M12">IF(SUMPRODUCT(--(D_EffDate="Eff_Date_2"),--(D_Product="SO"),--(D_SC_Name="AHS - Weight"),--(D_Zone="05"),--(D_Category="Ex_Cat_2"),(D_Percent))=0,SUMPRODUCT(--(D_EffDate="Eff_Date_2"),--(D_Product="SO"),--(D_SC_Name="AHS - Weight"),--(D_Zone="ALL"),--(D_Category="Ex_Cat_2"),(D_Percent)),SUMPRODUCT(--(D_EffDate="Eff_Date_2"),--(D_Product="SO"),--(D_SC_Name="AHS - Weight"),--(D_Zone="05"),--(D_Category="Ex_Cat_2"),(D_Percent)))</f>
        <v>0</v>
      </c>
      <c r="N12" s="109">
        <f>ROUND(($B12*(1-$L12)),2)</f>
        <v>56.25</v>
      </c>
      <c r="O12" s="109">
        <f t="shared" si="3"/>
        <v>0</v>
      </c>
      <c r="P12" s="109">
        <f>ROUND(($B12*(1-$M12)),2)</f>
        <v>56.25</v>
      </c>
      <c r="Q12" s="79" cm="1">
        <f t="array" ref="Q12">SUMPRODUCT(--(Category="Ex_Cat_2"),--(OpCo="Express"),--(Intl="Domestic"),--(Zone=$A12),--(SC_Name="AHS - Weight"),(SC_Count))</f>
        <v>0</v>
      </c>
      <c r="R12" s="329">
        <f>N12*$Q12</f>
        <v>0</v>
      </c>
      <c r="S12" s="329">
        <f t="shared" si="1"/>
        <v>0</v>
      </c>
      <c r="T12" s="80">
        <f>P12*$Q12</f>
        <v>0</v>
      </c>
      <c r="U12" s="321" cm="1">
        <f t="array" ref="U12">IF(SUMPRODUCT(--(D_EffDate="Eff_Date_1"),--(D_Product="SO"),--(D_SC_Name="AHS - Weight"),--(D_Zone="05"),--(D_Category="Ex_Cat_3"),(D_Percent))=0,SUMPRODUCT(--(D_EffDate="Eff_Date_1"),--(D_Product="SO"),--(D_SC_Name="AHS - Weight"),--(D_Zone="ALL"),--(D_Category="Ex_Cat_3"),(D_Percent)),SUMPRODUCT(--(D_EffDate="Eff_Date_1"),--(D_Product="SO"),--(D_SC_Name="AHS - Weight"),--(D_Zone="05"),--(D_Category="Ex_Cat_3"),(D_Percent)))</f>
        <v>0</v>
      </c>
      <c r="V12" s="321" cm="1">
        <f t="array" ref="V12">IF(SUMPRODUCT(--(D_EffDate="Eff_Date_2"),--(D_Product="SO"),--(D_SC_Name="AHS - Weight"),--(D_Zone="05"),--(D_Category="Ex_Cat_3"),(D_Percent))=0,SUMPRODUCT(--(D_EffDate="Eff_Date_2"),--(D_Product="SO"),--(D_SC_Name="AHS - Weight"),--(D_Zone="ALL"),--(D_Category="Ex_Cat_3"),(D_Percent)),SUMPRODUCT(--(D_EffDate="Eff_Date_2"),--(D_Product="SO"),--(D_SC_Name="AHS - Weight"),--(D_Zone="05"),--(D_Category="Ex_Cat_3"),(D_Percent)))</f>
        <v>0</v>
      </c>
      <c r="W12" s="109">
        <f>ROUND(($B12*(1-$U12)),2)</f>
        <v>56.25</v>
      </c>
      <c r="X12" s="109">
        <f t="shared" si="4"/>
        <v>0</v>
      </c>
      <c r="Y12" s="109">
        <f>ROUND(($B12*(1-$V12)),2)</f>
        <v>56.25</v>
      </c>
      <c r="Z12" s="79" cm="1">
        <f t="array" ref="Z12">SUMPRODUCT(--(Category="Ex_Cat_3"),--(OpCo="Express"),--(Intl="Domestic"),--(Zone=$A12),--(SC_Name="AHS - Weight"),(SC_Count))</f>
        <v>0</v>
      </c>
      <c r="AA12" s="81">
        <f>W12*$Z12</f>
        <v>0</v>
      </c>
      <c r="AB12" s="81">
        <f t="shared" si="2"/>
        <v>0</v>
      </c>
      <c r="AC12" s="81">
        <f>Y12*$Z12</f>
        <v>0</v>
      </c>
    </row>
    <row r="13" spans="1:57" ht="14.5" x14ac:dyDescent="0.35">
      <c r="A13" s="72" t="s">
        <v>937</v>
      </c>
      <c r="B13" s="108">
        <v>58.75</v>
      </c>
      <c r="C13" s="304" cm="1">
        <f t="array" ref="C13">IF(SUMPRODUCT(--(D_EffDate="Eff_Date_1"),--(D_Product="SO"),--(D_SC_Name="AHS - Weight"),--(D_Zone="07"),--(D_Category="Ex_Cat_1"),(D_Percent))=0,SUMPRODUCT(--(D_EffDate="Eff_Date_1"),--(D_Product="SO"),--(D_SC_Name="AHS - Weight"),--(D_Zone="ALL"),--(D_Category="Ex_Cat_1"),(D_Percent)),SUMPRODUCT(--(D_EffDate="Eff_Date_1"),--(D_Product="SO"),--(D_SC_Name="AHS - Weight"),--(D_Zone="07"),--(D_Category="Ex_Cat_1"),(D_Percent)))</f>
        <v>0</v>
      </c>
      <c r="D13" s="304" cm="1">
        <f t="array" ref="D13">IF(SUMPRODUCT(--(D_EffDate="Eff_Date_2"),--(D_Product="SO"),--(D_SC_Name="AHS - Weight"),--(D_Zone="07"),--(D_Category="Ex_Cat_1"),(D_Percent))=0,SUMPRODUCT(--(D_EffDate="Eff_Date_2"),--(D_Product="SO"),--(D_SC_Name="AHS - Weight"),--(D_Zone="ALL"),--(D_Category="Ex_Cat_1"),(D_Percent)),SUMPRODUCT(--(D_EffDate="Eff_Date_2"),--(D_Product="SO"),--(D_SC_Name="AHS - Weight"),--(D_Zone="07"),--(D_Category="Ex_Cat_1"),(D_Percent)))</f>
        <v>0</v>
      </c>
      <c r="E13" s="109">
        <f>ROUND(($B13*(1-$C13)),2)</f>
        <v>58.75</v>
      </c>
      <c r="F13" s="108">
        <f t="shared" si="6"/>
        <v>0</v>
      </c>
      <c r="G13" s="109">
        <f>ROUND(($B13*(1-$D13)),2)</f>
        <v>58.75</v>
      </c>
      <c r="H13" s="79" cm="1">
        <f t="array" ref="H13">SUMPRODUCT(--(Category="Ex_Cat_1"),--(OpCo="Express"),--(Intl="Domestic"),--(Zone=$A13),--(SC_Name="AHS - Weight"),(SC_Count))</f>
        <v>0</v>
      </c>
      <c r="I13" s="329">
        <f>E13*$H13</f>
        <v>0</v>
      </c>
      <c r="J13" s="329">
        <f t="shared" si="0"/>
        <v>0</v>
      </c>
      <c r="K13" s="80">
        <f>G13*$H13</f>
        <v>0</v>
      </c>
      <c r="L13" s="309" cm="1">
        <f t="array" ref="L13">IF(SUMPRODUCT(--(D_EffDate="Eff_Date_1"),--(D_Product="SO"),--(D_SC_Name="AHS - Weight"),--(D_Zone="07"),--(D_Category="Ex_Cat_2"),(D_Percent))=0,SUMPRODUCT(--(D_EffDate="Eff_Date_1"),--(D_Product="SO"),--(D_SC_Name="AHS - Weight"),--(D_Zone="ALL"),--(D_Category="Ex_Cat_2"),(D_Percent)),SUMPRODUCT(--(D_EffDate="Eff_Date_1"),--(D_Product="SO"),--(D_SC_Name="AHS - Weight"),--(D_Zone="07"),--(D_Category="Ex_Cat_2"),(D_Percent)))</f>
        <v>0</v>
      </c>
      <c r="M13" s="309" cm="1">
        <f t="array" ref="M13">IF(SUMPRODUCT(--(D_EffDate="Eff_Date_2"),--(D_Product="SO"),--(D_SC_Name="AHS - Weight"),--(D_Zone="07"),--(D_Category="Ex_Cat_2"),(D_Percent))=0,SUMPRODUCT(--(D_EffDate="Eff_Date_2"),--(D_Product="SO"),--(D_SC_Name="AHS - Weight"),--(D_Zone="ALL"),--(D_Category="Ex_Cat_2"),(D_Percent)),SUMPRODUCT(--(D_EffDate="Eff_Date_2"),--(D_Product="SO"),--(D_SC_Name="AHS - Weight"),--(D_Zone="07"),--(D_Category="Ex_Cat_2"),(D_Percent)))</f>
        <v>0</v>
      </c>
      <c r="N13" s="109">
        <f>ROUND(($B13*(1-$L13)),2)</f>
        <v>58.75</v>
      </c>
      <c r="O13" s="109">
        <f t="shared" si="3"/>
        <v>0</v>
      </c>
      <c r="P13" s="109">
        <f>ROUND(($B13*(1-$M13)),2)</f>
        <v>58.75</v>
      </c>
      <c r="Q13" s="79" cm="1">
        <f t="array" ref="Q13">SUMPRODUCT(--(Category="Ex_Cat_2"),--(OpCo="Express"),--(Intl="Domestic"),--(Zone=$A13),--(SC_Name="AHS - Weight"),(SC_Count))</f>
        <v>0</v>
      </c>
      <c r="R13" s="329">
        <f>N13*$Q13</f>
        <v>0</v>
      </c>
      <c r="S13" s="329">
        <f t="shared" si="1"/>
        <v>0</v>
      </c>
      <c r="T13" s="80">
        <f>P13*$Q13</f>
        <v>0</v>
      </c>
      <c r="U13" s="321" cm="1">
        <f t="array" ref="U13">IF(SUMPRODUCT(--(D_EffDate="Eff_Date_1"),--(D_Product="SO"),--(D_SC_Name="AHS - Weight"),--(D_Zone="07"),--(D_Category="Ex_Cat_3"),(D_Percent))=0,SUMPRODUCT(--(D_EffDate="Eff_Date_1"),--(D_Product="SO"),--(D_SC_Name="AHS - Weight"),--(D_Zone="ALL"),--(D_Category="Ex_Cat_3"),(D_Percent)),SUMPRODUCT(--(D_EffDate="Eff_Date_1"),--(D_Product="SO"),--(D_SC_Name="AHS - Weight"),--(D_Zone="07"),--(D_Category="Ex_Cat_3"),(D_Percent)))</f>
        <v>0</v>
      </c>
      <c r="V13" s="321" cm="1">
        <f t="array" ref="V13">IF(SUMPRODUCT(--(D_EffDate="Eff_Date_2"),--(D_Product="SO"),--(D_SC_Name="AHS - Weight"),--(D_Zone="07"),--(D_Category="Ex_Cat_3"),(D_Percent))=0,SUMPRODUCT(--(D_EffDate="Eff_Date_2"),--(D_Product="SO"),--(D_SC_Name="AHS - Weight"),--(D_Zone="ALL"),--(D_Category="Ex_Cat_3"),(D_Percent)),SUMPRODUCT(--(D_EffDate="Eff_Date_2"),--(D_Product="SO"),--(D_SC_Name="AHS - Weight"),--(D_Zone="07"),--(D_Category="Ex_Cat_3"),(D_Percent)))</f>
        <v>0</v>
      </c>
      <c r="W13" s="109">
        <f>ROUND(($B13*(1-$U13)),2)</f>
        <v>58.75</v>
      </c>
      <c r="X13" s="109">
        <f t="shared" si="4"/>
        <v>0</v>
      </c>
      <c r="Y13" s="109">
        <f>ROUND(($B13*(1-$V13)),2)</f>
        <v>58.75</v>
      </c>
      <c r="Z13" s="79" cm="1">
        <f t="array" ref="Z13">SUMPRODUCT(--(Category="Ex_Cat_3"),--(OpCo="Express"),--(Intl="Domestic"),--(Zone=$A13),--(SC_Name="AHS - Weight"),(SC_Count))</f>
        <v>0</v>
      </c>
      <c r="AA13" s="81">
        <f>W13*$Z13</f>
        <v>0</v>
      </c>
      <c r="AB13" s="81">
        <f t="shared" si="2"/>
        <v>0</v>
      </c>
      <c r="AC13" s="81">
        <f>Y13*$Z13</f>
        <v>0</v>
      </c>
    </row>
    <row r="14" spans="1:57" ht="14.5" x14ac:dyDescent="0.35">
      <c r="A14" s="70" t="s">
        <v>926</v>
      </c>
      <c r="B14" s="110"/>
      <c r="C14" s="313"/>
      <c r="D14" s="313"/>
      <c r="E14" s="111"/>
      <c r="F14" s="111"/>
      <c r="G14" s="111"/>
      <c r="H14" s="112">
        <f>SUM(H15:H18)</f>
        <v>0</v>
      </c>
      <c r="I14" s="349">
        <f>SUM(I15:I18)</f>
        <v>0</v>
      </c>
      <c r="J14" s="349">
        <f t="shared" si="0"/>
        <v>0</v>
      </c>
      <c r="K14" s="101">
        <f>SUM(K15:K18)</f>
        <v>0</v>
      </c>
      <c r="L14" s="315"/>
      <c r="M14" s="315"/>
      <c r="N14" s="111"/>
      <c r="O14" s="111"/>
      <c r="P14" s="111"/>
      <c r="Q14" s="112">
        <f>SUM(Q15:Q18)</f>
        <v>0</v>
      </c>
      <c r="R14" s="349">
        <f>SUM(R15:R18)</f>
        <v>0</v>
      </c>
      <c r="S14" s="349">
        <f t="shared" si="1"/>
        <v>0</v>
      </c>
      <c r="T14" s="101">
        <f>SUM(T15:T18)</f>
        <v>0</v>
      </c>
      <c r="U14" s="320"/>
      <c r="V14" s="320"/>
      <c r="W14" s="111"/>
      <c r="X14" s="111"/>
      <c r="Y14" s="111"/>
      <c r="Z14" s="112">
        <f>SUM(Z15:Z18)</f>
        <v>0</v>
      </c>
      <c r="AA14" s="324">
        <f>SUM(AA15:AA18)</f>
        <v>0</v>
      </c>
      <c r="AB14" s="324">
        <f t="shared" si="2"/>
        <v>0</v>
      </c>
      <c r="AC14" s="324">
        <f>SUM(AC15:AC18)</f>
        <v>0</v>
      </c>
    </row>
    <row r="15" spans="1:57" ht="14.5" x14ac:dyDescent="0.35">
      <c r="A15" s="73" t="s">
        <v>923</v>
      </c>
      <c r="B15" s="102">
        <v>26.5</v>
      </c>
      <c r="C15" s="304" cm="1">
        <f t="array" ref="C15">IF(SUMPRODUCT(--(D_EffDate="Eff_Date_1"),--(D_Product="SO"),--(D_SC_Name="AHS - Packaging"),--(D_Zone="02"),--(D_Category="Ex_Cat_1"),(D_Percent))=0,SUMPRODUCT(--(D_EffDate="Eff_Date_1"),--(D_Product="SO"),--(D_SC_Name="AHS - Packaging"),--(D_Zone="ALL"),--(D_Category="Ex_Cat_1"),(D_Percent)),SUMPRODUCT(--(D_EffDate="Eff_Date_1"),--(D_Product="SO"),--(D_SC_Name="AHS - Packaging"),--(D_Zone="02"),--(D_Category="Ex_Cat_1"),(D_Percent)))</f>
        <v>0</v>
      </c>
      <c r="D15" s="304" cm="1">
        <f t="array" ref="D15">IF(SUMPRODUCT(--(D_EffDate="Eff_Date_2"),--(D_Product="SO"),--(D_SC_Name="AHS - Packaging"),--(D_Zone="02"),--(D_Category="Ex_Cat_1"),(D_Percent))=0,SUMPRODUCT(--(D_EffDate="Eff_Date_2"),--(D_Product="SO"),--(D_SC_Name="AHS - Packaging"),--(D_Zone="ALL"),--(D_Category="Ex_Cat_1"),(D_Percent)),SUMPRODUCT(--(D_EffDate="Eff_Date_2"),--(D_Product="SO"),--(D_SC_Name="AHS - Packaging"),--(D_Zone="02"),--(D_Category="Ex_Cat_1"),(D_Percent)))</f>
        <v>0</v>
      </c>
      <c r="E15" s="84">
        <f>ROUND(($B15*(1-$C15)),2)</f>
        <v>26.5</v>
      </c>
      <c r="F15" s="102">
        <f t="shared" ref="F15:F18" si="7">G15-E15</f>
        <v>0</v>
      </c>
      <c r="G15" s="84">
        <f>ROUND(($B15*(1-$D15)),2)</f>
        <v>26.5</v>
      </c>
      <c r="H15" s="74" cm="1">
        <f t="array" ref="H15">SUMPRODUCT(--(Category="Ex_Cat_1"),--(OpCo="Express"),--(Intl="Domestic"),--(Zone=$A15),--(SC_Name="AHS - Packaging"),(SC_Count))</f>
        <v>0</v>
      </c>
      <c r="I15" s="328">
        <f>E15*$H15</f>
        <v>0</v>
      </c>
      <c r="J15" s="328">
        <f t="shared" si="0"/>
        <v>0</v>
      </c>
      <c r="K15" s="75">
        <f>G15*$H15</f>
        <v>0</v>
      </c>
      <c r="L15" s="309" cm="1">
        <f t="array" ref="L15">IF(SUMPRODUCT(--(D_EffDate="Eff_Date_1"),--(D_Product="SO"),--(D_SC_Name="AHS - Packaging"),--(D_Zone="02"),--(D_Category="Ex_Cat_2"),(D_Percent))=0,SUMPRODUCT(--(D_EffDate="Eff_Date_1"),--(D_Product="SO"),--(D_SC_Name="AHS - Packaging"),--(D_Zone="ALL"),--(D_Category="Ex_Cat_2"),(D_Percent)),SUMPRODUCT(--(D_EffDate="Eff_Date_1"),--(D_Product="SO"),--(D_SC_Name="AHS - Packaging"),--(D_Zone="02"),--(D_Category="Ex_Cat_2"),(D_Percent)))</f>
        <v>0</v>
      </c>
      <c r="M15" s="309" cm="1">
        <f t="array" ref="M15">IF(SUMPRODUCT(--(D_EffDate="Eff_Date_2"),--(D_Product="SO"),--(D_SC_Name="AHS - Packaging"),--(D_Zone="02"),--(D_Category="Ex_Cat_2"),(D_Percent))=0,SUMPRODUCT(--(D_EffDate="Eff_Date_2"),--(D_Product="SO"),--(D_SC_Name="AHS - Packaging"),--(D_Zone="ALL"),--(D_Category="Ex_Cat_2"),(D_Percent)),SUMPRODUCT(--(D_EffDate="Eff_Date_2"),--(D_Product="SO"),--(D_SC_Name="AHS - Packaging"),--(D_Zone="02"),--(D_Category="Ex_Cat_2"),(D_Percent)))</f>
        <v>0</v>
      </c>
      <c r="N15" s="84">
        <f>ROUND(($B15*(1-$L15)),2)</f>
        <v>26.5</v>
      </c>
      <c r="O15" s="84">
        <f t="shared" si="3"/>
        <v>0</v>
      </c>
      <c r="P15" s="84">
        <f>ROUND(($B15*(1-$M15)),2)</f>
        <v>26.5</v>
      </c>
      <c r="Q15" s="74" cm="1">
        <f t="array" ref="Q15">SUMPRODUCT(--(Category="Ex_Cat_2"),--(OpCo="Express"),--(Intl="Domestic"),--(Zone=$A15),--(SC_Name="AHS - Packaging"),(SC_Count))</f>
        <v>0</v>
      </c>
      <c r="R15" s="328">
        <f>N15*$Q15</f>
        <v>0</v>
      </c>
      <c r="S15" s="328">
        <f t="shared" si="1"/>
        <v>0</v>
      </c>
      <c r="T15" s="75">
        <f>P15*$Q15</f>
        <v>0</v>
      </c>
      <c r="U15" s="321" cm="1">
        <f t="array" ref="U15">IF(SUMPRODUCT(--(D_EffDate="Eff_Date_1"),--(D_Product="SO"),--(D_SC_Name="AHS - Packaging"),--(D_Zone="02"),--(D_Category="Ex_Cat_3"),(D_Percent))=0,SUMPRODUCT(--(D_EffDate="Eff_Date_1"),--(D_Product="SO"),--(D_SC_Name="AHS - Packaging"),--(D_Zone="ALL"),--(D_Category="Ex_Cat_3"),(D_Percent)),SUMPRODUCT(--(D_EffDate="Eff_Date_1"),--(D_Product="SO"),--(D_SC_Name="AHS - Packaging"),--(D_Zone="02"),--(D_Category="Ex_Cat_3"),(D_Percent)))</f>
        <v>0</v>
      </c>
      <c r="V15" s="321" cm="1">
        <f t="array" ref="V15">IF(SUMPRODUCT(--(D_EffDate="Eff_Date_2"),--(D_Product="SO"),--(D_SC_Name="AHS - Packaging"),--(D_Zone="02"),--(D_Category="Ex_Cat_3"),(D_Percent))=0,SUMPRODUCT(--(D_EffDate="Eff_Date_2"),--(D_Product="SO"),--(D_SC_Name="AHS - Packaging"),--(D_Zone="ALL"),--(D_Category="Ex_Cat_3"),(D_Percent)),SUMPRODUCT(--(D_EffDate="Eff_Date_2"),--(D_Product="SO"),--(D_SC_Name="AHS - Packaging"),--(D_Zone="02"),--(D_Category="Ex_Cat_3"),(D_Percent)))</f>
        <v>0</v>
      </c>
      <c r="W15" s="84">
        <f>ROUND(($B15*(1-$U15)),2)</f>
        <v>26.5</v>
      </c>
      <c r="X15" s="84">
        <f t="shared" si="4"/>
        <v>0</v>
      </c>
      <c r="Y15" s="84">
        <f>ROUND(($B15*(1-$V15)),2)</f>
        <v>26.5</v>
      </c>
      <c r="Z15" s="74" cm="1">
        <f t="array" ref="Z15">SUMPRODUCT(--(Category="Ex_Cat_3"),--(OpCo="Express"),--(Intl="Domestic"),--(Zone=$A15),--(SC_Name="AHS - Packaging"),(SC_Count))</f>
        <v>0</v>
      </c>
      <c r="AA15" s="76">
        <f>W15*$Z15</f>
        <v>0</v>
      </c>
      <c r="AB15" s="76">
        <f t="shared" si="2"/>
        <v>0</v>
      </c>
      <c r="AC15" s="76">
        <f>Y15*$Z15</f>
        <v>0</v>
      </c>
    </row>
    <row r="16" spans="1:57" ht="14.5" x14ac:dyDescent="0.35">
      <c r="A16" s="73" t="s">
        <v>936</v>
      </c>
      <c r="B16" s="102">
        <v>30.75</v>
      </c>
      <c r="C16" s="304" cm="1">
        <f t="array" ref="C16">IF(SUMPRODUCT(--(D_EffDate="Eff_Date_1"),--(D_Product="SO"),--(D_SC_Name="AHS - Packaging"),--(D_Zone="03"),--(D_Category="Ex_Cat_1"),(D_Percent))=0,SUMPRODUCT(--(D_EffDate="Eff_Date_1"),--(D_Product="SO"),--(D_SC_Name="AHS - Packaging"),--(D_Zone="ALL"),--(D_Category="Ex_Cat_1"),(D_Percent)),SUMPRODUCT(--(D_EffDate="Eff_Date_1"),--(D_Product="SO"),--(D_SC_Name="AHS - Packaging"),--(D_Zone="03"),--(D_Category="Ex_Cat_1"),(D_Percent)))</f>
        <v>0</v>
      </c>
      <c r="D16" s="304" cm="1">
        <f t="array" ref="D16">IF(SUMPRODUCT(--(D_EffDate="Eff_Date_2"),--(D_Product="SO"),--(D_SC_Name="AHS - Packaging"),--(D_Zone="03"),--(D_Category="Ex_Cat_1"),(D_Percent))=0,SUMPRODUCT(--(D_EffDate="Eff_Date_2"),--(D_Product="SO"),--(D_SC_Name="AHS - Packaging"),--(D_Zone="ALL"),--(D_Category="Ex_Cat_1"),(D_Percent)),SUMPRODUCT(--(D_EffDate="Eff_Date_2"),--(D_Product="SO"),--(D_SC_Name="AHS - Packaging"),--(D_Zone="03"),--(D_Category="Ex_Cat_1"),(D_Percent)))</f>
        <v>0</v>
      </c>
      <c r="E16" s="84">
        <f>ROUND(($B16*(1-$C16)),2)</f>
        <v>30.75</v>
      </c>
      <c r="F16" s="102">
        <f t="shared" si="7"/>
        <v>0</v>
      </c>
      <c r="G16" s="84">
        <f>ROUND(($B16*(1-$D16)),2)</f>
        <v>30.75</v>
      </c>
      <c r="H16" s="74" cm="1">
        <f t="array" ref="H16">SUMPRODUCT(--(Category="Ex_Cat_1"),--(OpCo="Express"),--(Intl="Domestic"),--(Zone=$A16),--(SC_Name="AHS - Packaging"),(SC_Count))</f>
        <v>0</v>
      </c>
      <c r="I16" s="328">
        <f>E16*$H16</f>
        <v>0</v>
      </c>
      <c r="J16" s="328">
        <f t="shared" si="0"/>
        <v>0</v>
      </c>
      <c r="K16" s="75">
        <f>G16*$H16</f>
        <v>0</v>
      </c>
      <c r="L16" s="309" cm="1">
        <f t="array" ref="L16">IF(SUMPRODUCT(--(D_EffDate="Eff_Date_1"),--(D_Product="SO"),--(D_SC_Name="AHS - Packaging"),--(D_Zone="03"),--(D_Category="Ex_Cat_2"),(D_Percent))=0,SUMPRODUCT(--(D_EffDate="Eff_Date_1"),--(D_Product="SO"),--(D_SC_Name="AHS - Packaging"),--(D_Zone="ALL"),--(D_Category="Ex_Cat_2"),(D_Percent)),SUMPRODUCT(--(D_EffDate="Eff_Date_1"),--(D_Product="SO"),--(D_SC_Name="AHS - Packaging"),--(D_Zone="03"),--(D_Category="Ex_Cat_2"),(D_Percent)))</f>
        <v>0</v>
      </c>
      <c r="M16" s="309" cm="1">
        <f t="array" ref="M16">IF(SUMPRODUCT(--(D_EffDate="Eff_Date_2"),--(D_Product="SO"),--(D_SC_Name="AHS - Packaging"),--(D_Zone="03"),--(D_Category="Ex_Cat_2"),(D_Percent))=0,SUMPRODUCT(--(D_EffDate="Eff_Date_2"),--(D_Product="SO"),--(D_SC_Name="AHS - Packaging"),--(D_Zone="ALL"),--(D_Category="Ex_Cat_2"),(D_Percent)),SUMPRODUCT(--(D_EffDate="Eff_Date_2"),--(D_Product="SO"),--(D_SC_Name="AHS - Packaging"),--(D_Zone="03"),--(D_Category="Ex_Cat_2"),(D_Percent)))</f>
        <v>0</v>
      </c>
      <c r="N16" s="84">
        <f>ROUND(($B16*(1-$L16)),2)</f>
        <v>30.75</v>
      </c>
      <c r="O16" s="84">
        <f t="shared" si="3"/>
        <v>0</v>
      </c>
      <c r="P16" s="84">
        <f>ROUND(($B16*(1-$M16)),2)</f>
        <v>30.75</v>
      </c>
      <c r="Q16" s="74" cm="1">
        <f t="array" ref="Q16">SUMPRODUCT(--(Category="Ex_Cat_2"),--(OpCo="Express"),--(Intl="Domestic"),--(Zone=$A16),--(SC_Name="AHS - Packaging"),(SC_Count))</f>
        <v>0</v>
      </c>
      <c r="R16" s="328">
        <f>N16*$Q16</f>
        <v>0</v>
      </c>
      <c r="S16" s="328">
        <f t="shared" si="1"/>
        <v>0</v>
      </c>
      <c r="T16" s="75">
        <f>P16*$Q16</f>
        <v>0</v>
      </c>
      <c r="U16" s="321" cm="1">
        <f t="array" ref="U16">IF(SUMPRODUCT(--(D_EffDate="Eff_Date_1"),--(D_Product="SO"),--(D_SC_Name="AHS - Packaging"),--(D_Zone="03"),--(D_Category="Ex_Cat_3"),(D_Percent))=0,SUMPRODUCT(--(D_EffDate="Eff_Date_1"),--(D_Product="SO"),--(D_SC_Name="AHS - Packaging"),--(D_Zone="ALL"),--(D_Category="Ex_Cat_3"),(D_Percent)),SUMPRODUCT(--(D_EffDate="Eff_Date_1"),--(D_Product="SO"),--(D_SC_Name="AHS - Packaging"),--(D_Zone="03"),--(D_Category="Ex_Cat_3"),(D_Percent)))</f>
        <v>0</v>
      </c>
      <c r="V16" s="321" cm="1">
        <f t="array" ref="V16">IF(SUMPRODUCT(--(D_EffDate="Eff_Date_2"),--(D_Product="SO"),--(D_SC_Name="AHS - Packaging"),--(D_Zone="03"),--(D_Category="Ex_Cat_3"),(D_Percent))=0,SUMPRODUCT(--(D_EffDate="Eff_Date_2"),--(D_Product="SO"),--(D_SC_Name="AHS - Packaging"),--(D_Zone="ALL"),--(D_Category="Ex_Cat_3"),(D_Percent)),SUMPRODUCT(--(D_EffDate="Eff_Date_2"),--(D_Product="SO"),--(D_SC_Name="AHS - Packaging"),--(D_Zone="03"),--(D_Category="Ex_Cat_3"),(D_Percent)))</f>
        <v>0</v>
      </c>
      <c r="W16" s="84">
        <f>ROUND(($B16*(1-$U16)),2)</f>
        <v>30.75</v>
      </c>
      <c r="X16" s="84">
        <f t="shared" si="4"/>
        <v>0</v>
      </c>
      <c r="Y16" s="84">
        <f>ROUND(($B16*(1-$V16)),2)</f>
        <v>30.75</v>
      </c>
      <c r="Z16" s="74" cm="1">
        <f t="array" ref="Z16">SUMPRODUCT(--(Category="Ex_Cat_3"),--(OpCo="Express"),--(Intl="Domestic"),--(Zone=$A16),--(SC_Name="AHS - Packaging"),(SC_Count))</f>
        <v>0</v>
      </c>
      <c r="AA16" s="76">
        <f>W16*$Z16</f>
        <v>0</v>
      </c>
      <c r="AB16" s="76">
        <f t="shared" si="2"/>
        <v>0</v>
      </c>
      <c r="AC16" s="76">
        <f>Y16*$Z16</f>
        <v>0</v>
      </c>
    </row>
    <row r="17" spans="1:29" ht="14.5" x14ac:dyDescent="0.35">
      <c r="A17" s="73" t="s">
        <v>924</v>
      </c>
      <c r="B17" s="102">
        <v>33</v>
      </c>
      <c r="C17" s="304" cm="1">
        <f t="array" ref="C17">IF(SUMPRODUCT(--(D_EffDate="Eff_Date_1"),--(D_Product="SO"),--(D_SC_Name="AHS - Packaging"),--(D_Zone="05"),--(D_Category="Ex_Cat_1"),(D_Percent))=0,SUMPRODUCT(--(D_EffDate="Eff_Date_1"),--(D_Product="SO"),--(D_SC_Name="AHS - Packaging"),--(D_Zone="ALL"),--(D_Category="Ex_Cat_1"),(D_Percent)),SUMPRODUCT(--(D_EffDate="Eff_Date_1"),--(D_Product="SO"),--(D_SC_Name="AHS - Packaging"),--(D_Zone="05"),--(D_Category="Ex_Cat_1"),(D_Percent)))</f>
        <v>0</v>
      </c>
      <c r="D17" s="304" cm="1">
        <f t="array" ref="D17">IF(SUMPRODUCT(--(D_EffDate="Eff_Date_2"),--(D_Product="SO"),--(D_SC_Name="AHS - Packaging"),--(D_Zone="05"),--(D_Category="Ex_Cat_1"),(D_Percent))=0,SUMPRODUCT(--(D_EffDate="Eff_Date_2"),--(D_Product="SO"),--(D_SC_Name="AHS - Packaging"),--(D_Zone="ALL"),--(D_Category="Ex_Cat_1"),(D_Percent)),SUMPRODUCT(--(D_EffDate="Eff_Date_2"),--(D_Product="SO"),--(D_SC_Name="AHS - Packaging"),--(D_Zone="05"),--(D_Category="Ex_Cat_1"),(D_Percent)))</f>
        <v>0</v>
      </c>
      <c r="E17" s="84">
        <f>ROUND(($B17*(1-$C17)),2)</f>
        <v>33</v>
      </c>
      <c r="F17" s="102">
        <f t="shared" si="7"/>
        <v>0</v>
      </c>
      <c r="G17" s="84">
        <f>ROUND(($B17*(1-$D17)),2)</f>
        <v>33</v>
      </c>
      <c r="H17" s="74" cm="1">
        <f t="array" ref="H17">SUMPRODUCT(--(Category="Ex_Cat_1"),--(OpCo="Express"),--(Intl="Domestic"),--(Zone=$A17),--(SC_Name="AHS - Packaging"),(SC_Count))</f>
        <v>0</v>
      </c>
      <c r="I17" s="328">
        <f>E17*$H17</f>
        <v>0</v>
      </c>
      <c r="J17" s="328">
        <f t="shared" si="0"/>
        <v>0</v>
      </c>
      <c r="K17" s="75">
        <f>G17*$H17</f>
        <v>0</v>
      </c>
      <c r="L17" s="309" cm="1">
        <f t="array" ref="L17">IF(SUMPRODUCT(--(D_EffDate="Eff_Date_1"),--(D_Product="SO"),--(D_SC_Name="AHS - Packaging"),--(D_Zone="05"),--(D_Category="Ex_Cat_2"),(D_Percent))=0,SUMPRODUCT(--(D_EffDate="Eff_Date_1"),--(D_Product="SO"),--(D_SC_Name="AHS - Packaging"),--(D_Zone="ALL"),--(D_Category="Ex_Cat_2"),(D_Percent)),SUMPRODUCT(--(D_EffDate="Eff_Date_1"),--(D_Product="SO"),--(D_SC_Name="AHS - Packaging"),--(D_Zone="05"),--(D_Category="Ex_Cat_2"),(D_Percent)))</f>
        <v>0</v>
      </c>
      <c r="M17" s="309" cm="1">
        <f t="array" ref="M17">IF(SUMPRODUCT(--(D_EffDate="Eff_Date_2"),--(D_Product="SO"),--(D_SC_Name="AHS - Packaging"),--(D_Zone="05"),--(D_Category="Ex_Cat_2"),(D_Percent))=0,SUMPRODUCT(--(D_EffDate="Eff_Date_2"),--(D_Product="SO"),--(D_SC_Name="AHS - Packaging"),--(D_Zone="ALL"),--(D_Category="Ex_Cat_2"),(D_Percent)),SUMPRODUCT(--(D_EffDate="Eff_Date_2"),--(D_Product="SO"),--(D_SC_Name="AHS - Packaging"),--(D_Zone="05"),--(D_Category="Ex_Cat_2"),(D_Percent)))</f>
        <v>0</v>
      </c>
      <c r="N17" s="84">
        <f>ROUND(($B17*(1-$L17)),2)</f>
        <v>33</v>
      </c>
      <c r="O17" s="84">
        <f t="shared" si="3"/>
        <v>0</v>
      </c>
      <c r="P17" s="84">
        <f>ROUND(($B17*(1-$M17)),2)</f>
        <v>33</v>
      </c>
      <c r="Q17" s="74" cm="1">
        <f t="array" ref="Q17">SUMPRODUCT(--(Category="Ex_Cat_2"),--(OpCo="Express"),--(Intl="Domestic"),--(Zone=$A17),--(SC_Name="AHS - Packaging"),(SC_Count))</f>
        <v>0</v>
      </c>
      <c r="R17" s="328">
        <f>N17*$Q17</f>
        <v>0</v>
      </c>
      <c r="S17" s="328">
        <f t="shared" si="1"/>
        <v>0</v>
      </c>
      <c r="T17" s="75">
        <f>P17*$Q17</f>
        <v>0</v>
      </c>
      <c r="U17" s="321" cm="1">
        <f t="array" ref="U17">IF(SUMPRODUCT(--(D_EffDate="Eff_Date_1"),--(D_Product="SO"),--(D_SC_Name="AHS - Packaging"),--(D_Zone="05"),--(D_Category="Ex_Cat_3"),(D_Percent))=0,SUMPRODUCT(--(D_EffDate="Eff_Date_1"),--(D_Product="SO"),--(D_SC_Name="AHS - Packaging"),--(D_Zone="ALL"),--(D_Category="Ex_Cat_3"),(D_Percent)),SUMPRODUCT(--(D_EffDate="Eff_Date_1"),--(D_Product="SO"),--(D_SC_Name="AHS - Packaging"),--(D_Zone="05"),--(D_Category="Ex_Cat_3"),(D_Percent)))</f>
        <v>0</v>
      </c>
      <c r="V17" s="321" cm="1">
        <f t="array" ref="V17">IF(SUMPRODUCT(--(D_EffDate="Eff_Date_2"),--(D_Product="SO"),--(D_SC_Name="AHS - Packaging"),--(D_Zone="05"),--(D_Category="Ex_Cat_3"),(D_Percent))=0,SUMPRODUCT(--(D_EffDate="Eff_Date_2"),--(D_Product="SO"),--(D_SC_Name="AHS - Packaging"),--(D_Zone="ALL"),--(D_Category="Ex_Cat_3"),(D_Percent)),SUMPRODUCT(--(D_EffDate="Eff_Date_2"),--(D_Product="SO"),--(D_SC_Name="AHS - Packaging"),--(D_Zone="05"),--(D_Category="Ex_Cat_3"),(D_Percent)))</f>
        <v>0</v>
      </c>
      <c r="W17" s="84">
        <f>ROUND(($B17*(1-$U17)),2)</f>
        <v>33</v>
      </c>
      <c r="X17" s="84">
        <f t="shared" si="4"/>
        <v>0</v>
      </c>
      <c r="Y17" s="84">
        <f>ROUND(($B17*(1-$V17)),2)</f>
        <v>33</v>
      </c>
      <c r="Z17" s="74" cm="1">
        <f t="array" ref="Z17">SUMPRODUCT(--(Category="Ex_Cat_3"),--(OpCo="Express"),--(Intl="Domestic"),--(Zone=$A17),--(SC_Name="AHS - Packaging"),(SC_Count))</f>
        <v>0</v>
      </c>
      <c r="AA17" s="76">
        <f>W17*$Z17</f>
        <v>0</v>
      </c>
      <c r="AB17" s="76">
        <f t="shared" si="2"/>
        <v>0</v>
      </c>
      <c r="AC17" s="76">
        <f>Y17*$Z17</f>
        <v>0</v>
      </c>
    </row>
    <row r="18" spans="1:29" ht="14.5" x14ac:dyDescent="0.35">
      <c r="A18" s="73" t="s">
        <v>937</v>
      </c>
      <c r="B18" s="102">
        <v>33.75</v>
      </c>
      <c r="C18" s="304" cm="1">
        <f t="array" ref="C18">IF(SUMPRODUCT(--(D_EffDate="Eff_Date_1"),--(D_Product="SO"),--(D_SC_Name="AHS - Packaging"),--(D_Zone="07"),--(D_Category="Ex_Cat_1"),(D_Percent))=0,SUMPRODUCT(--(D_EffDate="Eff_Date_1"),--(D_Product="SO"),--(D_SC_Name="AHS - Packaging"),--(D_Zone="ALL"),--(D_Category="Ex_Cat_1"),(D_Percent)),SUMPRODUCT(--(D_EffDate="Eff_Date_1"),--(D_Product="SO"),--(D_SC_Name="AHS - Packaging"),--(D_Zone="07"),--(D_Category="Ex_Cat_1"),(D_Percent)))</f>
        <v>0</v>
      </c>
      <c r="D18" s="304" cm="1">
        <f t="array" ref="D18">IF(SUMPRODUCT(--(D_EffDate="Eff_Date_2"),--(D_Product="SO"),--(D_SC_Name="AHS - Packaging"),--(D_Zone="07"),--(D_Category="Ex_Cat_1"),(D_Percent))=0,SUMPRODUCT(--(D_EffDate="Eff_Date_2"),--(D_Product="SO"),--(D_SC_Name="AHS - Packaging"),--(D_Zone="ALL"),--(D_Category="Ex_Cat_1"),(D_Percent)),SUMPRODUCT(--(D_EffDate="Eff_Date_2"),--(D_Product="SO"),--(D_SC_Name="AHS - Packaging"),--(D_Zone="07"),--(D_Category="Ex_Cat_1"),(D_Percent)))</f>
        <v>0</v>
      </c>
      <c r="E18" s="84">
        <f>ROUND(($B18*(1-$C18)),2)</f>
        <v>33.75</v>
      </c>
      <c r="F18" s="102">
        <f t="shared" si="7"/>
        <v>0</v>
      </c>
      <c r="G18" s="84">
        <f>ROUND(($B18*(1-$D18)),2)</f>
        <v>33.75</v>
      </c>
      <c r="H18" s="74" cm="1">
        <f t="array" ref="H18">SUMPRODUCT(--(Category="Ex_Cat_1"),--(OpCo="Express"),--(Intl="Domestic"),--(Zone=$A18),--(SC_Name="AHS - Packaging"),(SC_Count))</f>
        <v>0</v>
      </c>
      <c r="I18" s="328">
        <f>E18*$H18</f>
        <v>0</v>
      </c>
      <c r="J18" s="328">
        <f t="shared" si="0"/>
        <v>0</v>
      </c>
      <c r="K18" s="75">
        <f>G18*$H18</f>
        <v>0</v>
      </c>
      <c r="L18" s="309" cm="1">
        <f t="array" ref="L18">IF(SUMPRODUCT(--(D_EffDate="Eff_Date_1"),--(D_Product="SO"),--(D_SC_Name="AHS - Packaging"),--(D_Zone="07"),--(D_Category="Ex_Cat_2"),(D_Percent))=0,SUMPRODUCT(--(D_EffDate="Eff_Date_1"),--(D_Product="SO"),--(D_SC_Name="AHS - Packaging"),--(D_Zone="ALL"),--(D_Category="Ex_Cat_2"),(D_Percent)),SUMPRODUCT(--(D_EffDate="Eff_Date_1"),--(D_Product="SO"),--(D_SC_Name="AHS - Packaging"),--(D_Zone="07"),--(D_Category="Ex_Cat_2"),(D_Percent)))</f>
        <v>0</v>
      </c>
      <c r="M18" s="309" cm="1">
        <f t="array" ref="M18">IF(SUMPRODUCT(--(D_EffDate="Eff_Date_2"),--(D_Product="SO"),--(D_SC_Name="AHS - Packaging"),--(D_Zone="07"),--(D_Category="Ex_Cat_2"),(D_Percent))=0,SUMPRODUCT(--(D_EffDate="Eff_Date_2"),--(D_Product="SO"),--(D_SC_Name="AHS - Packaging"),--(D_Zone="ALL"),--(D_Category="Ex_Cat_2"),(D_Percent)),SUMPRODUCT(--(D_EffDate="Eff_Date_2"),--(D_Product="SO"),--(D_SC_Name="AHS - Packaging"),--(D_Zone="07"),--(D_Category="Ex_Cat_2"),(D_Percent)))</f>
        <v>0</v>
      </c>
      <c r="N18" s="84">
        <f>ROUND(($B18*(1-$L18)),2)</f>
        <v>33.75</v>
      </c>
      <c r="O18" s="84">
        <f t="shared" si="3"/>
        <v>0</v>
      </c>
      <c r="P18" s="84">
        <f>ROUND(($B18*(1-$M18)),2)</f>
        <v>33.75</v>
      </c>
      <c r="Q18" s="74" cm="1">
        <f t="array" ref="Q18">SUMPRODUCT(--(Category="Ex_Cat_2"),--(OpCo="Express"),--(Intl="Domestic"),--(Zone=$A18),--(SC_Name="AHS - Packaging"),(SC_Count))</f>
        <v>0</v>
      </c>
      <c r="R18" s="328">
        <f>N18*$Q18</f>
        <v>0</v>
      </c>
      <c r="S18" s="328">
        <f t="shared" si="1"/>
        <v>0</v>
      </c>
      <c r="T18" s="75">
        <f>P18*$Q18</f>
        <v>0</v>
      </c>
      <c r="U18" s="321" cm="1">
        <f t="array" ref="U18">IF(SUMPRODUCT(--(D_EffDate="Eff_Date_1"),--(D_Product="SO"),--(D_SC_Name="AHS - Packaging"),--(D_Zone="07"),--(D_Category="Ex_Cat_3"),(D_Percent))=0,SUMPRODUCT(--(D_EffDate="Eff_Date_1"),--(D_Product="SO"),--(D_SC_Name="AHS - Packaging"),--(D_Zone="ALL"),--(D_Category="Ex_Cat_3"),(D_Percent)),SUMPRODUCT(--(D_EffDate="Eff_Date_1"),--(D_Product="SO"),--(D_SC_Name="AHS - Packaging"),--(D_Zone="07"),--(D_Category="Ex_Cat_3"),(D_Percent)))</f>
        <v>0</v>
      </c>
      <c r="V18" s="321" cm="1">
        <f t="array" ref="V18">IF(SUMPRODUCT(--(D_EffDate="Eff_Date_2"),--(D_Product="SO"),--(D_SC_Name="AHS - Packaging"),--(D_Zone="07"),--(D_Category="Ex_Cat_3"),(D_Percent))=0,SUMPRODUCT(--(D_EffDate="Eff_Date_2"),--(D_Product="SO"),--(D_SC_Name="AHS - Packaging"),--(D_Zone="ALL"),--(D_Category="Ex_Cat_3"),(D_Percent)),SUMPRODUCT(--(D_EffDate="Eff_Date_2"),--(D_Product="SO"),--(D_SC_Name="AHS - Packaging"),--(D_Zone="07"),--(D_Category="Ex_Cat_3"),(D_Percent)))</f>
        <v>0</v>
      </c>
      <c r="W18" s="84">
        <f>ROUND(($B18*(1-$U18)),2)</f>
        <v>33.75</v>
      </c>
      <c r="X18" s="84">
        <f t="shared" si="4"/>
        <v>0</v>
      </c>
      <c r="Y18" s="84">
        <f>ROUND(($B18*(1-$V18)),2)</f>
        <v>33.75</v>
      </c>
      <c r="Z18" s="74" cm="1">
        <f t="array" ref="Z18">SUMPRODUCT(--(Category="Ex_Cat_3"),--(OpCo="Express"),--(Intl="Domestic"),--(Zone=$A18),--(SC_Name="AHS - Packaging"),(SC_Count))</f>
        <v>0</v>
      </c>
      <c r="AA18" s="76">
        <f>W18*$Z18</f>
        <v>0</v>
      </c>
      <c r="AB18" s="76">
        <f t="shared" si="2"/>
        <v>0</v>
      </c>
      <c r="AC18" s="76">
        <f>Y18*$Z18</f>
        <v>0</v>
      </c>
    </row>
    <row r="19" spans="1:29" ht="14.5" x14ac:dyDescent="0.35">
      <c r="A19" s="71" t="s">
        <v>927</v>
      </c>
      <c r="B19" s="327"/>
      <c r="C19" s="313"/>
      <c r="D19" s="313"/>
      <c r="E19" s="104"/>
      <c r="F19" s="104"/>
      <c r="G19" s="104"/>
      <c r="H19" s="105">
        <f>SUM(H20:H23)</f>
        <v>0</v>
      </c>
      <c r="I19" s="348">
        <f>SUM(I20:I23)</f>
        <v>0</v>
      </c>
      <c r="J19" s="348">
        <f t="shared" si="0"/>
        <v>0</v>
      </c>
      <c r="K19" s="106">
        <f>SUM(K20:K23)</f>
        <v>0</v>
      </c>
      <c r="L19" s="315"/>
      <c r="M19" s="315"/>
      <c r="N19" s="104"/>
      <c r="O19" s="104"/>
      <c r="P19" s="104"/>
      <c r="Q19" s="105">
        <f>SUM(Q20:Q23)</f>
        <v>0</v>
      </c>
      <c r="R19" s="348">
        <f>SUM(R20:R23)</f>
        <v>0</v>
      </c>
      <c r="S19" s="348">
        <f t="shared" si="1"/>
        <v>0</v>
      </c>
      <c r="T19" s="106">
        <f>SUM(T20:T23)</f>
        <v>0</v>
      </c>
      <c r="U19" s="320"/>
      <c r="V19" s="320"/>
      <c r="W19" s="104"/>
      <c r="X19" s="104"/>
      <c r="Y19" s="104"/>
      <c r="Z19" s="105">
        <f>SUM(Z20:Z23)</f>
        <v>0</v>
      </c>
      <c r="AA19" s="107">
        <f>SUM(AA20:AA23)</f>
        <v>0</v>
      </c>
      <c r="AB19" s="107">
        <f t="shared" si="2"/>
        <v>0</v>
      </c>
      <c r="AC19" s="107">
        <f>SUM(AC20:AC23)</f>
        <v>0</v>
      </c>
    </row>
    <row r="20" spans="1:29" ht="14.5" x14ac:dyDescent="0.35">
      <c r="A20" s="72" t="s">
        <v>923</v>
      </c>
      <c r="B20" s="108">
        <v>29.5</v>
      </c>
      <c r="C20" s="304" cm="1">
        <f t="array" ref="C20">IF(SUMPRODUCT(--(D_EffDate="Eff_Date_1"),--(D_Product="GR"),--(D_SC_Name="AHS - Dimensions"),--(D_Zone="2"),--(D_Category="Gr_Cat_1"),(D_Percent))=0,SUMPRODUCT(--(D_EffDate="Eff_Date_1"),--(D_Product="GR"),--(D_SC_Name="AHS - Dimensions"),--(D_Zone="ALL"),--(D_Category="Gr_Cat_1"),(D_Percent)),SUMPRODUCT(--(D_EffDate="Eff_Date_1"),--(D_Product="GR"),--(D_SC_Name="AHS - Dimensions"),--(D_Zone="2"),--(D_Category="Gr_Cat_1"),(D_Percent)))</f>
        <v>0</v>
      </c>
      <c r="D20" s="304" cm="1">
        <f t="array" ref="D20">IF(SUMPRODUCT(--(D_EffDate="Eff_Date_2"),--(D_Product="GR"),--(D_SC_Name="AHS - Dimensions"),--(D_Zone="2"),--(D_Category="Gr_Cat_1"),(D_Percent))=0,SUMPRODUCT(--(D_EffDate="Eff_Date_2"),--(D_Product="GR"),--(D_SC_Name="AHS - Dimensions"),--(D_Zone="ALL"),--(D_Category="Gr_Cat_1"),(D_Percent)),SUMPRODUCT(--(D_EffDate="Eff_Date_2"),--(D_Product="GR"),--(D_SC_Name="AHS - Dimensions"),--(D_Zone="2"),--(D_Category="Gr_Cat_1"),(D_Percent)))</f>
        <v>0</v>
      </c>
      <c r="E20" s="109">
        <f>ROUND(($B20*(1-$C20)),2)</f>
        <v>29.5</v>
      </c>
      <c r="F20" s="108">
        <f t="shared" ref="F20:F23" si="8">G20-E20</f>
        <v>0</v>
      </c>
      <c r="G20" s="109">
        <f>ROUND(($B20*(1-$D20)),2)</f>
        <v>29.5</v>
      </c>
      <c r="H20" s="79" cm="1">
        <f t="array" ref="H20">SUMPRODUCT(--(Category="Gr_Cat_1"),--(OpCo="Ground"),--(Intl="Domestic"),--(Zone=$A20),--(SC_Name="AHS - Dimensions"),(SC_Count))</f>
        <v>0</v>
      </c>
      <c r="I20" s="329">
        <f>E20*$H20</f>
        <v>0</v>
      </c>
      <c r="J20" s="329">
        <f t="shared" si="0"/>
        <v>0</v>
      </c>
      <c r="K20" s="80">
        <f>G20*$H20</f>
        <v>0</v>
      </c>
      <c r="L20" s="309" cm="1">
        <f t="array" ref="L20">IF(SUMPRODUCT(--(D_EffDate="Eff_Date_1"),--(D_Product="GR"),--(D_SC_Name="AHS - Dimensions"),--(D_Zone="2"),--(D_Category="Gr_Cat_2"),(D_Percent))=0,SUMPRODUCT(--(D_EffDate="Eff_Date_1"),--(D_Product="GR"),--(D_SC_Name="AHS - Dimensions"),--(D_Zone="ALL"),--(D_Category="Gr_Cat_2"),(D_Percent)),SUMPRODUCT(--(D_EffDate="Eff_Date_1"),--(D_Product="GR"),--(D_SC_Name="AHS - Dimensions"),--(D_Zone="2"),--(D_Category="Gr_Cat_2"),(D_Percent)))</f>
        <v>0</v>
      </c>
      <c r="M20" s="309" cm="1">
        <f t="array" ref="M20">IF(SUMPRODUCT(--(D_EffDate="Eff_Date_2"),--(D_Product="GR"),--(D_SC_Name="AHS - Dimensions"),--(D_Zone="2"),--(D_Category="Gr_Cat_2"),(D_Percent))=0,SUMPRODUCT(--(D_EffDate="Eff_Date_2"),--(D_Product="GR"),--(D_SC_Name="AHS - Dimensions"),--(D_Zone="ALL"),--(D_Category="Gr_Cat_2"),(D_Percent)),SUMPRODUCT(--(D_EffDate="Eff_Date_2"),--(D_Product="GR"),--(D_SC_Name="AHS - Dimensions"),--(D_Zone="2"),--(D_Category="Gr_Cat_2"),(D_Percent)))</f>
        <v>0</v>
      </c>
      <c r="N20" s="109">
        <f>ROUND(($B20*(1-$L20)),2)</f>
        <v>29.5</v>
      </c>
      <c r="O20" s="109">
        <f t="shared" si="3"/>
        <v>0</v>
      </c>
      <c r="P20" s="109">
        <f>ROUND(($B20*(1-$M20)),2)</f>
        <v>29.5</v>
      </c>
      <c r="Q20" s="79" cm="1">
        <f t="array" ref="Q20">SUMPRODUCT(--(Category="Gr_Cat_2"),--(OpCo="Ground"),--(Intl="Domestic"),--(Zone=$A20),--(SC_Name="AHS - Dimensions"),(SC_Count))</f>
        <v>0</v>
      </c>
      <c r="R20" s="329">
        <f>N20*$Q20</f>
        <v>0</v>
      </c>
      <c r="S20" s="329">
        <f t="shared" si="1"/>
        <v>0</v>
      </c>
      <c r="T20" s="80">
        <f>P20*$Q20</f>
        <v>0</v>
      </c>
      <c r="U20" s="321" cm="1">
        <f t="array" ref="U20">IF(SUMPRODUCT(--(D_EffDate="Eff_Date_1"),--(D_Product="GR"),--(D_SC_Name="AHS - Dimensions"),--(D_Zone="2"),--(D_Category="Gr_Cat_3"),(D_Percent))=0,SUMPRODUCT(--(D_EffDate="Eff_Date_1"),--(D_Product="GR"),--(D_SC_Name="AHS - Dimensions"),--(D_Zone="ALL"),--(D_Category="Gr_Cat_3"),(D_Percent)),SUMPRODUCT(--(D_EffDate="Eff_Date_1"),--(D_Product="GR"),--(D_SC_Name="AHS - Dimensions"),--(D_Zone="2"),--(D_Category="Gr_Cat_3"),(D_Percent)))</f>
        <v>0</v>
      </c>
      <c r="V20" s="321" cm="1">
        <f t="array" ref="V20">IF(SUMPRODUCT(--(D_EffDate="Eff_Date_2"),--(D_Product="GR"),--(D_SC_Name="AHS - Dimensions"),--(D_Zone="2"),--(D_Category="Gr_Cat_3"),(D_Percent))=0,SUMPRODUCT(--(D_EffDate="Eff_Date_2"),--(D_Product="GR"),--(D_SC_Name="AHS - Dimensions"),--(D_Zone="ALL"),--(D_Category="Gr_Cat_3"),(D_Percent)),SUMPRODUCT(--(D_EffDate="Eff_Date_2"),--(D_Product="GR"),--(D_SC_Name="AHS - Dimensions"),--(D_Zone="2"),--(D_Category="Gr_Cat_3"),(D_Percent)))</f>
        <v>0</v>
      </c>
      <c r="W20" s="109">
        <f>ROUND(($B20*(1-$U20)),2)</f>
        <v>29.5</v>
      </c>
      <c r="X20" s="109">
        <f t="shared" si="4"/>
        <v>0</v>
      </c>
      <c r="Y20" s="109">
        <f>ROUND(($B20*(1-$V20)),2)</f>
        <v>29.5</v>
      </c>
      <c r="Z20" s="79" cm="1">
        <f t="array" ref="Z20">SUMPRODUCT(--(Category="Gr_Cat_3"),--(OpCo="Ground"),--(Intl="Domestic"),--(Zone=$A20),--(SC_Name="AHS - Dimensions"),(SC_Count))</f>
        <v>0</v>
      </c>
      <c r="AA20" s="81">
        <f>W20*$Z20</f>
        <v>0</v>
      </c>
      <c r="AB20" s="81">
        <f t="shared" si="2"/>
        <v>0</v>
      </c>
      <c r="AC20" s="81">
        <f>Y20*$Z20</f>
        <v>0</v>
      </c>
    </row>
    <row r="21" spans="1:29" ht="14.5" x14ac:dyDescent="0.35">
      <c r="A21" s="72" t="s">
        <v>936</v>
      </c>
      <c r="B21" s="108">
        <v>32.75</v>
      </c>
      <c r="C21" s="304" cm="1">
        <f t="array" ref="C21">IF(SUMPRODUCT(--(D_EffDate="Eff_Date_1"),--(D_Product="GR"),--(D_SC_Name="AHS - Dimensions"),--(D_Zone="3"),--(D_Category="Gr_Cat_1"),(D_Percent))=0,SUMPRODUCT(--(D_EffDate="Eff_Date_1"),--(D_Product="GR"),--(D_SC_Name="AHS - Dimensions"),--(D_Zone="ALL"),--(D_Category="Gr_Cat_1"),(D_Percent)),SUMPRODUCT(--(D_EffDate="Eff_Date_1"),--(D_Product="GR"),--(D_SC_Name="AHS - Dimensions"),--(D_Zone="3"),--(D_Category="Gr_Cat_1"),(D_Percent)))</f>
        <v>0</v>
      </c>
      <c r="D21" s="304" cm="1">
        <f t="array" ref="D21">IF(SUMPRODUCT(--(D_EffDate="Eff_Date_2"),--(D_Product="GR"),--(D_SC_Name="AHS - Dimensions"),--(D_Zone="3"),--(D_Category="Gr_Cat_1"),(D_Percent))=0,SUMPRODUCT(--(D_EffDate="Eff_Date_2"),--(D_Product="GR"),--(D_SC_Name="AHS - Dimensions"),--(D_Zone="ALL"),--(D_Category="Gr_Cat_1"),(D_Percent)),SUMPRODUCT(--(D_EffDate="Eff_Date_2"),--(D_Product="GR"),--(D_SC_Name="AHS - Dimensions"),--(D_Zone="3"),--(D_Category="Gr_Cat_1"),(D_Percent)))</f>
        <v>0</v>
      </c>
      <c r="E21" s="109">
        <f>ROUND(($B21*(1-$C21)),2)</f>
        <v>32.75</v>
      </c>
      <c r="F21" s="108">
        <f t="shared" si="8"/>
        <v>0</v>
      </c>
      <c r="G21" s="109">
        <f>ROUND(($B21*(1-$D21)),2)</f>
        <v>32.75</v>
      </c>
      <c r="H21" s="79" cm="1">
        <f t="array" ref="H21">SUMPRODUCT(--(Category="Gr_Cat_1"),--(OpCo="Ground"),--(Intl="Domestic"),--(Zone=$A21),--(SC_Name="AHS - Dimensions"),(SC_Count))</f>
        <v>0</v>
      </c>
      <c r="I21" s="329">
        <f>E21*$H21</f>
        <v>0</v>
      </c>
      <c r="J21" s="329">
        <f t="shared" si="0"/>
        <v>0</v>
      </c>
      <c r="K21" s="80">
        <f>G21*$H21</f>
        <v>0</v>
      </c>
      <c r="L21" s="309" cm="1">
        <f t="array" ref="L21">IF(SUMPRODUCT(--(D_EffDate="Eff_Date_1"),--(D_Product="GR"),--(D_SC_Name="AHS - Dimensions"),--(D_Zone="3"),--(D_Category="Gr_Cat_2"),(D_Percent))=0,SUMPRODUCT(--(D_EffDate="Eff_Date_1"),--(D_Product="GR"),--(D_SC_Name="AHS - Dimensions"),--(D_Zone="ALL"),--(D_Category="Gr_Cat_2"),(D_Percent)),SUMPRODUCT(--(D_EffDate="Eff_Date_1"),--(D_Product="GR"),--(D_SC_Name="AHS - Dimensions"),--(D_Zone="3"),--(D_Category="Gr_Cat_2"),(D_Percent)))</f>
        <v>0</v>
      </c>
      <c r="M21" s="309" cm="1">
        <f t="array" ref="M21">IF(SUMPRODUCT(--(D_EffDate="Eff_Date_2"),--(D_Product="GR"),--(D_SC_Name="AHS - Dimensions"),--(D_Zone="3"),--(D_Category="Gr_Cat_2"),(D_Percent))=0,SUMPRODUCT(--(D_EffDate="Eff_Date_2"),--(D_Product="GR"),--(D_SC_Name="AHS - Dimensions"),--(D_Zone="ALL"),--(D_Category="Gr_Cat_2"),(D_Percent)),SUMPRODUCT(--(D_EffDate="Eff_Date_2"),--(D_Product="GR"),--(D_SC_Name="AHS - Dimensions"),--(D_Zone="3"),--(D_Category="Gr_Cat_2"),(D_Percent)))</f>
        <v>0</v>
      </c>
      <c r="N21" s="109">
        <f>ROUND(($B21*(1-$L21)),2)</f>
        <v>32.75</v>
      </c>
      <c r="O21" s="109">
        <f t="shared" si="3"/>
        <v>0</v>
      </c>
      <c r="P21" s="109">
        <f>ROUND(($B21*(1-$M21)),2)</f>
        <v>32.75</v>
      </c>
      <c r="Q21" s="79" cm="1">
        <f t="array" ref="Q21">SUMPRODUCT(--(Category="Gr_Cat_2"),--(OpCo="Ground"),--(Intl="Domestic"),--(Zone=$A21),--(SC_Name="AHS - Dimensions"),(SC_Count))</f>
        <v>0</v>
      </c>
      <c r="R21" s="329">
        <f>N21*$Q21</f>
        <v>0</v>
      </c>
      <c r="S21" s="329">
        <f t="shared" si="1"/>
        <v>0</v>
      </c>
      <c r="T21" s="80">
        <f>P21*$Q21</f>
        <v>0</v>
      </c>
      <c r="U21" s="321" cm="1">
        <f t="array" ref="U21">IF(SUMPRODUCT(--(D_EffDate="Eff_Date_1"),--(D_Product="GR"),--(D_SC_Name="AHS - Dimensions"),--(D_Zone="3"),--(D_Category="Gr_Cat_3"),(D_Percent))=0,SUMPRODUCT(--(D_EffDate="Eff_Date_1"),--(D_Product="GR"),--(D_SC_Name="AHS - Dimensions"),--(D_Zone="ALL"),--(D_Category="Gr_Cat_3"),(D_Percent)),SUMPRODUCT(--(D_EffDate="Eff_Date_1"),--(D_Product="GR"),--(D_SC_Name="AHS - Dimensions"),--(D_Zone="3"),--(D_Category="Gr_Cat_3"),(D_Percent)))</f>
        <v>0</v>
      </c>
      <c r="V21" s="321" cm="1">
        <f t="array" ref="V21">IF(SUMPRODUCT(--(D_EffDate="Eff_Date_2"),--(D_Product="GR"),--(D_SC_Name="AHS - Dimensions"),--(D_Zone="3"),--(D_Category="Gr_Cat_3"),(D_Percent))=0,SUMPRODUCT(--(D_EffDate="Eff_Date_2"),--(D_Product="GR"),--(D_SC_Name="AHS - Dimensions"),--(D_Zone="ALL"),--(D_Category="Gr_Cat_3"),(D_Percent)),SUMPRODUCT(--(D_EffDate="Eff_Date_2"),--(D_Product="GR"),--(D_SC_Name="AHS - Dimensions"),--(D_Zone="3"),--(D_Category="Gr_Cat_3"),(D_Percent)))</f>
        <v>0</v>
      </c>
      <c r="W21" s="109">
        <f>ROUND(($B21*(1-$U21)),2)</f>
        <v>32.75</v>
      </c>
      <c r="X21" s="109">
        <f t="shared" si="4"/>
        <v>0</v>
      </c>
      <c r="Y21" s="109">
        <f>ROUND(($B21*(1-$V21)),2)</f>
        <v>32.75</v>
      </c>
      <c r="Z21" s="79" cm="1">
        <f t="array" ref="Z21">SUMPRODUCT(--(Category="Gr_Cat_3"),--(OpCo="Ground"),--(Intl="Domestic"),--(Zone=$A21),--(SC_Name="AHS - Dimensions"),(SC_Count))</f>
        <v>0</v>
      </c>
      <c r="AA21" s="81">
        <f>W21*$Z21</f>
        <v>0</v>
      </c>
      <c r="AB21" s="81">
        <f t="shared" si="2"/>
        <v>0</v>
      </c>
      <c r="AC21" s="81">
        <f>Y21*$Z21</f>
        <v>0</v>
      </c>
    </row>
    <row r="22" spans="1:29" ht="14.5" x14ac:dyDescent="0.35">
      <c r="A22" s="72" t="s">
        <v>924</v>
      </c>
      <c r="B22" s="108">
        <v>38.5</v>
      </c>
      <c r="C22" s="304" cm="1">
        <f t="array" ref="C22">IF(SUMPRODUCT(--(D_EffDate="Eff_Date_1"),--(D_Product="GR"),--(D_SC_Name="AHS - Dimensions"),--(D_Zone="5"),--(D_Category="Gr_Cat_1"),(D_Percent))=0,SUMPRODUCT(--(D_EffDate="Eff_Date_1"),--(D_Product="GR"),--(D_SC_Name="AHS - Dimensions"),--(D_Zone="ALL"),--(D_Category="Gr_Cat_1"),(D_Percent)),SUMPRODUCT(--(D_EffDate="Eff_Date_1"),--(D_Product="GR"),--(D_SC_Name="AHS - Dimensions"),--(D_Zone="5"),--(D_Category="Gr_Cat_1"),(D_Percent)))</f>
        <v>0</v>
      </c>
      <c r="D22" s="304" cm="1">
        <f t="array" ref="D22">IF(SUMPRODUCT(--(D_EffDate="Eff_Date_2"),--(D_Product="GR"),--(D_SC_Name="AHS - Dimensions"),--(D_Zone="5"),--(D_Category="Gr_Cat_1"),(D_Percent))=0,SUMPRODUCT(--(D_EffDate="Eff_Date_2"),--(D_Product="GR"),--(D_SC_Name="AHS - Dimensions"),--(D_Zone="ALL"),--(D_Category="Gr_Cat_1"),(D_Percent)),SUMPRODUCT(--(D_EffDate="Eff_Date_2"),--(D_Product="GR"),--(D_SC_Name="AHS - Dimensions"),--(D_Zone="5"),--(D_Category="Gr_Cat_1"),(D_Percent)))</f>
        <v>0</v>
      </c>
      <c r="E22" s="109">
        <f>ROUND(($B22*(1-$C22)),2)</f>
        <v>38.5</v>
      </c>
      <c r="F22" s="108">
        <f t="shared" si="8"/>
        <v>0</v>
      </c>
      <c r="G22" s="109">
        <f>ROUND(($B22*(1-$D22)),2)</f>
        <v>38.5</v>
      </c>
      <c r="H22" s="79" cm="1">
        <f t="array" ref="H22">SUMPRODUCT(--(Category="Gr_Cat_1"),--(OpCo="Ground"),--(Intl="Domestic"),--(Zone=$A22),--(SC_Name="AHS - Dimensions"),(SC_Count))</f>
        <v>0</v>
      </c>
      <c r="I22" s="329">
        <f>E22*$H22</f>
        <v>0</v>
      </c>
      <c r="J22" s="329">
        <f t="shared" si="0"/>
        <v>0</v>
      </c>
      <c r="K22" s="80">
        <f>G22*$H22</f>
        <v>0</v>
      </c>
      <c r="L22" s="309" cm="1">
        <f t="array" ref="L22">IF(SUMPRODUCT(--(D_EffDate="Eff_Date_1"),--(D_Product="GR"),--(D_SC_Name="AHS - Dimensions"),--(D_Zone="5"),--(D_Category="Gr_Cat_2"),(D_Percent))=0,SUMPRODUCT(--(D_EffDate="Eff_Date_1"),--(D_Product="GR"),--(D_SC_Name="AHS - Dimensions"),--(D_Zone="ALL"),--(D_Category="Gr_Cat_2"),(D_Percent)),SUMPRODUCT(--(D_EffDate="Eff_Date_1"),--(D_Product="GR"),--(D_SC_Name="AHS - Dimensions"),--(D_Zone="5"),--(D_Category="Gr_Cat_2"),(D_Percent)))</f>
        <v>0</v>
      </c>
      <c r="M22" s="309" cm="1">
        <f t="array" ref="M22">IF(SUMPRODUCT(--(D_EffDate="Eff_Date_2"),--(D_Product="GR"),--(D_SC_Name="AHS - Dimensions"),--(D_Zone="5"),--(D_Category="Gr_Cat_2"),(D_Percent))=0,SUMPRODUCT(--(D_EffDate="Eff_Date_2"),--(D_Product="GR"),--(D_SC_Name="AHS - Dimensions"),--(D_Zone="ALL"),--(D_Category="Gr_Cat_2"),(D_Percent)),SUMPRODUCT(--(D_EffDate="Eff_Date_2"),--(D_Product="GR"),--(D_SC_Name="AHS - Dimensions"),--(D_Zone="5"),--(D_Category="Gr_Cat_2"),(D_Percent)))</f>
        <v>0</v>
      </c>
      <c r="N22" s="109">
        <f>ROUND(($B22*(1-$L22)),2)</f>
        <v>38.5</v>
      </c>
      <c r="O22" s="109">
        <f t="shared" si="3"/>
        <v>0</v>
      </c>
      <c r="P22" s="109">
        <f>ROUND(($B22*(1-$M22)),2)</f>
        <v>38.5</v>
      </c>
      <c r="Q22" s="79" cm="1">
        <f t="array" ref="Q22">SUMPRODUCT(--(Category="Gr_Cat_2"),--(OpCo="Ground"),--(Intl="Domestic"),--(Zone=$A22),--(SC_Name="AHS - Dimensions"),(SC_Count))</f>
        <v>0</v>
      </c>
      <c r="R22" s="329">
        <f>N22*$Q22</f>
        <v>0</v>
      </c>
      <c r="S22" s="329">
        <f t="shared" si="1"/>
        <v>0</v>
      </c>
      <c r="T22" s="80">
        <f>P22*$Q22</f>
        <v>0</v>
      </c>
      <c r="U22" s="321" cm="1">
        <f t="array" ref="U22">IF(SUMPRODUCT(--(D_EffDate="Eff_Date_1"),--(D_Product="GR"),--(D_SC_Name="AHS - Dimensions"),--(D_Zone="5"),--(D_Category="Gr_Cat_3"),(D_Percent))=0,SUMPRODUCT(--(D_EffDate="Eff_Date_1"),--(D_Product="GR"),--(D_SC_Name="AHS - Dimensions"),--(D_Zone="ALL"),--(D_Category="Gr_Cat_3"),(D_Percent)),SUMPRODUCT(--(D_EffDate="Eff_Date_1"),--(D_Product="GR"),--(D_SC_Name="AHS - Dimensions"),--(D_Zone="5"),--(D_Category="Gr_Cat_3"),(D_Percent)))</f>
        <v>0</v>
      </c>
      <c r="V22" s="321" cm="1">
        <f t="array" ref="V22">IF(SUMPRODUCT(--(D_EffDate="Eff_Date_2"),--(D_Product="GR"),--(D_SC_Name="AHS - Dimensions"),--(D_Zone="5"),--(D_Category="Gr_Cat_3"),(D_Percent))=0,SUMPRODUCT(--(D_EffDate="Eff_Date_2"),--(D_Product="GR"),--(D_SC_Name="AHS - Dimensions"),--(D_Zone="ALL"),--(D_Category="Gr_Cat_3"),(D_Percent)),SUMPRODUCT(--(D_EffDate="Eff_Date_2"),--(D_Product="GR"),--(D_SC_Name="AHS - Dimensions"),--(D_Zone="5"),--(D_Category="Gr_Cat_3"),(D_Percent)))</f>
        <v>0</v>
      </c>
      <c r="W22" s="109">
        <f>ROUND(($B22*(1-$U22)),2)</f>
        <v>38.5</v>
      </c>
      <c r="X22" s="109">
        <f t="shared" si="4"/>
        <v>0</v>
      </c>
      <c r="Y22" s="109">
        <f>ROUND(($B22*(1-$V22)),2)</f>
        <v>38.5</v>
      </c>
      <c r="Z22" s="79" cm="1">
        <f t="array" ref="Z22">SUMPRODUCT(--(Category="Gr_Cat_3"),--(OpCo="Ground"),--(Intl="Domestic"),--(Zone=$A22),--(SC_Name="AHS - Dimensions"),(SC_Count))</f>
        <v>0</v>
      </c>
      <c r="AA22" s="81">
        <f>W22*$Z22</f>
        <v>0</v>
      </c>
      <c r="AB22" s="81">
        <f t="shared" si="2"/>
        <v>0</v>
      </c>
      <c r="AC22" s="81">
        <f>Y22*$Z22</f>
        <v>0</v>
      </c>
    </row>
    <row r="23" spans="1:29" ht="14.5" x14ac:dyDescent="0.35">
      <c r="A23" s="72" t="s">
        <v>937</v>
      </c>
      <c r="B23" s="108">
        <v>40.75</v>
      </c>
      <c r="C23" s="304" cm="1">
        <f t="array" ref="C23">IF(SUMPRODUCT(--(D_EffDate="Eff_Date_1"),--(D_Product="GR"),--(D_SC_Name="AHS - Dimensions"),--(D_Zone="7"),--(D_Category="Gr_Cat_1"),(D_Percent))=0,SUMPRODUCT(--(D_EffDate="Eff_Date_1"),--(D_Product="GR"),--(D_SC_Name="AHS - Dimensions"),--(D_Zone="ALL"),--(D_Category="Gr_Cat_1"),(D_Percent)),SUMPRODUCT(--(D_EffDate="Eff_Date_1"),--(D_Product="GR"),--(D_SC_Name="AHS - Dimensions"),--(D_Zone="7"),--(D_Category="Gr_Cat_1"),(D_Percent)))</f>
        <v>0</v>
      </c>
      <c r="D23" s="304" cm="1">
        <f t="array" ref="D23">IF(SUMPRODUCT(--(D_EffDate="Eff_Date_2"),--(D_Product="GR"),--(D_SC_Name="AHS - Dimensions"),--(D_Zone="7"),--(D_Category="Gr_Cat_1"),(D_Percent))=0,SUMPRODUCT(--(D_EffDate="Eff_Date_2"),--(D_Product="GR"),--(D_SC_Name="AHS - Dimensions"),--(D_Zone="ALL"),--(D_Category="Gr_Cat_1"),(D_Percent)),SUMPRODUCT(--(D_EffDate="Eff_Date_2"),--(D_Product="GR"),--(D_SC_Name="AHS - Dimensions"),--(D_Zone="7"),--(D_Category="Gr_Cat_1"),(D_Percent)))</f>
        <v>0</v>
      </c>
      <c r="E23" s="109">
        <f>ROUND(($B23*(1-$C23)),2)</f>
        <v>40.75</v>
      </c>
      <c r="F23" s="108">
        <f t="shared" si="8"/>
        <v>0</v>
      </c>
      <c r="G23" s="109">
        <f>ROUND(($B23*(1-$D23)),2)</f>
        <v>40.75</v>
      </c>
      <c r="H23" s="79" cm="1">
        <f t="array" ref="H23">SUMPRODUCT(--(Category="Gr_Cat_1"),--(OpCo="Ground"),--(Intl="Domestic"),--(Zone=$A23),--(SC_Name="AHS - Dimensions"),(SC_Count))</f>
        <v>0</v>
      </c>
      <c r="I23" s="329">
        <f>E23*$H23</f>
        <v>0</v>
      </c>
      <c r="J23" s="329">
        <f t="shared" si="0"/>
        <v>0</v>
      </c>
      <c r="K23" s="80">
        <f>G23*$H23</f>
        <v>0</v>
      </c>
      <c r="L23" s="309" cm="1">
        <f t="array" ref="L23">IF(SUMPRODUCT(--(D_EffDate="Eff_Date_1"),--(D_Product="GR"),--(D_SC_Name="AHS - Dimensions"),--(D_Zone="7"),--(D_Category="Gr_Cat_2"),(D_Percent))=0,SUMPRODUCT(--(D_EffDate="Eff_Date_1"),--(D_Product="GR"),--(D_SC_Name="AHS - Dimensions"),--(D_Zone="ALL"),--(D_Category="Gr_Cat_2"),(D_Percent)),SUMPRODUCT(--(D_EffDate="Eff_Date_1"),--(D_Product="GR"),--(D_SC_Name="AHS - Dimensions"),--(D_Zone="7"),--(D_Category="Gr_Cat_2"),(D_Percent)))</f>
        <v>0</v>
      </c>
      <c r="M23" s="309" cm="1">
        <f t="array" ref="M23">IF(SUMPRODUCT(--(D_EffDate="Eff_Date_2"),--(D_Product="GR"),--(D_SC_Name="AHS - Dimensions"),--(D_Zone="7"),--(D_Category="Gr_Cat_2"),(D_Percent))=0,SUMPRODUCT(--(D_EffDate="Eff_Date_2"),--(D_Product="GR"),--(D_SC_Name="AHS - Dimensions"),--(D_Zone="ALL"),--(D_Category="Gr_Cat_2"),(D_Percent)),SUMPRODUCT(--(D_EffDate="Eff_Date_2"),--(D_Product="GR"),--(D_SC_Name="AHS - Dimensions"),--(D_Zone="7"),--(D_Category="Gr_Cat_2"),(D_Percent)))</f>
        <v>0</v>
      </c>
      <c r="N23" s="109">
        <f>ROUND(($B23*(1-$L23)),2)</f>
        <v>40.75</v>
      </c>
      <c r="O23" s="109">
        <f t="shared" si="3"/>
        <v>0</v>
      </c>
      <c r="P23" s="109">
        <f>ROUND(($B23*(1-$M23)),2)</f>
        <v>40.75</v>
      </c>
      <c r="Q23" s="79" cm="1">
        <f t="array" ref="Q23">SUMPRODUCT(--(Category="Gr_Cat_2"),--(OpCo="Ground"),--(Intl="Domestic"),--(Zone=$A23),--(SC_Name="AHS - Dimensions"),(SC_Count))</f>
        <v>0</v>
      </c>
      <c r="R23" s="329">
        <f>N23*$Q23</f>
        <v>0</v>
      </c>
      <c r="S23" s="329">
        <f t="shared" si="1"/>
        <v>0</v>
      </c>
      <c r="T23" s="80">
        <f>P23*$Q23</f>
        <v>0</v>
      </c>
      <c r="U23" s="321" cm="1">
        <f t="array" ref="U23">IF(SUMPRODUCT(--(D_EffDate="Eff_Date_1"),--(D_Product="GR"),--(D_SC_Name="AHS - Dimensions"),--(D_Zone="7"),--(D_Category="Gr_Cat_3"),(D_Percent))=0,SUMPRODUCT(--(D_EffDate="Eff_Date_1"),--(D_Product="GR"),--(D_SC_Name="AHS - Dimensions"),--(D_Zone="ALL"),--(D_Category="Gr_Cat_3"),(D_Percent)),SUMPRODUCT(--(D_EffDate="Eff_Date_1"),--(D_Product="GR"),--(D_SC_Name="AHS - Dimensions"),--(D_Zone="7"),--(D_Category="Gr_Cat_3"),(D_Percent)))</f>
        <v>0</v>
      </c>
      <c r="V23" s="321" cm="1">
        <f t="array" ref="V23">IF(SUMPRODUCT(--(D_EffDate="Eff_Date_2"),--(D_Product="GR"),--(D_SC_Name="AHS - Dimensions"),--(D_Zone="7"),--(D_Category="Gr_Cat_3"),(D_Percent))=0,SUMPRODUCT(--(D_EffDate="Eff_Date_2"),--(D_Product="GR"),--(D_SC_Name="AHS - Dimensions"),--(D_Zone="ALL"),--(D_Category="Gr_Cat_3"),(D_Percent)),SUMPRODUCT(--(D_EffDate="Eff_Date_2"),--(D_Product="GR"),--(D_SC_Name="AHS - Dimensions"),--(D_Zone="7"),--(D_Category="Gr_Cat_3"),(D_Percent)))</f>
        <v>0</v>
      </c>
      <c r="W23" s="109">
        <f>ROUND(($B23*(1-$U23)),2)</f>
        <v>40.75</v>
      </c>
      <c r="X23" s="109">
        <f t="shared" si="4"/>
        <v>0</v>
      </c>
      <c r="Y23" s="109">
        <f>ROUND(($B23*(1-$V23)),2)</f>
        <v>40.75</v>
      </c>
      <c r="Z23" s="79" cm="1">
        <f t="array" ref="Z23">SUMPRODUCT(--(Category="Gr_Cat_3"),--(OpCo="Ground"),--(Intl="Domestic"),--(Zone=$A23),--(SC_Name="AHS - Dimensions"),(SC_Count))</f>
        <v>0</v>
      </c>
      <c r="AA23" s="81">
        <f>W23*$Z23</f>
        <v>0</v>
      </c>
      <c r="AB23" s="81">
        <f t="shared" si="2"/>
        <v>0</v>
      </c>
      <c r="AC23" s="81">
        <f>Y23*$Z23</f>
        <v>0</v>
      </c>
    </row>
    <row r="24" spans="1:29" ht="14.5" x14ac:dyDescent="0.35">
      <c r="A24" s="70" t="s">
        <v>928</v>
      </c>
      <c r="B24" s="110"/>
      <c r="C24" s="313"/>
      <c r="D24" s="313"/>
      <c r="E24" s="111"/>
      <c r="F24" s="111"/>
      <c r="G24" s="111"/>
      <c r="H24" s="112">
        <f>SUM(H25:H28)</f>
        <v>0</v>
      </c>
      <c r="I24" s="349">
        <f>SUM(I25:I28)</f>
        <v>0</v>
      </c>
      <c r="J24" s="349">
        <f t="shared" si="0"/>
        <v>0</v>
      </c>
      <c r="K24" s="101">
        <f>SUM(K25:K28)</f>
        <v>0</v>
      </c>
      <c r="L24" s="315"/>
      <c r="M24" s="315"/>
      <c r="N24" s="111"/>
      <c r="O24" s="111"/>
      <c r="P24" s="111"/>
      <c r="Q24" s="112">
        <f>SUM(Q25:Q28)</f>
        <v>0</v>
      </c>
      <c r="R24" s="349">
        <f>SUM(R25:R28)</f>
        <v>0</v>
      </c>
      <c r="S24" s="349">
        <f t="shared" si="1"/>
        <v>0</v>
      </c>
      <c r="T24" s="101">
        <f>SUM(T25:T28)</f>
        <v>0</v>
      </c>
      <c r="U24" s="320"/>
      <c r="V24" s="320"/>
      <c r="W24" s="111"/>
      <c r="X24" s="111"/>
      <c r="Y24" s="111"/>
      <c r="Z24" s="112">
        <f>SUM(Z25:Z28)</f>
        <v>0</v>
      </c>
      <c r="AA24" s="324">
        <f>SUM(AA25:AA28)</f>
        <v>0</v>
      </c>
      <c r="AB24" s="324">
        <f t="shared" si="2"/>
        <v>0</v>
      </c>
      <c r="AC24" s="324">
        <f>SUM(AC25:AC28)</f>
        <v>0</v>
      </c>
    </row>
    <row r="25" spans="1:29" ht="14.5" x14ac:dyDescent="0.35">
      <c r="A25" s="73" t="s">
        <v>923</v>
      </c>
      <c r="B25" s="102">
        <v>46</v>
      </c>
      <c r="C25" s="304" cm="1">
        <f t="array" ref="C25">IF(SUMPRODUCT(--(D_EffDate="Eff_Date_1"),--(D_Product="GR"),--(D_SC_Name="AHS - Weight"),--(D_Zone="2"),--(D_Category="Gr_Cat_1"),(D_Percent))=0,SUMPRODUCT(--(D_EffDate="Eff_Date_1"),--(D_Product="GR"),--(D_SC_Name="AHS - Weight"),--(D_Zone="ALL"),--(D_Category="Gr_Cat_1"),(D_Percent)),SUMPRODUCT(--(D_EffDate="Eff_Date_1"),--(D_Product="GR"),--(D_SC_Name="AHS - Weight"),--(D_Zone="2"),--(D_Category="Gr_Cat_1"),(D_Percent)))</f>
        <v>0</v>
      </c>
      <c r="D25" s="304" cm="1">
        <f t="array" ref="D25">IF(SUMPRODUCT(--(D_EffDate="Eff_Date_2"),--(D_Product="GR"),--(D_SC_Name="AHS - Weight"),--(D_Zone="2"),--(D_Category="Gr_Cat_1"),(D_Percent))=0,SUMPRODUCT(--(D_EffDate="Eff_Date_2"),--(D_Product="GR"),--(D_SC_Name="AHS - Weight"),--(D_Zone="ALL"),--(D_Category="Gr_Cat_1"),(D_Percent)),SUMPRODUCT(--(D_EffDate="Eff_Date_2"),--(D_Product="GR"),--(D_SC_Name="AHS - Weight"),--(D_Zone="2"),--(D_Category="Gr_Cat_1"),(D_Percent)))</f>
        <v>0</v>
      </c>
      <c r="E25" s="84">
        <f>ROUND(($B25*(1-$C25)),2)</f>
        <v>46</v>
      </c>
      <c r="F25" s="102">
        <f t="shared" ref="F25:F28" si="9">G25-E25</f>
        <v>0</v>
      </c>
      <c r="G25" s="84">
        <f>ROUND(($B25*(1-$D25)),2)</f>
        <v>46</v>
      </c>
      <c r="H25" s="74" cm="1">
        <f t="array" ref="H25">SUMPRODUCT(--(Category="Gr_Cat_1"),--(OpCo="Ground"),--(Intl="Domestic"),--(Zone=$A25),--(SC_Name="AHS - Weight"),(SC_Count))</f>
        <v>0</v>
      </c>
      <c r="I25" s="328">
        <f>E25*$H25</f>
        <v>0</v>
      </c>
      <c r="J25" s="328">
        <f t="shared" si="0"/>
        <v>0</v>
      </c>
      <c r="K25" s="75">
        <f>G25*$H25</f>
        <v>0</v>
      </c>
      <c r="L25" s="309" cm="1">
        <f t="array" ref="L25">IF(SUMPRODUCT(--(D_EffDate="Eff_Date_1"),--(D_Product="GR"),--(D_SC_Name="AHS - Weight"),--(D_Zone="2"),--(D_Category="Gr_Cat_2"),(D_Percent))=0,SUMPRODUCT(--(D_EffDate="Eff_Date_1"),--(D_Product="GR"),--(D_SC_Name="AHS - Weight"),--(D_Zone="ALL"),--(D_Category="Gr_Cat_2"),(D_Percent)),SUMPRODUCT(--(D_EffDate="Eff_Date_1"),--(D_Product="GR"),--(D_SC_Name="AHS - Weight"),--(D_Zone="2"),--(D_Category="Gr_Cat_2"),(D_Percent)))</f>
        <v>0</v>
      </c>
      <c r="M25" s="309" cm="1">
        <f t="array" ref="M25">IF(SUMPRODUCT(--(D_EffDate="Eff_Date_2"),--(D_Product="GR"),--(D_SC_Name="AHS - Weight"),--(D_Zone="2"),--(D_Category="Gr_Cat_2"),(D_Percent))=0,SUMPRODUCT(--(D_EffDate="Eff_Date_2"),--(D_Product="GR"),--(D_SC_Name="AHS - Weight"),--(D_Zone="ALL"),--(D_Category="Gr_Cat_2"),(D_Percent)),SUMPRODUCT(--(D_EffDate="Eff_Date_2"),--(D_Product="GR"),--(D_SC_Name="AHS - Weight"),--(D_Zone="2"),--(D_Category="Gr_Cat_2"),(D_Percent)))</f>
        <v>0</v>
      </c>
      <c r="N25" s="84">
        <f>ROUND(($B25*(1-$L25)),2)</f>
        <v>46</v>
      </c>
      <c r="O25" s="84">
        <f t="shared" si="3"/>
        <v>0</v>
      </c>
      <c r="P25" s="84">
        <f>ROUND(($B25*(1-$M25)),2)</f>
        <v>46</v>
      </c>
      <c r="Q25" s="74" cm="1">
        <f t="array" ref="Q25">SUMPRODUCT(--(Category="Gr_Cat_2"),--(OpCo="Ground"),--(Intl="Domestic"),--(Zone=$A25),--(SC_Name="AHS - Weight"),(SC_Count))</f>
        <v>0</v>
      </c>
      <c r="R25" s="328">
        <f>N25*$Q25</f>
        <v>0</v>
      </c>
      <c r="S25" s="328">
        <f t="shared" si="1"/>
        <v>0</v>
      </c>
      <c r="T25" s="75">
        <f>P25*$Q25</f>
        <v>0</v>
      </c>
      <c r="U25" s="321" cm="1">
        <f t="array" ref="U25">IF(SUMPRODUCT(--(D_EffDate="Eff_Date_1"),--(D_Product="GR"),--(D_SC_Name="AHS - Weight"),--(D_Zone="2"),--(D_Category="Gr_Cat_3"),(D_Percent))=0,SUMPRODUCT(--(D_EffDate="Eff_Date_1"),--(D_Product="GR"),--(D_SC_Name="AHS - Weight"),--(D_Zone="ALL"),--(D_Category="Gr_Cat_3"),(D_Percent)),SUMPRODUCT(--(D_EffDate="Eff_Date_1"),--(D_Product="GR"),--(D_SC_Name="AHS - Weight"),--(D_Zone="2"),--(D_Category="Gr_Cat_3"),(D_Percent)))</f>
        <v>0</v>
      </c>
      <c r="V25" s="321" cm="1">
        <f t="array" ref="V25">IF(SUMPRODUCT(--(D_EffDate="Eff_Date_2"),--(D_Product="GR"),--(D_SC_Name="AHS - Weight"),--(D_Zone="2"),--(D_Category="Gr_Cat_3"),(D_Percent))=0,SUMPRODUCT(--(D_EffDate="Eff_Date_2"),--(D_Product="GR"),--(D_SC_Name="AHS - Weight"),--(D_Zone="ALL"),--(D_Category="Gr_Cat_3"),(D_Percent)),SUMPRODUCT(--(D_EffDate="Eff_Date_2"),--(D_Product="GR"),--(D_SC_Name="AHS - Weight"),--(D_Zone="2"),--(D_Category="Gr_Cat_3"),(D_Percent)))</f>
        <v>0</v>
      </c>
      <c r="W25" s="84">
        <f>ROUND(($B25*(1-$U25)),2)</f>
        <v>46</v>
      </c>
      <c r="X25" s="84">
        <f t="shared" si="4"/>
        <v>0</v>
      </c>
      <c r="Y25" s="84">
        <f>ROUND(($B25*(1-$V25)),2)</f>
        <v>46</v>
      </c>
      <c r="Z25" s="74" cm="1">
        <f t="array" ref="Z25">SUMPRODUCT(--(Category="Gr_Cat_3"),--(OpCo="Ground"),--(Intl="Domestic"),--(Zone=$A25),--(SC_Name="AHS - Weight"),(SC_Count))</f>
        <v>0</v>
      </c>
      <c r="AA25" s="76">
        <f>W25*$Z25</f>
        <v>0</v>
      </c>
      <c r="AB25" s="76">
        <f t="shared" si="2"/>
        <v>0</v>
      </c>
      <c r="AC25" s="76">
        <f>Y25*$Z25</f>
        <v>0</v>
      </c>
    </row>
    <row r="26" spans="1:29" ht="14.5" x14ac:dyDescent="0.35">
      <c r="A26" s="73" t="s">
        <v>936</v>
      </c>
      <c r="B26" s="102">
        <v>50.25</v>
      </c>
      <c r="C26" s="304" cm="1">
        <f t="array" ref="C26">IF(SUMPRODUCT(--(D_EffDate="Eff_Date_1"),--(D_Product="GR"),--(D_SC_Name="AHS - Weight"),--(D_Zone="3"),--(D_Category="Gr_Cat_1"),(D_Percent))=0,SUMPRODUCT(--(D_EffDate="Eff_Date_1"),--(D_Product="GR"),--(D_SC_Name="AHS - Weight"),--(D_Zone="ALL"),--(D_Category="Gr_Cat_1"),(D_Percent)),SUMPRODUCT(--(D_EffDate="Eff_Date_1"),--(D_Product="GR"),--(D_SC_Name="AHS - Weight"),--(D_Zone="3"),--(D_Category="Gr_Cat_1"),(D_Percent)))</f>
        <v>0</v>
      </c>
      <c r="D26" s="304" cm="1">
        <f t="array" ref="D26">IF(SUMPRODUCT(--(D_EffDate="Eff_Date_2"),--(D_Product="GR"),--(D_SC_Name="AHS - Weight"),--(D_Zone="3"),--(D_Category="Gr_Cat_1"),(D_Percent))=0,SUMPRODUCT(--(D_EffDate="Eff_Date_2"),--(D_Product="GR"),--(D_SC_Name="AHS - Weight"),--(D_Zone="ALL"),--(D_Category="Gr_Cat_1"),(D_Percent)),SUMPRODUCT(--(D_EffDate="Eff_Date_2"),--(D_Product="GR"),--(D_SC_Name="AHS - Weight"),--(D_Zone="3"),--(D_Category="Gr_Cat_1"),(D_Percent)))</f>
        <v>0</v>
      </c>
      <c r="E26" s="84">
        <f>ROUND(($B26*(1-$C26)),2)</f>
        <v>50.25</v>
      </c>
      <c r="F26" s="102">
        <f t="shared" si="9"/>
        <v>0</v>
      </c>
      <c r="G26" s="84">
        <f>ROUND(($B26*(1-$D26)),2)</f>
        <v>50.25</v>
      </c>
      <c r="H26" s="74" cm="1">
        <f t="array" ref="H26">SUMPRODUCT(--(Category="Gr_Cat_1"),--(OpCo="Ground"),--(Intl="Domestic"),--(Zone=$A26),--(SC_Name="AHS - Weight"),(SC_Count))</f>
        <v>0</v>
      </c>
      <c r="I26" s="328">
        <f>E26*$H26</f>
        <v>0</v>
      </c>
      <c r="J26" s="328">
        <f t="shared" si="0"/>
        <v>0</v>
      </c>
      <c r="K26" s="75">
        <f>G26*$H26</f>
        <v>0</v>
      </c>
      <c r="L26" s="309" cm="1">
        <f t="array" ref="L26">IF(SUMPRODUCT(--(D_EffDate="Eff_Date_1"),--(D_Product="GR"),--(D_SC_Name="AHS - Weight"),--(D_Zone="3"),--(D_Category="Gr_Cat_2"),(D_Percent))=0,SUMPRODUCT(--(D_EffDate="Eff_Date_1"),--(D_Product="GR"),--(D_SC_Name="AHS - Weight"),--(D_Zone="ALL"),--(D_Category="Gr_Cat_2"),(D_Percent)),SUMPRODUCT(--(D_EffDate="Eff_Date_1"),--(D_Product="GR"),--(D_SC_Name="AHS - Weight"),--(D_Zone="3"),--(D_Category="Gr_Cat_2"),(D_Percent)))</f>
        <v>0</v>
      </c>
      <c r="M26" s="309" cm="1">
        <f t="array" ref="M26">IF(SUMPRODUCT(--(D_EffDate="Eff_Date_2"),--(D_Product="GR"),--(D_SC_Name="AHS - Weight"),--(D_Zone="3"),--(D_Category="Gr_Cat_2"),(D_Percent))=0,SUMPRODUCT(--(D_EffDate="Eff_Date_2"),--(D_Product="GR"),--(D_SC_Name="AHS - Weight"),--(D_Zone="ALL"),--(D_Category="Gr_Cat_2"),(D_Percent)),SUMPRODUCT(--(D_EffDate="Eff_Date_2"),--(D_Product="GR"),--(D_SC_Name="AHS - Weight"),--(D_Zone="3"),--(D_Category="Gr_Cat_2"),(D_Percent)))</f>
        <v>0</v>
      </c>
      <c r="N26" s="84">
        <f>ROUND(($B26*(1-$L26)),2)</f>
        <v>50.25</v>
      </c>
      <c r="O26" s="84">
        <f t="shared" si="3"/>
        <v>0</v>
      </c>
      <c r="P26" s="84">
        <f>ROUND(($B26*(1-$M26)),2)</f>
        <v>50.25</v>
      </c>
      <c r="Q26" s="74" cm="1">
        <f t="array" ref="Q26">SUMPRODUCT(--(Category="Gr_Cat_2"),--(OpCo="Ground"),--(Intl="Domestic"),--(Zone=$A26),--(SC_Name="AHS - Weight"),(SC_Count))</f>
        <v>0</v>
      </c>
      <c r="R26" s="328">
        <f>N26*$Q26</f>
        <v>0</v>
      </c>
      <c r="S26" s="328">
        <f t="shared" si="1"/>
        <v>0</v>
      </c>
      <c r="T26" s="75">
        <f>P26*$Q26</f>
        <v>0</v>
      </c>
      <c r="U26" s="321" cm="1">
        <f t="array" ref="U26">IF(SUMPRODUCT(--(D_EffDate="Eff_Date_1"),--(D_Product="GR"),--(D_SC_Name="AHS - Weight"),--(D_Zone="3"),--(D_Category="Gr_Cat_3"),(D_Percent))=0,SUMPRODUCT(--(D_EffDate="Eff_Date_1"),--(D_Product="GR"),--(D_SC_Name="AHS - Weight"),--(D_Zone="ALL"),--(D_Category="Gr_Cat_3"),(D_Percent)),SUMPRODUCT(--(D_EffDate="Eff_Date_1"),--(D_Product="GR"),--(D_SC_Name="AHS - Weight"),--(D_Zone="3"),--(D_Category="Gr_Cat_3"),(D_Percent)))</f>
        <v>0</v>
      </c>
      <c r="V26" s="321" cm="1">
        <f t="array" ref="V26">IF(SUMPRODUCT(--(D_EffDate="Eff_Date_2"),--(D_Product="GR"),--(D_SC_Name="AHS - Weight"),--(D_Zone="3"),--(D_Category="Gr_Cat_3"),(D_Percent))=0,SUMPRODUCT(--(D_EffDate="Eff_Date_2"),--(D_Product="GR"),--(D_SC_Name="AHS - Weight"),--(D_Zone="ALL"),--(D_Category="Gr_Cat_3"),(D_Percent)),SUMPRODUCT(--(D_EffDate="Eff_Date_2"),--(D_Product="GR"),--(D_SC_Name="AHS - Weight"),--(D_Zone="3"),--(D_Category="Gr_Cat_3"),(D_Percent)))</f>
        <v>0</v>
      </c>
      <c r="W26" s="84">
        <f>ROUND(($B26*(1-$U26)),2)</f>
        <v>50.25</v>
      </c>
      <c r="X26" s="84">
        <f t="shared" si="4"/>
        <v>0</v>
      </c>
      <c r="Y26" s="84">
        <f>ROUND(($B26*(1-$V26)),2)</f>
        <v>50.25</v>
      </c>
      <c r="Z26" s="74" cm="1">
        <f t="array" ref="Z26">SUMPRODUCT(--(Category="Gr_Cat_3"),--(OpCo="Ground"),--(Intl="Domestic"),--(Zone=$A26),--(SC_Name="AHS - Weight"),(SC_Count))</f>
        <v>0</v>
      </c>
      <c r="AA26" s="76">
        <f>W26*$Z26</f>
        <v>0</v>
      </c>
      <c r="AB26" s="76">
        <f t="shared" si="2"/>
        <v>0</v>
      </c>
      <c r="AC26" s="76">
        <f>Y26*$Z26</f>
        <v>0</v>
      </c>
    </row>
    <row r="27" spans="1:29" ht="14.5" x14ac:dyDescent="0.35">
      <c r="A27" s="73" t="s">
        <v>924</v>
      </c>
      <c r="B27" s="102">
        <v>56.25</v>
      </c>
      <c r="C27" s="304" cm="1">
        <f t="array" ref="C27">IF(SUMPRODUCT(--(D_EffDate="Eff_Date_1"),--(D_Product="GR"),--(D_SC_Name="AHS - Weight"),--(D_Zone="5"),--(D_Category="Gr_Cat_1"),(D_Percent))=0,SUMPRODUCT(--(D_EffDate="Eff_Date_1"),--(D_Product="GR"),--(D_SC_Name="AHS - Weight"),--(D_Zone="ALL"),--(D_Category="Gr_Cat_1"),(D_Percent)),SUMPRODUCT(--(D_EffDate="Eff_Date_1"),--(D_Product="GR"),--(D_SC_Name="AHS - Weight"),--(D_Zone="5"),--(D_Category="Gr_Cat_1"),(D_Percent)))</f>
        <v>0</v>
      </c>
      <c r="D27" s="304" cm="1">
        <f t="array" ref="D27">IF(SUMPRODUCT(--(D_EffDate="Eff_Date_2"),--(D_Product="GR"),--(D_SC_Name="AHS - Weight"),--(D_Zone="5"),--(D_Category="Gr_Cat_1"),(D_Percent))=0,SUMPRODUCT(--(D_EffDate="Eff_Date_2"),--(D_Product="GR"),--(D_SC_Name="AHS - Weight"),--(D_Zone="ALL"),--(D_Category="Gr_Cat_1"),(D_Percent)),SUMPRODUCT(--(D_EffDate="Eff_Date_2"),--(D_Product="GR"),--(D_SC_Name="AHS - Weight"),--(D_Zone="5"),--(D_Category="Gr_Cat_1"),(D_Percent)))</f>
        <v>0</v>
      </c>
      <c r="E27" s="84">
        <f>ROUND(($B27*(1-$C27)),2)</f>
        <v>56.25</v>
      </c>
      <c r="F27" s="102">
        <f t="shared" si="9"/>
        <v>0</v>
      </c>
      <c r="G27" s="84">
        <f>ROUND(($B27*(1-$D27)),2)</f>
        <v>56.25</v>
      </c>
      <c r="H27" s="74" cm="1">
        <f t="array" ref="H27">SUMPRODUCT(--(Category="Gr_Cat_1"),--(OpCo="Ground"),--(Intl="Domestic"),--(Zone=$A27),--(SC_Name="AHS - Weight"),(SC_Count))</f>
        <v>0</v>
      </c>
      <c r="I27" s="328">
        <f>E27*$H27</f>
        <v>0</v>
      </c>
      <c r="J27" s="328">
        <f t="shared" si="0"/>
        <v>0</v>
      </c>
      <c r="K27" s="75">
        <f>G27*$H27</f>
        <v>0</v>
      </c>
      <c r="L27" s="309" cm="1">
        <f t="array" ref="L27">IF(SUMPRODUCT(--(D_EffDate="Eff_Date_1"),--(D_Product="GR"),--(D_SC_Name="AHS - Weight"),--(D_Zone="5"),--(D_Category="Gr_Cat_2"),(D_Percent))=0,SUMPRODUCT(--(D_EffDate="Eff_Date_1"),--(D_Product="GR"),--(D_SC_Name="AHS - Weight"),--(D_Zone="ALL"),--(D_Category="Gr_Cat_2"),(D_Percent)),SUMPRODUCT(--(D_EffDate="Eff_Date_1"),--(D_Product="GR"),--(D_SC_Name="AHS - Weight"),--(D_Zone="5"),--(D_Category="Gr_Cat_2"),(D_Percent)))</f>
        <v>0</v>
      </c>
      <c r="M27" s="309" cm="1">
        <f t="array" ref="M27">IF(SUMPRODUCT(--(D_EffDate="Eff_Date_2"),--(D_Product="GR"),--(D_SC_Name="AHS - Weight"),--(D_Zone="5"),--(D_Category="Gr_Cat_2"),(D_Percent))=0,SUMPRODUCT(--(D_EffDate="Eff_Date_2"),--(D_Product="GR"),--(D_SC_Name="AHS - Weight"),--(D_Zone="ALL"),--(D_Category="Gr_Cat_2"),(D_Percent)),SUMPRODUCT(--(D_EffDate="Eff_Date_2"),--(D_Product="GR"),--(D_SC_Name="AHS - Weight"),--(D_Zone="5"),--(D_Category="Gr_Cat_2"),(D_Percent)))</f>
        <v>0</v>
      </c>
      <c r="N27" s="84">
        <f>ROUND(($B27*(1-$L27)),2)</f>
        <v>56.25</v>
      </c>
      <c r="O27" s="84">
        <f t="shared" si="3"/>
        <v>0</v>
      </c>
      <c r="P27" s="84">
        <f>ROUND(($B27*(1-$M27)),2)</f>
        <v>56.25</v>
      </c>
      <c r="Q27" s="74" cm="1">
        <f t="array" ref="Q27">SUMPRODUCT(--(Category="Gr_Cat_2"),--(OpCo="Ground"),--(Intl="Domestic"),--(Zone=$A27),--(SC_Name="AHS - Weight"),(SC_Count))</f>
        <v>0</v>
      </c>
      <c r="R27" s="328">
        <f>N27*$Q27</f>
        <v>0</v>
      </c>
      <c r="S27" s="328">
        <f t="shared" si="1"/>
        <v>0</v>
      </c>
      <c r="T27" s="75">
        <f>P27*$Q27</f>
        <v>0</v>
      </c>
      <c r="U27" s="321" cm="1">
        <f t="array" ref="U27">IF(SUMPRODUCT(--(D_EffDate="Eff_Date_1"),--(D_Product="GR"),--(D_SC_Name="AHS - Weight"),--(D_Zone="5"),--(D_Category="Gr_Cat_3"),(D_Percent))=0,SUMPRODUCT(--(D_EffDate="Eff_Date_1"),--(D_Product="GR"),--(D_SC_Name="AHS - Weight"),--(D_Zone="ALL"),--(D_Category="Gr_Cat_3"),(D_Percent)),SUMPRODUCT(--(D_EffDate="Eff_Date_1"),--(D_Product="GR"),--(D_SC_Name="AHS - Weight"),--(D_Zone="5"),--(D_Category="Gr_Cat_3"),(D_Percent)))</f>
        <v>0</v>
      </c>
      <c r="V27" s="321" cm="1">
        <f t="array" ref="V27">IF(SUMPRODUCT(--(D_EffDate="Eff_Date_2"),--(D_Product="GR"),--(D_SC_Name="AHS - Weight"),--(D_Zone="5"),--(D_Category="Gr_Cat_3"),(D_Percent))=0,SUMPRODUCT(--(D_EffDate="Eff_Date_2"),--(D_Product="GR"),--(D_SC_Name="AHS - Weight"),--(D_Zone="ALL"),--(D_Category="Gr_Cat_3"),(D_Percent)),SUMPRODUCT(--(D_EffDate="Eff_Date_2"),--(D_Product="GR"),--(D_SC_Name="AHS - Weight"),--(D_Zone="5"),--(D_Category="Gr_Cat_3"),(D_Percent)))</f>
        <v>0</v>
      </c>
      <c r="W27" s="84">
        <f>ROUND(($B27*(1-$U27)),2)</f>
        <v>56.25</v>
      </c>
      <c r="X27" s="84">
        <f t="shared" si="4"/>
        <v>0</v>
      </c>
      <c r="Y27" s="84">
        <f>ROUND(($B27*(1-$V27)),2)</f>
        <v>56.25</v>
      </c>
      <c r="Z27" s="74" cm="1">
        <f t="array" ref="Z27">SUMPRODUCT(--(Category="Gr_Cat_3"),--(OpCo="Ground"),--(Intl="Domestic"),--(Zone=$A27),--(SC_Name="AHS - Weight"),(SC_Count))</f>
        <v>0</v>
      </c>
      <c r="AA27" s="76">
        <f>W27*$Z27</f>
        <v>0</v>
      </c>
      <c r="AB27" s="76">
        <f t="shared" si="2"/>
        <v>0</v>
      </c>
      <c r="AC27" s="76">
        <f>Y27*$Z27</f>
        <v>0</v>
      </c>
    </row>
    <row r="28" spans="1:29" ht="14.5" x14ac:dyDescent="0.35">
      <c r="A28" s="73" t="s">
        <v>937</v>
      </c>
      <c r="B28" s="102">
        <v>58.75</v>
      </c>
      <c r="C28" s="304" cm="1">
        <f t="array" ref="C28">IF(SUMPRODUCT(--(D_EffDate="Eff_Date_1"),--(D_Product="GR"),--(D_SC_Name="AHS - Weight"),--(D_Zone="7"),--(D_Category="Gr_Cat_1"),(D_Percent))=0,SUMPRODUCT(--(D_EffDate="Eff_Date_1"),--(D_Product="GR"),--(D_SC_Name="AHS - Weight"),--(D_Zone="ALL"),--(D_Category="Gr_Cat_1"),(D_Percent)),SUMPRODUCT(--(D_EffDate="Eff_Date_1"),--(D_Product="GR"),--(D_SC_Name="AHS - Weight"),--(D_Zone="7"),--(D_Category="Gr_Cat_1"),(D_Percent)))</f>
        <v>0</v>
      </c>
      <c r="D28" s="304" cm="1">
        <f t="array" ref="D28">IF(SUMPRODUCT(--(D_EffDate="Eff_Date_2"),--(D_Product="GR"),--(D_SC_Name="AHS - Weight"),--(D_Zone="7"),--(D_Category="Gr_Cat_1"),(D_Percent))=0,SUMPRODUCT(--(D_EffDate="Eff_Date_2"),--(D_Product="GR"),--(D_SC_Name="AHS - Weight"),--(D_Zone="ALL"),--(D_Category="Gr_Cat_1"),(D_Percent)),SUMPRODUCT(--(D_EffDate="Eff_Date_2"),--(D_Product="GR"),--(D_SC_Name="AHS - Weight"),--(D_Zone="7"),--(D_Category="Gr_Cat_1"),(D_Percent)))</f>
        <v>0</v>
      </c>
      <c r="E28" s="84">
        <f>ROUND(($B28*(1-$C28)),2)</f>
        <v>58.75</v>
      </c>
      <c r="F28" s="102">
        <f t="shared" si="9"/>
        <v>0</v>
      </c>
      <c r="G28" s="84">
        <f>ROUND(($B28*(1-$D28)),2)</f>
        <v>58.75</v>
      </c>
      <c r="H28" s="74" cm="1">
        <f t="array" ref="H28">SUMPRODUCT(--(Category="Gr_Cat_1"),--(OpCo="Ground"),--(Intl="Domestic"),--(Zone=$A28),--(SC_Name="AHS - Weight"),(SC_Count))</f>
        <v>0</v>
      </c>
      <c r="I28" s="328">
        <f>E28*$H28</f>
        <v>0</v>
      </c>
      <c r="J28" s="328">
        <f t="shared" si="0"/>
        <v>0</v>
      </c>
      <c r="K28" s="75">
        <f>G28*$H28</f>
        <v>0</v>
      </c>
      <c r="L28" s="309" cm="1">
        <f t="array" ref="L28">IF(SUMPRODUCT(--(D_EffDate="Eff_Date_1"),--(D_Product="GR"),--(D_SC_Name="AHS - Weight"),--(D_Zone="7"),--(D_Category="Gr_Cat_2"),(D_Percent))=0,SUMPRODUCT(--(D_EffDate="Eff_Date_1"),--(D_Product="GR"),--(D_SC_Name="AHS - Weight"),--(D_Zone="ALL"),--(D_Category="Gr_Cat_2"),(D_Percent)),SUMPRODUCT(--(D_EffDate="Eff_Date_1"),--(D_Product="GR"),--(D_SC_Name="AHS - Weight"),--(D_Zone="7"),--(D_Category="Gr_Cat_2"),(D_Percent)))</f>
        <v>0</v>
      </c>
      <c r="M28" s="309" cm="1">
        <f t="array" ref="M28">IF(SUMPRODUCT(--(D_EffDate="Eff_Date_2"),--(D_Product="GR"),--(D_SC_Name="AHS - Weight"),--(D_Zone="7"),--(D_Category="Gr_Cat_2"),(D_Percent))=0,SUMPRODUCT(--(D_EffDate="Eff_Date_2"),--(D_Product="GR"),--(D_SC_Name="AHS - Weight"),--(D_Zone="ALL"),--(D_Category="Gr_Cat_2"),(D_Percent)),SUMPRODUCT(--(D_EffDate="Eff_Date_2"),--(D_Product="GR"),--(D_SC_Name="AHS - Weight"),--(D_Zone="7"),--(D_Category="Gr_Cat_2"),(D_Percent)))</f>
        <v>0</v>
      </c>
      <c r="N28" s="84">
        <f>ROUND(($B28*(1-$L28)),2)</f>
        <v>58.75</v>
      </c>
      <c r="O28" s="84">
        <f t="shared" si="3"/>
        <v>0</v>
      </c>
      <c r="P28" s="84">
        <f>ROUND(($B28*(1-$M28)),2)</f>
        <v>58.75</v>
      </c>
      <c r="Q28" s="74" cm="1">
        <f t="array" ref="Q28">SUMPRODUCT(--(Category="Gr_Cat_2"),--(OpCo="Ground"),--(Intl="Domestic"),--(Zone=$A28),--(SC_Name="AHS - Weight"),(SC_Count))</f>
        <v>0</v>
      </c>
      <c r="R28" s="328">
        <f>N28*$Q28</f>
        <v>0</v>
      </c>
      <c r="S28" s="328">
        <f t="shared" si="1"/>
        <v>0</v>
      </c>
      <c r="T28" s="75">
        <f>P28*$Q28</f>
        <v>0</v>
      </c>
      <c r="U28" s="321" cm="1">
        <f t="array" ref="U28">IF(SUMPRODUCT(--(D_EffDate="Eff_Date_1"),--(D_Product="GR"),--(D_SC_Name="AHS - Weight"),--(D_Zone="7"),--(D_Category="Gr_Cat_3"),(D_Percent))=0,SUMPRODUCT(--(D_EffDate="Eff_Date_1"),--(D_Product="GR"),--(D_SC_Name="AHS - Weight"),--(D_Zone="ALL"),--(D_Category="Gr_Cat_3"),(D_Percent)),SUMPRODUCT(--(D_EffDate="Eff_Date_1"),--(D_Product="GR"),--(D_SC_Name="AHS - Weight"),--(D_Zone="7"),--(D_Category="Gr_Cat_3"),(D_Percent)))</f>
        <v>0</v>
      </c>
      <c r="V28" s="321" cm="1">
        <f t="array" ref="V28">IF(SUMPRODUCT(--(D_EffDate="Eff_Date_2"),--(D_Product="GR"),--(D_SC_Name="AHS - Weight"),--(D_Zone="7"),--(D_Category="Gr_Cat_3"),(D_Percent))=0,SUMPRODUCT(--(D_EffDate="Eff_Date_2"),--(D_Product="GR"),--(D_SC_Name="AHS - Weight"),--(D_Zone="ALL"),--(D_Category="Gr_Cat_3"),(D_Percent)),SUMPRODUCT(--(D_EffDate="Eff_Date_2"),--(D_Product="GR"),--(D_SC_Name="AHS - Weight"),--(D_Zone="7"),--(D_Category="Gr_Cat_3"),(D_Percent)))</f>
        <v>0</v>
      </c>
      <c r="W28" s="84">
        <f>ROUND(($B28*(1-$U28)),2)</f>
        <v>58.75</v>
      </c>
      <c r="X28" s="84">
        <f t="shared" si="4"/>
        <v>0</v>
      </c>
      <c r="Y28" s="84">
        <f>ROUND(($B28*(1-$V28)),2)</f>
        <v>58.75</v>
      </c>
      <c r="Z28" s="74" cm="1">
        <f t="array" ref="Z28">SUMPRODUCT(--(Category="Gr_Cat_3"),--(OpCo="Ground"),--(Intl="Domestic"),--(Zone=$A28),--(SC_Name="AHS - Weight"),(SC_Count))</f>
        <v>0</v>
      </c>
      <c r="AA28" s="76">
        <f>W28*$Z28</f>
        <v>0</v>
      </c>
      <c r="AB28" s="76">
        <f t="shared" si="2"/>
        <v>0</v>
      </c>
      <c r="AC28" s="76">
        <f>Y28*$Z28</f>
        <v>0</v>
      </c>
    </row>
    <row r="29" spans="1:29" ht="14.5" x14ac:dyDescent="0.35">
      <c r="A29" s="71" t="s">
        <v>929</v>
      </c>
      <c r="B29" s="103"/>
      <c r="C29" s="313"/>
      <c r="D29" s="313"/>
      <c r="E29" s="104"/>
      <c r="F29" s="104"/>
      <c r="G29" s="104"/>
      <c r="H29" s="105">
        <f>SUM(H30:H33)</f>
        <v>0</v>
      </c>
      <c r="I29" s="348">
        <f>SUM(I30:I33)</f>
        <v>0</v>
      </c>
      <c r="J29" s="348">
        <f t="shared" si="0"/>
        <v>0</v>
      </c>
      <c r="K29" s="106">
        <f>SUM(K30:K33)</f>
        <v>0</v>
      </c>
      <c r="L29" s="315"/>
      <c r="M29" s="315"/>
      <c r="N29" s="104"/>
      <c r="O29" s="104"/>
      <c r="P29" s="104"/>
      <c r="Q29" s="105">
        <f>SUM(Q30:Q33)</f>
        <v>0</v>
      </c>
      <c r="R29" s="348">
        <f>SUM(R30:R33)</f>
        <v>0</v>
      </c>
      <c r="S29" s="348">
        <f t="shared" si="1"/>
        <v>0</v>
      </c>
      <c r="T29" s="106">
        <f>SUM(T30:T33)</f>
        <v>0</v>
      </c>
      <c r="U29" s="320"/>
      <c r="V29" s="320"/>
      <c r="W29" s="104"/>
      <c r="X29" s="104"/>
      <c r="Y29" s="104"/>
      <c r="Z29" s="105">
        <f>SUM(Z30:Z33)</f>
        <v>0</v>
      </c>
      <c r="AA29" s="107">
        <f>SUM(AA30:AA33)</f>
        <v>0</v>
      </c>
      <c r="AB29" s="107">
        <f t="shared" si="2"/>
        <v>0</v>
      </c>
      <c r="AC29" s="107">
        <f>SUM(AC30:AC33)</f>
        <v>0</v>
      </c>
    </row>
    <row r="30" spans="1:29" ht="14.5" x14ac:dyDescent="0.35">
      <c r="A30" s="72" t="s">
        <v>923</v>
      </c>
      <c r="B30" s="108">
        <v>26.5</v>
      </c>
      <c r="C30" s="304" cm="1">
        <f t="array" ref="C30">IF(SUMPRODUCT(--(D_EffDate="Eff_Date_1"),--(D_Product="GR"),--(D_SC_Name="AHS - Packaging"),--(D_Zone="2"),--(D_Category="Gr_Cat_1"),(D_Percent))=0,SUMPRODUCT(--(D_EffDate="Eff_Date_1"),--(D_Product="GR"),--(D_SC_Name="AHS - Packaging"),--(D_Zone="ALL"),--(D_Category="Gr_Cat_1"),(D_Percent)),SUMPRODUCT(--(D_EffDate="Eff_Date_1"),--(D_Product="GR"),--(D_SC_Name="AHS - Packaging"),--(D_Zone="2"),--(D_Category="Gr_Cat_1"),(D_Percent)))</f>
        <v>0</v>
      </c>
      <c r="D30" s="304" cm="1">
        <f t="array" ref="D30">IF(SUMPRODUCT(--(D_EffDate="Eff_Date_2"),--(D_Product="GR"),--(D_SC_Name="AHS - Packaging"),--(D_Zone="2"),--(D_Category="Gr_Cat_1"),(D_Percent))=0,SUMPRODUCT(--(D_EffDate="Eff_Date_2"),--(D_Product="GR"),--(D_SC_Name="AHS - Packaging"),--(D_Zone="ALL"),--(D_Category="Gr_Cat_1"),(D_Percent)),SUMPRODUCT(--(D_EffDate="Eff_Date_2"),--(D_Product="GR"),--(D_SC_Name="AHS - Packaging"),--(D_Zone="2"),--(D_Category="Gr_Cat_1"),(D_Percent)))</f>
        <v>0</v>
      </c>
      <c r="E30" s="109">
        <f>ROUND(($B30*(1-$C30)),2)</f>
        <v>26.5</v>
      </c>
      <c r="F30" s="108">
        <f t="shared" ref="F30:F33" si="10">G30-E30</f>
        <v>0</v>
      </c>
      <c r="G30" s="109">
        <f>ROUND(($B30*(1-$D30)),2)</f>
        <v>26.5</v>
      </c>
      <c r="H30" s="79" cm="1">
        <f t="array" ref="H30">SUMPRODUCT(--(Category="Gr_Cat_1"),--(OpCo="Ground"),--(Intl="Domestic"),--(Zone=$A30),--(SC_Name="AHS - Packaging"),(SC_Count))</f>
        <v>0</v>
      </c>
      <c r="I30" s="329">
        <f>E30*$H30</f>
        <v>0</v>
      </c>
      <c r="J30" s="329">
        <f t="shared" si="0"/>
        <v>0</v>
      </c>
      <c r="K30" s="80">
        <f>G30*$H30</f>
        <v>0</v>
      </c>
      <c r="L30" s="309" cm="1">
        <f t="array" ref="L30">IF(SUMPRODUCT(--(D_EffDate="Eff_Date_1"),--(D_Product="GR"),--(D_SC_Name="AHS - Packaging"),--(D_Zone="2"),--(D_Category="Gr_Cat_2"),(D_Percent))=0,SUMPRODUCT(--(D_EffDate="Eff_Date_1"),--(D_Product="GR"),--(D_SC_Name="AHS - Packaging"),--(D_Zone="ALL"),--(D_Category="Gr_Cat_2"),(D_Percent)),SUMPRODUCT(--(D_EffDate="Eff_Date_1"),--(D_Product="GR"),--(D_SC_Name="AHS - Packaging"),--(D_Zone="2"),--(D_Category="Gr_Cat_2"),(D_Percent)))</f>
        <v>0</v>
      </c>
      <c r="M30" s="309" cm="1">
        <f t="array" ref="M30">IF(SUMPRODUCT(--(D_EffDate="Eff_Date_2"),--(D_Product="GR"),--(D_SC_Name="AHS - Packaging"),--(D_Zone="2"),--(D_Category="Gr_Cat_2"),(D_Percent))=0,SUMPRODUCT(--(D_EffDate="Eff_Date_2"),--(D_Product="GR"),--(D_SC_Name="AHS - Packaging"),--(D_Zone="ALL"),--(D_Category="Gr_Cat_2"),(D_Percent)),SUMPRODUCT(--(D_EffDate="Eff_Date_2"),--(D_Product="GR"),--(D_SC_Name="AHS - Packaging"),--(D_Zone="2"),--(D_Category="Gr_Cat_2"),(D_Percent)))</f>
        <v>0</v>
      </c>
      <c r="N30" s="109">
        <f>ROUND(($B30*(1-$L30)),2)</f>
        <v>26.5</v>
      </c>
      <c r="O30" s="109">
        <f t="shared" si="3"/>
        <v>0</v>
      </c>
      <c r="P30" s="109">
        <f>ROUND(($B30*(1-$M30)),2)</f>
        <v>26.5</v>
      </c>
      <c r="Q30" s="79" cm="1">
        <f t="array" ref="Q30">SUMPRODUCT(--(Category="Gr_Cat_2"),--(OpCo="Ground"),--(Intl="Domestic"),--(Zone=$A30),--(SC_Name="AHS - Packaging"),(SC_Count))</f>
        <v>0</v>
      </c>
      <c r="R30" s="329">
        <f>N30*$Q30</f>
        <v>0</v>
      </c>
      <c r="S30" s="329">
        <f t="shared" si="1"/>
        <v>0</v>
      </c>
      <c r="T30" s="80">
        <f>P30*$Q30</f>
        <v>0</v>
      </c>
      <c r="U30" s="321" cm="1">
        <f t="array" ref="U30">IF(SUMPRODUCT(--(D_EffDate="Eff_Date_1"),--(D_Product="GR"),--(D_SC_Name="AHS - Packaging"),--(D_Zone="2"),--(D_Category="Gr_Cat_3"),(D_Percent))=0,SUMPRODUCT(--(D_EffDate="Eff_Date_1"),--(D_Product="GR"),--(D_SC_Name="AHS - Packaging"),--(D_Zone="ALL"),--(D_Category="Gr_Cat_3"),(D_Percent)),SUMPRODUCT(--(D_EffDate="Eff_Date_1"),--(D_Product="GR"),--(D_SC_Name="AHS - Packaging"),--(D_Zone="2"),--(D_Category="Gr_Cat_3"),(D_Percent)))</f>
        <v>0</v>
      </c>
      <c r="V30" s="321" cm="1">
        <f t="array" ref="V30">IF(SUMPRODUCT(--(D_EffDate="Eff_Date_2"),--(D_Product="GR"),--(D_SC_Name="AHS - Packaging"),--(D_Zone="2"),--(D_Category="Gr_Cat_3"),(D_Percent))=0,SUMPRODUCT(--(D_EffDate="Eff_Date_2"),--(D_Product="GR"),--(D_SC_Name="AHS - Packaging"),--(D_Zone="ALL"),--(D_Category="Gr_Cat_3"),(D_Percent)),SUMPRODUCT(--(D_EffDate="Eff_Date_2"),--(D_Product="GR"),--(D_SC_Name="AHS - Packaging"),--(D_Zone="2"),--(D_Category="Gr_Cat_3"),(D_Percent)))</f>
        <v>0</v>
      </c>
      <c r="W30" s="109">
        <f>ROUND(($B30*(1-$U30)),2)</f>
        <v>26.5</v>
      </c>
      <c r="X30" s="109">
        <f t="shared" si="4"/>
        <v>0</v>
      </c>
      <c r="Y30" s="109">
        <f>ROUND(($B30*(1-$V30)),2)</f>
        <v>26.5</v>
      </c>
      <c r="Z30" s="79" cm="1">
        <f t="array" ref="Z30">SUMPRODUCT(--(Category="Gr_Cat_3"),--(OpCo="Ground"),--(Intl="Domestic"),--(Zone=$A30),--(SC_Name="AHS - Packaging"),(SC_Count))</f>
        <v>0</v>
      </c>
      <c r="AA30" s="81">
        <f>W30*$Z30</f>
        <v>0</v>
      </c>
      <c r="AB30" s="81">
        <f t="shared" si="2"/>
        <v>0</v>
      </c>
      <c r="AC30" s="81">
        <f>Y30*$Z30</f>
        <v>0</v>
      </c>
    </row>
    <row r="31" spans="1:29" ht="14.5" x14ac:dyDescent="0.35">
      <c r="A31" s="72" t="s">
        <v>936</v>
      </c>
      <c r="B31" s="108">
        <v>30.75</v>
      </c>
      <c r="C31" s="304" cm="1">
        <f t="array" ref="C31">IF(SUMPRODUCT(--(D_EffDate="Eff_Date_1"),--(D_Product="GR"),--(D_SC_Name="AHS - Packaging"),--(D_Zone="3"),--(D_Category="Gr_Cat_1"),(D_Percent))=0,SUMPRODUCT(--(D_EffDate="Eff_Date_1"),--(D_Product="GR"),--(D_SC_Name="AHS - Packaging"),--(D_Zone="ALL"),--(D_Category="Gr_Cat_1"),(D_Percent)),SUMPRODUCT(--(D_EffDate="Eff_Date_1"),--(D_Product="GR"),--(D_SC_Name="AHS - Packaging"),--(D_Zone="3"),--(D_Category="Gr_Cat_1"),(D_Percent)))</f>
        <v>0</v>
      </c>
      <c r="D31" s="304" cm="1">
        <f t="array" ref="D31">IF(SUMPRODUCT(--(D_EffDate="Eff_Date_2"),--(D_Product="GR"),--(D_SC_Name="AHS - Packaging"),--(D_Zone="3"),--(D_Category="Gr_Cat_1"),(D_Percent))=0,SUMPRODUCT(--(D_EffDate="Eff_Date_2"),--(D_Product="GR"),--(D_SC_Name="AHS - Packaging"),--(D_Zone="ALL"),--(D_Category="Gr_Cat_1"),(D_Percent)),SUMPRODUCT(--(D_EffDate="Eff_Date_2"),--(D_Product="GR"),--(D_SC_Name="AHS - Packaging"),--(D_Zone="3"),--(D_Category="Gr_Cat_1"),(D_Percent)))</f>
        <v>0</v>
      </c>
      <c r="E31" s="109">
        <f>ROUND(($B31*(1-$C31)),2)</f>
        <v>30.75</v>
      </c>
      <c r="F31" s="108">
        <f t="shared" si="10"/>
        <v>0</v>
      </c>
      <c r="G31" s="109">
        <f>ROUND(($B31*(1-$D31)),2)</f>
        <v>30.75</v>
      </c>
      <c r="H31" s="79" cm="1">
        <f t="array" ref="H31">SUMPRODUCT(--(Category="Gr_Cat_1"),--(OpCo="Ground"),--(Intl="Domestic"),--(Zone=$A31),--(SC_Name="AHS - Packaging"),(SC_Count))</f>
        <v>0</v>
      </c>
      <c r="I31" s="329">
        <f>E31*$H31</f>
        <v>0</v>
      </c>
      <c r="J31" s="329">
        <f t="shared" si="0"/>
        <v>0</v>
      </c>
      <c r="K31" s="80">
        <f>G31*$H31</f>
        <v>0</v>
      </c>
      <c r="L31" s="309" cm="1">
        <f t="array" ref="L31">IF(SUMPRODUCT(--(D_EffDate="Eff_Date_1"),--(D_Product="GR"),--(D_SC_Name="AHS - Packaging"),--(D_Zone="3"),--(D_Category="Gr_Cat_2"),(D_Percent))=0,SUMPRODUCT(--(D_EffDate="Eff_Date_1"),--(D_Product="GR"),--(D_SC_Name="AHS - Packaging"),--(D_Zone="ALL"),--(D_Category="Gr_Cat_2"),(D_Percent)),SUMPRODUCT(--(D_EffDate="Eff_Date_1"),--(D_Product="GR"),--(D_SC_Name="AHS - Packaging"),--(D_Zone="3"),--(D_Category="Gr_Cat_2"),(D_Percent)))</f>
        <v>0</v>
      </c>
      <c r="M31" s="309" cm="1">
        <f t="array" ref="M31">IF(SUMPRODUCT(--(D_EffDate="Eff_Date_2"),--(D_Product="GR"),--(D_SC_Name="AHS - Packaging"),--(D_Zone="3"),--(D_Category="Gr_Cat_2"),(D_Percent))=0,SUMPRODUCT(--(D_EffDate="Eff_Date_2"),--(D_Product="GR"),--(D_SC_Name="AHS - Packaging"),--(D_Zone="ALL"),--(D_Category="Gr_Cat_2"),(D_Percent)),SUMPRODUCT(--(D_EffDate="Eff_Date_2"),--(D_Product="GR"),--(D_SC_Name="AHS - Packaging"),--(D_Zone="3"),--(D_Category="Gr_Cat_2"),(D_Percent)))</f>
        <v>0</v>
      </c>
      <c r="N31" s="109">
        <f>ROUND(($B31*(1-$L31)),2)</f>
        <v>30.75</v>
      </c>
      <c r="O31" s="109">
        <f t="shared" si="3"/>
        <v>0</v>
      </c>
      <c r="P31" s="109">
        <f>ROUND(($B31*(1-$M31)),2)</f>
        <v>30.75</v>
      </c>
      <c r="Q31" s="79" cm="1">
        <f t="array" ref="Q31">SUMPRODUCT(--(Category="Gr_Cat_2"),--(OpCo="Ground"),--(Intl="Domestic"),--(Zone=$A31),--(SC_Name="AHS - Packaging"),(SC_Count))</f>
        <v>0</v>
      </c>
      <c r="R31" s="329">
        <f>N31*$Q31</f>
        <v>0</v>
      </c>
      <c r="S31" s="329">
        <f t="shared" si="1"/>
        <v>0</v>
      </c>
      <c r="T31" s="80">
        <f>P31*$Q31</f>
        <v>0</v>
      </c>
      <c r="U31" s="321" cm="1">
        <f t="array" ref="U31">IF(SUMPRODUCT(--(D_EffDate="Eff_Date_1"),--(D_Product="GR"),--(D_SC_Name="AHS - Packaging"),--(D_Zone="3"),--(D_Category="Gr_Cat_3"),(D_Percent))=0,SUMPRODUCT(--(D_EffDate="Eff_Date_1"),--(D_Product="GR"),--(D_SC_Name="AHS - Packaging"),--(D_Zone="ALL"),--(D_Category="Gr_Cat_3"),(D_Percent)),SUMPRODUCT(--(D_EffDate="Eff_Date_1"),--(D_Product="GR"),--(D_SC_Name="AHS - Packaging"),--(D_Zone="3"),--(D_Category="Gr_Cat_3"),(D_Percent)))</f>
        <v>0</v>
      </c>
      <c r="V31" s="321" cm="1">
        <f t="array" ref="V31">IF(SUMPRODUCT(--(D_EffDate="Eff_Date_2"),--(D_Product="GR"),--(D_SC_Name="AHS - Packaging"),--(D_Zone="3"),--(D_Category="Gr_Cat_3"),(D_Percent))=0,SUMPRODUCT(--(D_EffDate="Eff_Date_2"),--(D_Product="GR"),--(D_SC_Name="AHS - Packaging"),--(D_Zone="ALL"),--(D_Category="Gr_Cat_3"),(D_Percent)),SUMPRODUCT(--(D_EffDate="Eff_Date_2"),--(D_Product="GR"),--(D_SC_Name="AHS - Packaging"),--(D_Zone="3"),--(D_Category="Gr_Cat_3"),(D_Percent)))</f>
        <v>0</v>
      </c>
      <c r="W31" s="109">
        <f>ROUND(($B31*(1-$U31)),2)</f>
        <v>30.75</v>
      </c>
      <c r="X31" s="109">
        <f t="shared" si="4"/>
        <v>0</v>
      </c>
      <c r="Y31" s="109">
        <f>ROUND(($B31*(1-$V31)),2)</f>
        <v>30.75</v>
      </c>
      <c r="Z31" s="79" cm="1">
        <f t="array" ref="Z31">SUMPRODUCT(--(Category="Gr_Cat_3"),--(OpCo="Ground"),--(Intl="Domestic"),--(Zone=$A31),--(SC_Name="AHS - Packaging"),(SC_Count))</f>
        <v>0</v>
      </c>
      <c r="AA31" s="81">
        <f>W31*$Z31</f>
        <v>0</v>
      </c>
      <c r="AB31" s="81">
        <f t="shared" si="2"/>
        <v>0</v>
      </c>
      <c r="AC31" s="81">
        <f>Y31*$Z31</f>
        <v>0</v>
      </c>
    </row>
    <row r="32" spans="1:29" ht="14.5" x14ac:dyDescent="0.35">
      <c r="A32" s="72" t="s">
        <v>924</v>
      </c>
      <c r="B32" s="108">
        <v>33</v>
      </c>
      <c r="C32" s="304" cm="1">
        <f t="array" ref="C32">IF(SUMPRODUCT(--(D_EffDate="Eff_Date_1"),--(D_Product="GR"),--(D_SC_Name="AHS - Packaging"),--(D_Zone="5"),--(D_Category="Gr_Cat_1"),(D_Percent))=0,SUMPRODUCT(--(D_EffDate="Eff_Date_1"),--(D_Product="GR"),--(D_SC_Name="AHS - Packaging"),--(D_Zone="ALL"),--(D_Category="Gr_Cat_1"),(D_Percent)),SUMPRODUCT(--(D_EffDate="Eff_Date_1"),--(D_Product="GR"),--(D_SC_Name="AHS - Packaging"),--(D_Zone="5"),--(D_Category="Gr_Cat_1"),(D_Percent)))</f>
        <v>0</v>
      </c>
      <c r="D32" s="304" cm="1">
        <f t="array" ref="D32">IF(SUMPRODUCT(--(D_EffDate="Eff_Date_2"),--(D_Product="GR"),--(D_SC_Name="AHS - Packaging"),--(D_Zone="5"),--(D_Category="Gr_Cat_1"),(D_Percent))=0,SUMPRODUCT(--(D_EffDate="Eff_Date_2"),--(D_Product="GR"),--(D_SC_Name="AHS - Packaging"),--(D_Zone="ALL"),--(D_Category="Gr_Cat_1"),(D_Percent)),SUMPRODUCT(--(D_EffDate="Eff_Date_2"),--(D_Product="GR"),--(D_SC_Name="AHS - Packaging"),--(D_Zone="5"),--(D_Category="Gr_Cat_1"),(D_Percent)))</f>
        <v>0</v>
      </c>
      <c r="E32" s="109">
        <f>ROUND(($B32*(1-$C32)),2)</f>
        <v>33</v>
      </c>
      <c r="F32" s="108">
        <f t="shared" si="10"/>
        <v>0</v>
      </c>
      <c r="G32" s="109">
        <f>ROUND(($B32*(1-$D32)),2)</f>
        <v>33</v>
      </c>
      <c r="H32" s="79" cm="1">
        <f t="array" ref="H32">SUMPRODUCT(--(Category="Gr_Cat_1"),--(OpCo="Ground"),--(Intl="Domestic"),--(Zone=$A32),--(SC_Name="AHS - Packaging"),(SC_Count))</f>
        <v>0</v>
      </c>
      <c r="I32" s="329">
        <f>E32*$H32</f>
        <v>0</v>
      </c>
      <c r="J32" s="329">
        <f t="shared" si="0"/>
        <v>0</v>
      </c>
      <c r="K32" s="80">
        <f>G32*$H32</f>
        <v>0</v>
      </c>
      <c r="L32" s="309" cm="1">
        <f t="array" ref="L32">IF(SUMPRODUCT(--(D_EffDate="Eff_Date_1"),--(D_Product="GR"),--(D_SC_Name="AHS - Packaging"),--(D_Zone="5"),--(D_Category="Gr_Cat_2"),(D_Percent))=0,SUMPRODUCT(--(D_EffDate="Eff_Date_1"),--(D_Product="GR"),--(D_SC_Name="AHS - Packaging"),--(D_Zone="ALL"),--(D_Category="Gr_Cat_2"),(D_Percent)),SUMPRODUCT(--(D_EffDate="Eff_Date_1"),--(D_Product="GR"),--(D_SC_Name="AHS - Packaging"),--(D_Zone="5"),--(D_Category="Gr_Cat_2"),(D_Percent)))</f>
        <v>0</v>
      </c>
      <c r="M32" s="309" cm="1">
        <f t="array" ref="M32">IF(SUMPRODUCT(--(D_EffDate="Eff_Date_2"),--(D_Product="GR"),--(D_SC_Name="AHS - Packaging"),--(D_Zone="5"),--(D_Category="Gr_Cat_2"),(D_Percent))=0,SUMPRODUCT(--(D_EffDate="Eff_Date_2"),--(D_Product="GR"),--(D_SC_Name="AHS - Packaging"),--(D_Zone="ALL"),--(D_Category="Gr_Cat_2"),(D_Percent)),SUMPRODUCT(--(D_EffDate="Eff_Date_2"),--(D_Product="GR"),--(D_SC_Name="AHS - Packaging"),--(D_Zone="5"),--(D_Category="Gr_Cat_2"),(D_Percent)))</f>
        <v>0</v>
      </c>
      <c r="N32" s="109">
        <f>ROUND(($B32*(1-$L32)),2)</f>
        <v>33</v>
      </c>
      <c r="O32" s="109">
        <f t="shared" si="3"/>
        <v>0</v>
      </c>
      <c r="P32" s="109">
        <f>ROUND(($B32*(1-$M32)),2)</f>
        <v>33</v>
      </c>
      <c r="Q32" s="79" cm="1">
        <f t="array" ref="Q32">SUMPRODUCT(--(Category="Gr_Cat_2"),--(OpCo="Ground"),--(Intl="Domestic"),--(Zone=$A32),--(SC_Name="AHS - Packaging"),(SC_Count))</f>
        <v>0</v>
      </c>
      <c r="R32" s="329">
        <f>N32*$Q32</f>
        <v>0</v>
      </c>
      <c r="S32" s="329">
        <f t="shared" si="1"/>
        <v>0</v>
      </c>
      <c r="T32" s="80">
        <f>P32*$Q32</f>
        <v>0</v>
      </c>
      <c r="U32" s="321" cm="1">
        <f t="array" ref="U32">IF(SUMPRODUCT(--(D_EffDate="Eff_Date_1"),--(D_Product="GR"),--(D_SC_Name="AHS - Packaging"),--(D_Zone="5"),--(D_Category="Gr_Cat_3"),(D_Percent))=0,SUMPRODUCT(--(D_EffDate="Eff_Date_1"),--(D_Product="GR"),--(D_SC_Name="AHS - Packaging"),--(D_Zone="ALL"),--(D_Category="Gr_Cat_3"),(D_Percent)),SUMPRODUCT(--(D_EffDate="Eff_Date_1"),--(D_Product="GR"),--(D_SC_Name="AHS - Packaging"),--(D_Zone="5"),--(D_Category="Gr_Cat_3"),(D_Percent)))</f>
        <v>0</v>
      </c>
      <c r="V32" s="321" cm="1">
        <f t="array" ref="V32">IF(SUMPRODUCT(--(D_EffDate="Eff_Date_2"),--(D_Product="GR"),--(D_SC_Name="AHS - Packaging"),--(D_Zone="5"),--(D_Category="Gr_Cat_3"),(D_Percent))=0,SUMPRODUCT(--(D_EffDate="Eff_Date_2"),--(D_Product="GR"),--(D_SC_Name="AHS - Packaging"),--(D_Zone="ALL"),--(D_Category="Gr_Cat_3"),(D_Percent)),SUMPRODUCT(--(D_EffDate="Eff_Date_2"),--(D_Product="GR"),--(D_SC_Name="AHS - Packaging"),--(D_Zone="5"),--(D_Category="Gr_Cat_3"),(D_Percent)))</f>
        <v>0</v>
      </c>
      <c r="W32" s="109">
        <f>ROUND(($B32*(1-$U32)),2)</f>
        <v>33</v>
      </c>
      <c r="X32" s="109">
        <f t="shared" si="4"/>
        <v>0</v>
      </c>
      <c r="Y32" s="109">
        <f>ROUND(($B32*(1-$V32)),2)</f>
        <v>33</v>
      </c>
      <c r="Z32" s="79" cm="1">
        <f t="array" ref="Z32">SUMPRODUCT(--(Category="Gr_Cat_3"),--(OpCo="Ground"),--(Intl="Domestic"),--(Zone=$A32),--(SC_Name="AHS - Packaging"),(SC_Count))</f>
        <v>0</v>
      </c>
      <c r="AA32" s="81">
        <f>W32*$Z32</f>
        <v>0</v>
      </c>
      <c r="AB32" s="81">
        <f t="shared" si="2"/>
        <v>0</v>
      </c>
      <c r="AC32" s="81">
        <f>Y32*$Z32</f>
        <v>0</v>
      </c>
    </row>
    <row r="33" spans="1:29" ht="14.5" x14ac:dyDescent="0.35">
      <c r="A33" s="72" t="s">
        <v>937</v>
      </c>
      <c r="B33" s="108">
        <v>33.75</v>
      </c>
      <c r="C33" s="304" cm="1">
        <f t="array" ref="C33">IF(SUMPRODUCT(--(D_EffDate="Eff_Date_1"),--(D_Product="GR"),--(D_SC_Name="AHS - Packaging"),--(D_Zone="7"),--(D_Category="Gr_Cat_1"),(D_Percent))=0,SUMPRODUCT(--(D_EffDate="Eff_Date_1"),--(D_Product="GR"),--(D_SC_Name="AHS - Packaging"),--(D_Zone="ALL"),--(D_Category="Gr_Cat_1"),(D_Percent)),SUMPRODUCT(--(D_EffDate="Eff_Date_1"),--(D_Product="GR"),--(D_SC_Name="AHS - Packaging"),--(D_Zone="7"),--(D_Category="Gr_Cat_1"),(D_Percent)))</f>
        <v>0</v>
      </c>
      <c r="D33" s="304" cm="1">
        <f t="array" ref="D33">IF(SUMPRODUCT(--(D_EffDate="Eff_Date_2"),--(D_Product="GR"),--(D_SC_Name="AHS - Packaging"),--(D_Zone="7"),--(D_Category="Gr_Cat_1"),(D_Percent))=0,SUMPRODUCT(--(D_EffDate="Eff_Date_2"),--(D_Product="GR"),--(D_SC_Name="AHS - Packaging"),--(D_Zone="ALL"),--(D_Category="Gr_Cat_1"),(D_Percent)),SUMPRODUCT(--(D_EffDate="Eff_Date_2"),--(D_Product="GR"),--(D_SC_Name="AHS - Packaging"),--(D_Zone="7"),--(D_Category="Gr_Cat_1"),(D_Percent)))</f>
        <v>0</v>
      </c>
      <c r="E33" s="109">
        <f>ROUND(($B33*(1-$C33)),2)</f>
        <v>33.75</v>
      </c>
      <c r="F33" s="108">
        <f t="shared" si="10"/>
        <v>0</v>
      </c>
      <c r="G33" s="109">
        <f>ROUND(($B33*(1-$D33)),2)</f>
        <v>33.75</v>
      </c>
      <c r="H33" s="79" cm="1">
        <f t="array" ref="H33">SUMPRODUCT(--(Category="Gr_Cat_1"),--(OpCo="Ground"),--(Intl="Domestic"),--(Zone=$A33),--(SC_Name="AHS - Packaging"),(SC_Count))</f>
        <v>0</v>
      </c>
      <c r="I33" s="329">
        <f>E33*$H33</f>
        <v>0</v>
      </c>
      <c r="J33" s="329">
        <f t="shared" si="0"/>
        <v>0</v>
      </c>
      <c r="K33" s="80">
        <f>G33*$H33</f>
        <v>0</v>
      </c>
      <c r="L33" s="309" cm="1">
        <f t="array" ref="L33">IF(SUMPRODUCT(--(D_EffDate="Eff_Date_1"),--(D_Product="GR"),--(D_SC_Name="AHS - Packaging"),--(D_Zone="7"),--(D_Category="Gr_Cat_2"),(D_Percent))=0,SUMPRODUCT(--(D_EffDate="Eff_Date_1"),--(D_Product="GR"),--(D_SC_Name="AHS - Packaging"),--(D_Zone="ALL"),--(D_Category="Gr_Cat_2"),(D_Percent)),SUMPRODUCT(--(D_EffDate="Eff_Date_1"),--(D_Product="GR"),--(D_SC_Name="AHS - Packaging"),--(D_Zone="7"),--(D_Category="Gr_Cat_2"),(D_Percent)))</f>
        <v>0</v>
      </c>
      <c r="M33" s="309" cm="1">
        <f t="array" ref="M33">IF(SUMPRODUCT(--(D_EffDate="Eff_Date_2"),--(D_Product="GR"),--(D_SC_Name="AHS - Packaging"),--(D_Zone="7"),--(D_Category="Gr_Cat_2"),(D_Percent))=0,SUMPRODUCT(--(D_EffDate="Eff_Date_2"),--(D_Product="GR"),--(D_SC_Name="AHS - Packaging"),--(D_Zone="ALL"),--(D_Category="Gr_Cat_2"),(D_Percent)),SUMPRODUCT(--(D_EffDate="Eff_Date_2"),--(D_Product="GR"),--(D_SC_Name="AHS - Packaging"),--(D_Zone="7"),--(D_Category="Gr_Cat_2"),(D_Percent)))</f>
        <v>0</v>
      </c>
      <c r="N33" s="109">
        <f>ROUND(($B33*(1-$L33)),2)</f>
        <v>33.75</v>
      </c>
      <c r="O33" s="109">
        <f t="shared" si="3"/>
        <v>0</v>
      </c>
      <c r="P33" s="109">
        <f>ROUND(($B33*(1-$M33)),2)</f>
        <v>33.75</v>
      </c>
      <c r="Q33" s="79" cm="1">
        <f t="array" ref="Q33">SUMPRODUCT(--(Category="Gr_Cat_2"),--(OpCo="Ground"),--(Intl="Domestic"),--(Zone=$A33),--(SC_Name="AHS - Packaging"),(SC_Count))</f>
        <v>0</v>
      </c>
      <c r="R33" s="329">
        <f>N33*$Q33</f>
        <v>0</v>
      </c>
      <c r="S33" s="329">
        <f t="shared" si="1"/>
        <v>0</v>
      </c>
      <c r="T33" s="80">
        <f>P33*$Q33</f>
        <v>0</v>
      </c>
      <c r="U33" s="321" cm="1">
        <f t="array" ref="U33">IF(SUMPRODUCT(--(D_EffDate="Eff_Date_1"),--(D_Product="GR"),--(D_SC_Name="AHS - Packaging"),--(D_Zone="7"),--(D_Category="Gr_Cat_3"),(D_Percent))=0,SUMPRODUCT(--(D_EffDate="Eff_Date_1"),--(D_Product="GR"),--(D_SC_Name="AHS - Packaging"),--(D_Zone="ALL"),--(D_Category="Gr_Cat_3"),(D_Percent)),SUMPRODUCT(--(D_EffDate="Eff_Date_1"),--(D_Product="GR"),--(D_SC_Name="AHS - Packaging"),--(D_Zone="7"),--(D_Category="Gr_Cat_3"),(D_Percent)))</f>
        <v>0</v>
      </c>
      <c r="V33" s="321" cm="1">
        <f t="array" ref="V33">IF(SUMPRODUCT(--(D_EffDate="Eff_Date_2"),--(D_Product="GR"),--(D_SC_Name="AHS - Packaging"),--(D_Zone="7"),--(D_Category="Gr_Cat_3"),(D_Percent))=0,SUMPRODUCT(--(D_EffDate="Eff_Date_2"),--(D_Product="GR"),--(D_SC_Name="AHS - Packaging"),--(D_Zone="ALL"),--(D_Category="Gr_Cat_3"),(D_Percent)),SUMPRODUCT(--(D_EffDate="Eff_Date_2"),--(D_Product="GR"),--(D_SC_Name="AHS - Packaging"),--(D_Zone="7"),--(D_Category="Gr_Cat_3"),(D_Percent)))</f>
        <v>0</v>
      </c>
      <c r="W33" s="109">
        <f>ROUND(($B33*(1-$U33)),2)</f>
        <v>33.75</v>
      </c>
      <c r="X33" s="109">
        <f t="shared" si="4"/>
        <v>0</v>
      </c>
      <c r="Y33" s="109">
        <f>ROUND(($B33*(1-$V33)),2)</f>
        <v>33.75</v>
      </c>
      <c r="Z33" s="79" cm="1">
        <f t="array" ref="Z33">SUMPRODUCT(--(Category="Gr_Cat_3"),--(OpCo="Ground"),--(Intl="Domestic"),--(Zone=$A33),--(SC_Name="AHS - Packaging"),(SC_Count))</f>
        <v>0</v>
      </c>
      <c r="AA33" s="81">
        <f>W33*$Z33</f>
        <v>0</v>
      </c>
      <c r="AB33" s="81">
        <f t="shared" si="2"/>
        <v>0</v>
      </c>
      <c r="AC33" s="81">
        <f>Y33*$Z33</f>
        <v>0</v>
      </c>
    </row>
    <row r="34" spans="1:29" ht="14.5" x14ac:dyDescent="0.35">
      <c r="A34" s="70" t="s">
        <v>930</v>
      </c>
      <c r="B34" s="110"/>
      <c r="C34" s="313"/>
      <c r="D34" s="313"/>
      <c r="E34" s="111"/>
      <c r="F34" s="111"/>
      <c r="G34" s="111"/>
      <c r="H34" s="112">
        <f>SUM(H35:H38)</f>
        <v>0</v>
      </c>
      <c r="I34" s="349">
        <f>SUM(I35:I38)</f>
        <v>0</v>
      </c>
      <c r="J34" s="349">
        <f t="shared" si="0"/>
        <v>0</v>
      </c>
      <c r="K34" s="101">
        <f>SUM(K35:K38)</f>
        <v>0</v>
      </c>
      <c r="L34" s="315"/>
      <c r="M34" s="315"/>
      <c r="N34" s="111"/>
      <c r="O34" s="111"/>
      <c r="P34" s="111"/>
      <c r="Q34" s="112">
        <f>SUM(Q35:Q38)</f>
        <v>0</v>
      </c>
      <c r="R34" s="349">
        <f>SUM(R35:R38)</f>
        <v>0</v>
      </c>
      <c r="S34" s="349">
        <f t="shared" si="1"/>
        <v>0</v>
      </c>
      <c r="T34" s="101">
        <f>SUM(T35:T38)</f>
        <v>0</v>
      </c>
      <c r="U34" s="320"/>
      <c r="V34" s="320"/>
      <c r="W34" s="111"/>
      <c r="X34" s="111"/>
      <c r="Y34" s="111"/>
      <c r="Z34" s="112">
        <f>SUM(Z35:Z38)</f>
        <v>0</v>
      </c>
      <c r="AA34" s="324">
        <f>SUM(AA35:AA38)</f>
        <v>0</v>
      </c>
      <c r="AB34" s="324">
        <f t="shared" si="2"/>
        <v>0</v>
      </c>
      <c r="AC34" s="324">
        <f>SUM(AC35:AC38)</f>
        <v>0</v>
      </c>
    </row>
    <row r="35" spans="1:29" ht="14.5" x14ac:dyDescent="0.35">
      <c r="A35" s="73" t="s">
        <v>923</v>
      </c>
      <c r="B35" s="102">
        <v>255</v>
      </c>
      <c r="C35" s="304" cm="1">
        <f t="array" ref="C35">IF(SUMPRODUCT(--(D_EffDate="Eff_Date_1"),--(D_Product="SO"),--(D_SC_Name="Oversize Charge"),--(D_Zone="02"),--(D_Category="Ex_Cat_1"),(D_Percent))=0,SUMPRODUCT(--(D_EffDate="Eff_Date_1"),--(D_Product="SO"),--(D_SC_Name="Oversize Charge"),--(D_Zone="ALL"),--(D_Category="Ex_Cat_1"),(D_Percent)),SUMPRODUCT(--(D_EffDate="Eff_Date_1"),--(D_Product="SO"),--(D_SC_Name="Oversize Charge"),--(D_Zone="02"),--(D_Category="Ex_Cat_1"),(D_Percent)))</f>
        <v>0</v>
      </c>
      <c r="D35" s="304" cm="1">
        <f t="array" ref="D35">IF(SUMPRODUCT(--(D_EffDate="Eff_Date_2"),--(D_Product="SO"),--(D_SC_Name="Oversize Charge"),--(D_Zone="02"),--(D_Category="Ex_Cat_1"),(D_Percent))=0,SUMPRODUCT(--(D_EffDate="Eff_Date_2"),--(D_Product="SO"),--(D_SC_Name="Oversize Charge"),--(D_Zone="ALL"),--(D_Category="Ex_Cat_1"),(D_Percent)),SUMPRODUCT(--(D_EffDate="Eff_Date_2"),--(D_Product="SO"),--(D_SC_Name="Oversize Charge"),--(D_Zone="02"),--(D_Category="Ex_Cat_1"),(D_Percent)))</f>
        <v>0</v>
      </c>
      <c r="E35" s="84">
        <f>ROUND(($B35*(1-$C35)),2)</f>
        <v>255</v>
      </c>
      <c r="F35" s="102">
        <f t="shared" ref="F35:F38" si="11">G35-E35</f>
        <v>0</v>
      </c>
      <c r="G35" s="84">
        <f>ROUND(($B35*(1-$D35)),2)</f>
        <v>255</v>
      </c>
      <c r="H35" s="74" cm="1">
        <f t="array" ref="H35">SUMPRODUCT(--(Category="Ex_Cat_1"),--(OpCo="Express"),--(Intl="Domestic"),--(Zone=$A35),--(SC_Name="Oversize Charge"),(SC_Count))</f>
        <v>0</v>
      </c>
      <c r="I35" s="328">
        <f>E35*$H35</f>
        <v>0</v>
      </c>
      <c r="J35" s="328">
        <f t="shared" si="0"/>
        <v>0</v>
      </c>
      <c r="K35" s="75">
        <f>G35*$H35</f>
        <v>0</v>
      </c>
      <c r="L35" s="309" cm="1">
        <f t="array" ref="L35">IF(SUMPRODUCT(--(D_EffDate="Eff_Date_1"),--(D_Product="SO"),--(D_SC_Name="Oversize Charge"),--(D_Zone="02"),--(D_Category="Ex_Cat_2"),(D_Percent))=0,SUMPRODUCT(--(D_EffDate="Eff_Date_1"),--(D_Product="SO"),--(D_SC_Name="Oversize Charge"),--(D_Zone="ALL"),--(D_Category="Ex_Cat_2"),(D_Percent)),SUMPRODUCT(--(D_EffDate="Eff_Date_1"),--(D_Product="SO"),--(D_SC_Name="Oversize Charge"),--(D_Zone="02"),--(D_Category="Ex_Cat_2"),(D_Percent)))</f>
        <v>0</v>
      </c>
      <c r="M35" s="309" cm="1">
        <f t="array" ref="M35">IF(SUMPRODUCT(--(D_EffDate="Eff_Date_2"),--(D_Product="SO"),--(D_SC_Name="Oversize Charge"),--(D_Zone="02"),--(D_Category="Ex_Cat_2"),(D_Percent))=0,SUMPRODUCT(--(D_EffDate="Eff_Date_2"),--(D_Product="SO"),--(D_SC_Name="Oversize Charge"),--(D_Zone="ALL"),--(D_Category="Ex_Cat_2"),(D_Percent)),SUMPRODUCT(--(D_EffDate="Eff_Date_2"),--(D_Product="SO"),--(D_SC_Name="Oversize Charge"),--(D_Zone="02"),--(D_Category="Ex_Cat_2"),(D_Percent)))</f>
        <v>0</v>
      </c>
      <c r="N35" s="84">
        <f>ROUND(($B35*(1-$L35)),2)</f>
        <v>255</v>
      </c>
      <c r="O35" s="84">
        <f t="shared" si="3"/>
        <v>0</v>
      </c>
      <c r="P35" s="84">
        <f>ROUND(($B35*(1-$M35)),2)</f>
        <v>255</v>
      </c>
      <c r="Q35" s="74" cm="1">
        <f t="array" ref="Q35">SUMPRODUCT(--(Category="Ex_Cat_2"),--(OpCo="Express"),--(Intl="Domestic"),--(Zone=$A35),--(SC_Name="Oversize Charge"),(SC_Count))</f>
        <v>0</v>
      </c>
      <c r="R35" s="328">
        <f>N35*$Q35</f>
        <v>0</v>
      </c>
      <c r="S35" s="328">
        <f t="shared" si="1"/>
        <v>0</v>
      </c>
      <c r="T35" s="75">
        <f>P35*$Q35</f>
        <v>0</v>
      </c>
      <c r="U35" s="321" cm="1">
        <f t="array" ref="U35">IF(SUMPRODUCT(--(D_EffDate="Eff_Date_1"),--(D_Product="SO"),--(D_SC_Name="Oversize Charge"),--(D_Zone="02"),--(D_Category="Ex_Cat_3"),(D_Percent))=0,SUMPRODUCT(--(D_EffDate="Eff_Date_1"),--(D_Product="SO"),--(D_SC_Name="Oversize Charge"),--(D_Zone="ALL"),--(D_Category="Ex_Cat_3"),(D_Percent)),SUMPRODUCT(--(D_EffDate="Eff_Date_1"),--(D_Product="SO"),--(D_SC_Name="Oversize Charge"),--(D_Zone="02"),--(D_Category="Ex_Cat_3"),(D_Percent)))</f>
        <v>0</v>
      </c>
      <c r="V35" s="321" cm="1">
        <f t="array" ref="V35">IF(SUMPRODUCT(--(D_EffDate="Eff_Date_2"),--(D_Product="SO"),--(D_SC_Name="Oversize Charge"),--(D_Zone="02"),--(D_Category="Ex_Cat_3"),(D_Percent))=0,SUMPRODUCT(--(D_EffDate="Eff_Date_2"),--(D_Product="SO"),--(D_SC_Name="Oversize Charge"),--(D_Zone="ALL"),--(D_Category="Ex_Cat_3"),(D_Percent)),SUMPRODUCT(--(D_EffDate="Eff_Date_2"),--(D_Product="SO"),--(D_SC_Name="Oversize Charge"),--(D_Zone="02"),--(D_Category="Ex_Cat_3"),(D_Percent)))</f>
        <v>0</v>
      </c>
      <c r="W35" s="84">
        <f>ROUND(($B35*(1-$U35)),2)</f>
        <v>255</v>
      </c>
      <c r="X35" s="84">
        <f t="shared" si="4"/>
        <v>0</v>
      </c>
      <c r="Y35" s="84">
        <f>ROUND(($B35*(1-$V35)),2)</f>
        <v>255</v>
      </c>
      <c r="Z35" s="74" cm="1">
        <f t="array" ref="Z35">SUMPRODUCT(--(Category="Ex_Cat_3"),--(OpCo="Express"),--(Intl="Domestic"),--(Zone=$A35),--(SC_Name="Oversize Charge"),(SC_Count))</f>
        <v>0</v>
      </c>
      <c r="AA35" s="76">
        <f>W35*$Z35</f>
        <v>0</v>
      </c>
      <c r="AB35" s="76">
        <f t="shared" si="2"/>
        <v>0</v>
      </c>
      <c r="AC35" s="76">
        <f>Y35*$Z35</f>
        <v>0</v>
      </c>
    </row>
    <row r="36" spans="1:29" ht="14.5" x14ac:dyDescent="0.35">
      <c r="A36" s="73" t="s">
        <v>936</v>
      </c>
      <c r="B36" s="102">
        <v>275</v>
      </c>
      <c r="C36" s="304" cm="1">
        <f t="array" ref="C36">IF(SUMPRODUCT(--(D_EffDate="Eff_Date_1"),--(D_Product="SO"),--(D_SC_Name="Oversize Charge"),--(D_Zone="03"),--(D_Category="Ex_Cat_1"),(D_Percent))=0,SUMPRODUCT(--(D_EffDate="Eff_Date_1"),--(D_Product="SO"),--(D_SC_Name="Oversize Charge"),--(D_Zone="ALL"),--(D_Category="Ex_Cat_1"),(D_Percent)),SUMPRODUCT(--(D_EffDate="Eff_Date_1"),--(D_Product="SO"),--(D_SC_Name="Oversize Charge"),--(D_Zone="03"),--(D_Category="Ex_Cat_1"),(D_Percent)))</f>
        <v>0</v>
      </c>
      <c r="D36" s="304" cm="1">
        <f t="array" ref="D36">IF(SUMPRODUCT(--(D_EffDate="Eff_Date_2"),--(D_Product="SO"),--(D_SC_Name="Oversize Charge"),--(D_Zone="03"),--(D_Category="Ex_Cat_1"),(D_Percent))=0,SUMPRODUCT(--(D_EffDate="Eff_Date_2"),--(D_Product="SO"),--(D_SC_Name="Oversize Charge"),--(D_Zone="ALL"),--(D_Category="Ex_Cat_1"),(D_Percent)),SUMPRODUCT(--(D_EffDate="Eff_Date_2"),--(D_Product="SO"),--(D_SC_Name="Oversize Charge"),--(D_Zone="03"),--(D_Category="Ex_Cat_1"),(D_Percent)))</f>
        <v>0</v>
      </c>
      <c r="E36" s="84">
        <f>ROUND(($B36*(1-$C36)),2)</f>
        <v>275</v>
      </c>
      <c r="F36" s="102">
        <f t="shared" si="11"/>
        <v>0</v>
      </c>
      <c r="G36" s="84">
        <f>ROUND(($B36*(1-$D36)),2)</f>
        <v>275</v>
      </c>
      <c r="H36" s="74" cm="1">
        <f t="array" ref="H36">SUMPRODUCT(--(Category="Ex_Cat_1"),--(OpCo="Express"),--(Intl="Domestic"),--(Zone=$A36),--(SC_Name="Oversize Charge"),(SC_Count))</f>
        <v>0</v>
      </c>
      <c r="I36" s="328">
        <f>E36*$H36</f>
        <v>0</v>
      </c>
      <c r="J36" s="328">
        <f t="shared" si="0"/>
        <v>0</v>
      </c>
      <c r="K36" s="75">
        <f>G36*$H36</f>
        <v>0</v>
      </c>
      <c r="L36" s="309" cm="1">
        <f t="array" ref="L36">IF(SUMPRODUCT(--(D_EffDate="Eff_Date_1"),--(D_Product="SO"),--(D_SC_Name="Oversize Charge"),--(D_Zone="03"),--(D_Category="Ex_Cat_2"),(D_Percent))=0,SUMPRODUCT(--(D_EffDate="Eff_Date_1"),--(D_Product="SO"),--(D_SC_Name="Oversize Charge"),--(D_Zone="ALL"),--(D_Category="Ex_Cat_2"),(D_Percent)),SUMPRODUCT(--(D_EffDate="Eff_Date_1"),--(D_Product="SO"),--(D_SC_Name="Oversize Charge"),--(D_Zone="03"),--(D_Category="Ex_Cat_2"),(D_Percent)))</f>
        <v>0</v>
      </c>
      <c r="M36" s="309" cm="1">
        <f t="array" ref="M36">IF(SUMPRODUCT(--(D_EffDate="Eff_Date_2"),--(D_Product="SO"),--(D_SC_Name="Oversize Charge"),--(D_Zone="03"),--(D_Category="Ex_Cat_2"),(D_Percent))=0,SUMPRODUCT(--(D_EffDate="Eff_Date_2"),--(D_Product="SO"),--(D_SC_Name="Oversize Charge"),--(D_Zone="ALL"),--(D_Category="Ex_Cat_2"),(D_Percent)),SUMPRODUCT(--(D_EffDate="Eff_Date_2"),--(D_Product="SO"),--(D_SC_Name="Oversize Charge"),--(D_Zone="03"),--(D_Category="Ex_Cat_2"),(D_Percent)))</f>
        <v>0</v>
      </c>
      <c r="N36" s="84">
        <f>ROUND(($B36*(1-$L36)),2)</f>
        <v>275</v>
      </c>
      <c r="O36" s="84">
        <f t="shared" si="3"/>
        <v>0</v>
      </c>
      <c r="P36" s="84">
        <f>ROUND(($B36*(1-$M36)),2)</f>
        <v>275</v>
      </c>
      <c r="Q36" s="74" cm="1">
        <f t="array" ref="Q36">SUMPRODUCT(--(Category="Ex_Cat_2"),--(OpCo="Express"),--(Intl="Domestic"),--(Zone=$A36),--(SC_Name="Oversize Charge"),(SC_Count))</f>
        <v>0</v>
      </c>
      <c r="R36" s="328">
        <f>N36*$Q36</f>
        <v>0</v>
      </c>
      <c r="S36" s="328">
        <f t="shared" si="1"/>
        <v>0</v>
      </c>
      <c r="T36" s="75">
        <f>P36*$Q36</f>
        <v>0</v>
      </c>
      <c r="U36" s="321" cm="1">
        <f t="array" ref="U36">IF(SUMPRODUCT(--(D_EffDate="Eff_Date_1"),--(D_Product="SO"),--(D_SC_Name="Oversize Charge"),--(D_Zone="03"),--(D_Category="Ex_Cat_3"),(D_Percent))=0,SUMPRODUCT(--(D_EffDate="Eff_Date_1"),--(D_Product="SO"),--(D_SC_Name="Oversize Charge"),--(D_Zone="ALL"),--(D_Category="Ex_Cat_3"),(D_Percent)),SUMPRODUCT(--(D_EffDate="Eff_Date_1"),--(D_Product="SO"),--(D_SC_Name="Oversize Charge"),--(D_Zone="03"),--(D_Category="Ex_Cat_3"),(D_Percent)))</f>
        <v>0</v>
      </c>
      <c r="V36" s="321" cm="1">
        <f t="array" ref="V36">IF(SUMPRODUCT(--(D_EffDate="Eff_Date_2"),--(D_Product="SO"),--(D_SC_Name="Oversize Charge"),--(D_Zone="03"),--(D_Category="Ex_Cat_3"),(D_Percent))=0,SUMPRODUCT(--(D_EffDate="Eff_Date_2"),--(D_Product="SO"),--(D_SC_Name="Oversize Charge"),--(D_Zone="ALL"),--(D_Category="Ex_Cat_3"),(D_Percent)),SUMPRODUCT(--(D_EffDate="Eff_Date_2"),--(D_Product="SO"),--(D_SC_Name="Oversize Charge"),--(D_Zone="03"),--(D_Category="Ex_Cat_3"),(D_Percent)))</f>
        <v>0</v>
      </c>
      <c r="W36" s="84">
        <f>ROUND(($B36*(1-$U36)),2)</f>
        <v>275</v>
      </c>
      <c r="X36" s="84">
        <f t="shared" si="4"/>
        <v>0</v>
      </c>
      <c r="Y36" s="84">
        <f>ROUND(($B36*(1-$V36)),2)</f>
        <v>275</v>
      </c>
      <c r="Z36" s="74" cm="1">
        <f t="array" ref="Z36">SUMPRODUCT(--(Category="Ex_Cat_3"),--(OpCo="Express"),--(Intl="Domestic"),--(Zone=$A36),--(SC_Name="Oversize Charge"),(SC_Count))</f>
        <v>0</v>
      </c>
      <c r="AA36" s="76">
        <f>W36*$Z36</f>
        <v>0</v>
      </c>
      <c r="AB36" s="76">
        <f t="shared" si="2"/>
        <v>0</v>
      </c>
      <c r="AC36" s="76">
        <f>Y36*$Z36</f>
        <v>0</v>
      </c>
    </row>
    <row r="37" spans="1:29" ht="14.5" x14ac:dyDescent="0.35">
      <c r="A37" s="73" t="s">
        <v>924</v>
      </c>
      <c r="B37" s="102">
        <v>320</v>
      </c>
      <c r="C37" s="304" cm="1">
        <f t="array" ref="C37">IF(SUMPRODUCT(--(D_EffDate="Eff_Date_1"),--(D_Product="SO"),--(D_SC_Name="Oversize Charge"),--(D_Zone="05"),--(D_Category="Ex_Cat_1"),(D_Percent))=0,SUMPRODUCT(--(D_EffDate="Eff_Date_1"),--(D_Product="SO"),--(D_SC_Name="Oversize Charge"),--(D_Zone="ALL"),--(D_Category="Ex_Cat_1"),(D_Percent)),SUMPRODUCT(--(D_EffDate="Eff_Date_1"),--(D_Product="SO"),--(D_SC_Name="Oversize Charge"),--(D_Zone="05"),--(D_Category="Ex_Cat_1"),(D_Percent)))</f>
        <v>0</v>
      </c>
      <c r="D37" s="304" cm="1">
        <f t="array" ref="D37">IF(SUMPRODUCT(--(D_EffDate="Eff_Date_2"),--(D_Product="SO"),--(D_SC_Name="Oversize Charge"),--(D_Zone="05"),--(D_Category="Ex_Cat_1"),(D_Percent))=0,SUMPRODUCT(--(D_EffDate="Eff_Date_2"),--(D_Product="SO"),--(D_SC_Name="Oversize Charge"),--(D_Zone="ALL"),--(D_Category="Ex_Cat_1"),(D_Percent)),SUMPRODUCT(--(D_EffDate="Eff_Date_2"),--(D_Product="SO"),--(D_SC_Name="Oversize Charge"),--(D_Zone="05"),--(D_Category="Ex_Cat_1"),(D_Percent)))</f>
        <v>0</v>
      </c>
      <c r="E37" s="84">
        <f>ROUND(($B37*(1-$C37)),2)</f>
        <v>320</v>
      </c>
      <c r="F37" s="102">
        <f t="shared" si="11"/>
        <v>0</v>
      </c>
      <c r="G37" s="84">
        <f>ROUND(($B37*(1-$D37)),2)</f>
        <v>320</v>
      </c>
      <c r="H37" s="74" cm="1">
        <f t="array" ref="H37">SUMPRODUCT(--(Category="Ex_Cat_1"),--(OpCo="Express"),--(Intl="Domestic"),--(Zone=$A37),--(SC_Name="Oversize Charge"),(SC_Count))</f>
        <v>0</v>
      </c>
      <c r="I37" s="328">
        <f>E37*$H37</f>
        <v>0</v>
      </c>
      <c r="J37" s="328">
        <f t="shared" si="0"/>
        <v>0</v>
      </c>
      <c r="K37" s="75">
        <f>G37*$H37</f>
        <v>0</v>
      </c>
      <c r="L37" s="309" cm="1">
        <f t="array" ref="L37">IF(SUMPRODUCT(--(D_EffDate="Eff_Date_1"),--(D_Product="SO"),--(D_SC_Name="Oversize Charge"),--(D_Zone="05"),--(D_Category="Ex_Cat_2"),(D_Percent))=0,SUMPRODUCT(--(D_EffDate="Eff_Date_1"),--(D_Product="SO"),--(D_SC_Name="Oversize Charge"),--(D_Zone="ALL"),--(D_Category="Ex_Cat_2"),(D_Percent)),SUMPRODUCT(--(D_EffDate="Eff_Date_1"),--(D_Product="SO"),--(D_SC_Name="Oversize Charge"),--(D_Zone="05"),--(D_Category="Ex_Cat_2"),(D_Percent)))</f>
        <v>0</v>
      </c>
      <c r="M37" s="309" cm="1">
        <f t="array" ref="M37">IF(SUMPRODUCT(--(D_EffDate="Eff_Date_2"),--(D_Product="SO"),--(D_SC_Name="Oversize Charge"),--(D_Zone="05"),--(D_Category="Ex_Cat_2"),(D_Percent))=0,SUMPRODUCT(--(D_EffDate="Eff_Date_2"),--(D_Product="SO"),--(D_SC_Name="Oversize Charge"),--(D_Zone="ALL"),--(D_Category="Ex_Cat_2"),(D_Percent)),SUMPRODUCT(--(D_EffDate="Eff_Date_2"),--(D_Product="SO"),--(D_SC_Name="Oversize Charge"),--(D_Zone="05"),--(D_Category="Ex_Cat_2"),(D_Percent)))</f>
        <v>0</v>
      </c>
      <c r="N37" s="84">
        <f>ROUND(($B37*(1-$L37)),2)</f>
        <v>320</v>
      </c>
      <c r="O37" s="84">
        <f t="shared" si="3"/>
        <v>0</v>
      </c>
      <c r="P37" s="84">
        <f>ROUND(($B37*(1-$M37)),2)</f>
        <v>320</v>
      </c>
      <c r="Q37" s="74" cm="1">
        <f t="array" ref="Q37">SUMPRODUCT(--(Category="Ex_Cat_2"),--(OpCo="Express"),--(Intl="Domestic"),--(Zone=$A37),--(SC_Name="Oversize Charge"),(SC_Count))</f>
        <v>0</v>
      </c>
      <c r="R37" s="328">
        <f>N37*$Q37</f>
        <v>0</v>
      </c>
      <c r="S37" s="328">
        <f t="shared" si="1"/>
        <v>0</v>
      </c>
      <c r="T37" s="75">
        <f>P37*$Q37</f>
        <v>0</v>
      </c>
      <c r="U37" s="321" cm="1">
        <f t="array" ref="U37">IF(SUMPRODUCT(--(D_EffDate="Eff_Date_1"),--(D_Product="SO"),--(D_SC_Name="Oversize Charge"),--(D_Zone="05"),--(D_Category="Ex_Cat_3"),(D_Percent))=0,SUMPRODUCT(--(D_EffDate="Eff_Date_1"),--(D_Product="SO"),--(D_SC_Name="Oversize Charge"),--(D_Zone="ALL"),--(D_Category="Ex_Cat_3"),(D_Percent)),SUMPRODUCT(--(D_EffDate="Eff_Date_1"),--(D_Product="SO"),--(D_SC_Name="Oversize Charge"),--(D_Zone="05"),--(D_Category="Ex_Cat_3"),(D_Percent)))</f>
        <v>0</v>
      </c>
      <c r="V37" s="321" cm="1">
        <f t="array" ref="V37">IF(SUMPRODUCT(--(D_EffDate="Eff_Date_2"),--(D_Product="SO"),--(D_SC_Name="Oversize Charge"),--(D_Zone="05"),--(D_Category="Ex_Cat_3"),(D_Percent))=0,SUMPRODUCT(--(D_EffDate="Eff_Date_2"),--(D_Product="SO"),--(D_SC_Name="Oversize Charge"),--(D_Zone="ALL"),--(D_Category="Ex_Cat_3"),(D_Percent)),SUMPRODUCT(--(D_EffDate="Eff_Date_2"),--(D_Product="SO"),--(D_SC_Name="Oversize Charge"),--(D_Zone="05"),--(D_Category="Ex_Cat_3"),(D_Percent)))</f>
        <v>0</v>
      </c>
      <c r="W37" s="84">
        <f>ROUND(($B37*(1-$U37)),2)</f>
        <v>320</v>
      </c>
      <c r="X37" s="84">
        <f t="shared" si="4"/>
        <v>0</v>
      </c>
      <c r="Y37" s="84">
        <f>ROUND(($B37*(1-$V37)),2)</f>
        <v>320</v>
      </c>
      <c r="Z37" s="74" cm="1">
        <f t="array" ref="Z37">SUMPRODUCT(--(Category="Ex_Cat_3"),--(OpCo="Express"),--(Intl="Domestic"),--(Zone=$A37),--(SC_Name="Oversize Charge"),(SC_Count))</f>
        <v>0</v>
      </c>
      <c r="AA37" s="76">
        <f>W37*$Z37</f>
        <v>0</v>
      </c>
      <c r="AB37" s="76">
        <f t="shared" si="2"/>
        <v>0</v>
      </c>
      <c r="AC37" s="76">
        <f>Y37*$Z37</f>
        <v>0</v>
      </c>
    </row>
    <row r="38" spans="1:29" ht="14.5" x14ac:dyDescent="0.35">
      <c r="A38" s="73" t="s">
        <v>937</v>
      </c>
      <c r="B38" s="102">
        <v>330</v>
      </c>
      <c r="C38" s="304" cm="1">
        <f t="array" ref="C38">IF(SUMPRODUCT(--(D_EffDate="Eff_Date_1"),--(D_Product="SO"),--(D_SC_Name="Oversize Charge"),--(D_Zone="07"),--(D_Category="Ex_Cat_1"),(D_Percent))=0,SUMPRODUCT(--(D_EffDate="Eff_Date_1"),--(D_Product="SO"),--(D_SC_Name="Oversize Charge"),--(D_Zone="ALL"),--(D_Category="Ex_Cat_1"),(D_Percent)),SUMPRODUCT(--(D_EffDate="Eff_Date_1"),--(D_Product="SO"),--(D_SC_Name="Oversize Charge"),--(D_Zone="07"),--(D_Category="Ex_Cat_1"),(D_Percent)))</f>
        <v>0</v>
      </c>
      <c r="D38" s="304" cm="1">
        <f t="array" ref="D38">IF(SUMPRODUCT(--(D_EffDate="Eff_Date_2"),--(D_Product="SO"),--(D_SC_Name="Oversize Charge"),--(D_Zone="07"),--(D_Category="Ex_Cat_1"),(D_Percent))=0,SUMPRODUCT(--(D_EffDate="Eff_Date_2"),--(D_Product="SO"),--(D_SC_Name="Oversize Charge"),--(D_Zone="ALL"),--(D_Category="Ex_Cat_1"),(D_Percent)),SUMPRODUCT(--(D_EffDate="Eff_Date_2"),--(D_Product="SO"),--(D_SC_Name="Oversize Charge"),--(D_Zone="07"),--(D_Category="Ex_Cat_1"),(D_Percent)))</f>
        <v>0</v>
      </c>
      <c r="E38" s="84">
        <f>ROUND(($B38*(1-$C38)),2)</f>
        <v>330</v>
      </c>
      <c r="F38" s="102">
        <f t="shared" si="11"/>
        <v>0</v>
      </c>
      <c r="G38" s="84">
        <f>ROUND(($B38*(1-$D38)),2)</f>
        <v>330</v>
      </c>
      <c r="H38" s="74" cm="1">
        <f t="array" ref="H38">SUMPRODUCT(--(Category="Ex_Cat_1"),--(OpCo="Express"),--(Intl="Domestic"),--(Zone=$A38),--(SC_Name="Oversize Charge"),(SC_Count))</f>
        <v>0</v>
      </c>
      <c r="I38" s="328">
        <f>E38*$H38</f>
        <v>0</v>
      </c>
      <c r="J38" s="328">
        <f t="shared" si="0"/>
        <v>0</v>
      </c>
      <c r="K38" s="75">
        <f>G38*$H38</f>
        <v>0</v>
      </c>
      <c r="L38" s="309" cm="1">
        <f t="array" ref="L38">IF(SUMPRODUCT(--(D_EffDate="Eff_Date_1"),--(D_Product="SO"),--(D_SC_Name="Oversize Charge"),--(D_Zone="07"),--(D_Category="Ex_Cat_2"),(D_Percent))=0,SUMPRODUCT(--(D_EffDate="Eff_Date_1"),--(D_Product="SO"),--(D_SC_Name="Oversize Charge"),--(D_Zone="ALL"),--(D_Category="Ex_Cat_2"),(D_Percent)),SUMPRODUCT(--(D_EffDate="Eff_Date_1"),--(D_Product="SO"),--(D_SC_Name="Oversize Charge"),--(D_Zone="07"),--(D_Category="Ex_Cat_2"),(D_Percent)))</f>
        <v>0</v>
      </c>
      <c r="M38" s="309" cm="1">
        <f t="array" ref="M38">IF(SUMPRODUCT(--(D_EffDate="Eff_Date_2"),--(D_Product="SO"),--(D_SC_Name="Oversize Charge"),--(D_Zone="07"),--(D_Category="Ex_Cat_2"),(D_Percent))=0,SUMPRODUCT(--(D_EffDate="Eff_Date_2"),--(D_Product="SO"),--(D_SC_Name="Oversize Charge"),--(D_Zone="ALL"),--(D_Category="Ex_Cat_2"),(D_Percent)),SUMPRODUCT(--(D_EffDate="Eff_Date_2"),--(D_Product="SO"),--(D_SC_Name="Oversize Charge"),--(D_Zone="07"),--(D_Category="Ex_Cat_2"),(D_Percent)))</f>
        <v>0</v>
      </c>
      <c r="N38" s="84">
        <f>ROUND(($B38*(1-$L38)),2)</f>
        <v>330</v>
      </c>
      <c r="O38" s="84">
        <f t="shared" si="3"/>
        <v>0</v>
      </c>
      <c r="P38" s="84">
        <f>ROUND(($B38*(1-$M38)),2)</f>
        <v>330</v>
      </c>
      <c r="Q38" s="74" cm="1">
        <f t="array" ref="Q38">SUMPRODUCT(--(Category="Ex_Cat_2"),--(OpCo="Express"),--(Intl="Domestic"),--(Zone=$A38),--(SC_Name="Oversize Charge"),(SC_Count))</f>
        <v>0</v>
      </c>
      <c r="R38" s="328">
        <f>N38*$Q38</f>
        <v>0</v>
      </c>
      <c r="S38" s="328">
        <f t="shared" si="1"/>
        <v>0</v>
      </c>
      <c r="T38" s="75">
        <f>P38*$Q38</f>
        <v>0</v>
      </c>
      <c r="U38" s="321" cm="1">
        <f t="array" ref="U38">IF(SUMPRODUCT(--(D_EffDate="Eff_Date_1"),--(D_Product="SO"),--(D_SC_Name="Oversize Charge"),--(D_Zone="07"),--(D_Category="Ex_Cat_3"),(D_Percent))=0,SUMPRODUCT(--(D_EffDate="Eff_Date_1"),--(D_Product="SO"),--(D_SC_Name="Oversize Charge"),--(D_Zone="ALL"),--(D_Category="Ex_Cat_3"),(D_Percent)),SUMPRODUCT(--(D_EffDate="Eff_Date_1"),--(D_Product="SO"),--(D_SC_Name="Oversize Charge"),--(D_Zone="07"),--(D_Category="Ex_Cat_3"),(D_Percent)))</f>
        <v>0</v>
      </c>
      <c r="V38" s="321" cm="1">
        <f t="array" ref="V38">IF(SUMPRODUCT(--(D_EffDate="Eff_Date_2"),--(D_Product="SO"),--(D_SC_Name="Oversize Charge"),--(D_Zone="07"),--(D_Category="Ex_Cat_3"),(D_Percent))=0,SUMPRODUCT(--(D_EffDate="Eff_Date_2"),--(D_Product="SO"),--(D_SC_Name="Oversize Charge"),--(D_Zone="ALL"),--(D_Category="Ex_Cat_3"),(D_Percent)),SUMPRODUCT(--(D_EffDate="Eff_Date_2"),--(D_Product="SO"),--(D_SC_Name="Oversize Charge"),--(D_Zone="07"),--(D_Category="Ex_Cat_3"),(D_Percent)))</f>
        <v>0</v>
      </c>
      <c r="W38" s="84">
        <f>ROUND(($B38*(1-$U38)),2)</f>
        <v>330</v>
      </c>
      <c r="X38" s="84">
        <f t="shared" si="4"/>
        <v>0</v>
      </c>
      <c r="Y38" s="84">
        <f>ROUND(($B38*(1-$V38)),2)</f>
        <v>330</v>
      </c>
      <c r="Z38" s="74" cm="1">
        <f t="array" ref="Z38">SUMPRODUCT(--(Category="Ex_Cat_3"),--(OpCo="Express"),--(Intl="Domestic"),--(Zone=$A38),--(SC_Name="Oversize Charge"),(SC_Count))</f>
        <v>0</v>
      </c>
      <c r="AA38" s="76">
        <f>W38*$Z38</f>
        <v>0</v>
      </c>
      <c r="AB38" s="76">
        <f t="shared" si="2"/>
        <v>0</v>
      </c>
      <c r="AC38" s="76">
        <f>Y38*$Z38</f>
        <v>0</v>
      </c>
    </row>
    <row r="39" spans="1:29" ht="14.5" x14ac:dyDescent="0.35">
      <c r="A39" s="71" t="s">
        <v>931</v>
      </c>
      <c r="B39" s="103"/>
      <c r="C39" s="313"/>
      <c r="D39" s="313"/>
      <c r="E39" s="104"/>
      <c r="F39" s="104"/>
      <c r="G39" s="104"/>
      <c r="H39" s="105">
        <f>SUM(H40:H43)</f>
        <v>0</v>
      </c>
      <c r="I39" s="348">
        <f>SUM(I40:I43)</f>
        <v>0</v>
      </c>
      <c r="J39" s="348">
        <f t="shared" si="0"/>
        <v>0</v>
      </c>
      <c r="K39" s="106">
        <f>SUM(K40:K43)</f>
        <v>0</v>
      </c>
      <c r="L39" s="315"/>
      <c r="M39" s="315"/>
      <c r="N39" s="104"/>
      <c r="O39" s="104"/>
      <c r="P39" s="104"/>
      <c r="Q39" s="105">
        <f>SUM(Q40:Q43)</f>
        <v>0</v>
      </c>
      <c r="R39" s="348">
        <f>SUM(R40:R43)</f>
        <v>0</v>
      </c>
      <c r="S39" s="348">
        <f t="shared" si="1"/>
        <v>0</v>
      </c>
      <c r="T39" s="106">
        <f>SUM(T40:T43)</f>
        <v>0</v>
      </c>
      <c r="U39" s="320"/>
      <c r="V39" s="320"/>
      <c r="W39" s="104"/>
      <c r="X39" s="104"/>
      <c r="Y39" s="104"/>
      <c r="Z39" s="105">
        <f>SUM(Z40:Z43)</f>
        <v>0</v>
      </c>
      <c r="AA39" s="107">
        <f>SUM(AA40:AA43)</f>
        <v>0</v>
      </c>
      <c r="AB39" s="107">
        <f t="shared" si="2"/>
        <v>0</v>
      </c>
      <c r="AC39" s="107">
        <f>SUM(AC40:AC43)</f>
        <v>0</v>
      </c>
    </row>
    <row r="40" spans="1:29" ht="14.5" x14ac:dyDescent="0.35">
      <c r="A40" s="72" t="s">
        <v>923</v>
      </c>
      <c r="B40" s="108">
        <v>255</v>
      </c>
      <c r="C40" s="304" cm="1">
        <f t="array" ref="C40">IF(SUMPRODUCT(--(D_EffDate="Eff_Date_1"),--(D_Product="GR"),--(D_SC_Name="Oversize Charge"),--(D_Zone="2"),--(D_Category="Gr_Cat_1"),(D_Percent))=0,SUMPRODUCT(--(D_EffDate="Eff_Date_1"),--(D_Product="GR"),--(D_SC_Name="Oversize Charge"),--(D_Zone="ALL"),--(D_Category="Gr_Cat_1"),(D_Percent)),SUMPRODUCT(--(D_EffDate="Eff_Date_1"),--(D_Product="GR"),--(D_SC_Name="Oversize Charge"),--(D_Zone="2"),--(D_Category="Gr_Cat_1"),(D_Percent)))</f>
        <v>0</v>
      </c>
      <c r="D40" s="304" cm="1">
        <f t="array" ref="D40">IF(SUMPRODUCT(--(D_EffDate="Eff_Date_2"),--(D_Product="GR"),--(D_SC_Name="Oversize Charge"),--(D_Zone="2"),--(D_Category="Gr_Cat_1"),(D_Percent))=0,SUMPRODUCT(--(D_EffDate="Eff_Date_2"),--(D_Product="GR"),--(D_SC_Name="Oversize Charge"),--(D_Zone="ALL"),--(D_Category="Gr_Cat_1"),(D_Percent)),SUMPRODUCT(--(D_EffDate="Eff_Date_2"),--(D_Product="GR"),--(D_SC_Name="Oversize Charge"),--(D_Zone="2"),--(D_Category="Gr_Cat_1"),(D_Percent)))</f>
        <v>0</v>
      </c>
      <c r="E40" s="109">
        <f>ROUND(($B40*(1-$C40)),2)</f>
        <v>255</v>
      </c>
      <c r="F40" s="108">
        <f t="shared" ref="F40:F43" si="12">G40-E40</f>
        <v>0</v>
      </c>
      <c r="G40" s="109">
        <f>ROUND(($B40*(1-$D40)),2)</f>
        <v>255</v>
      </c>
      <c r="H40" s="79" cm="1">
        <f t="array" ref="H40">SUMPRODUCT(--(Category="Gr_Cat_1"),--(OpCo="Ground"),--(Product&lt;&gt;"Home Delivery"),--(Intl="Domestic"),--(Zone=$A40),--(SC_Name="Oversize Charge"),(SC_Count))</f>
        <v>0</v>
      </c>
      <c r="I40" s="329">
        <f>E40*$H40</f>
        <v>0</v>
      </c>
      <c r="J40" s="329">
        <f t="shared" si="0"/>
        <v>0</v>
      </c>
      <c r="K40" s="80">
        <f>G40*$H40</f>
        <v>0</v>
      </c>
      <c r="L40" s="309" cm="1">
        <f t="array" ref="L40">IF(SUMPRODUCT(--(D_EffDate="Eff_Date_1"),--(D_Product="GR"),--(D_SC_Name="Oversize Charge"),--(D_Zone="2"),--(D_Category="Gr_Cat_2"),(D_Percent))=0,SUMPRODUCT(--(D_EffDate="Eff_Date_1"),--(D_Product="GR"),--(D_SC_Name="Oversize Charge"),--(D_Zone="ALL"),--(D_Category="Gr_Cat_2"),(D_Percent)),SUMPRODUCT(--(D_EffDate="Eff_Date_1"),--(D_Product="GR"),--(D_SC_Name="Oversize Charge"),--(D_Zone="2"),--(D_Category="Gr_Cat_2"),(D_Percent)))</f>
        <v>0</v>
      </c>
      <c r="M40" s="309" cm="1">
        <f t="array" ref="M40">IF(SUMPRODUCT(--(D_EffDate="Eff_Date_2"),--(D_Product="GR"),--(D_SC_Name="Oversize Charge"),--(D_Zone="2"),--(D_Category="Gr_Cat_2"),(D_Percent))=0,SUMPRODUCT(--(D_EffDate="Eff_Date_2"),--(D_Product="GR"),--(D_SC_Name="Oversize Charge"),--(D_Zone="ALL"),--(D_Category="Gr_Cat_2"),(D_Percent)),SUMPRODUCT(--(D_EffDate="Eff_Date_2"),--(D_Product="GR"),--(D_SC_Name="Oversize Charge"),--(D_Zone="2"),--(D_Category="Gr_Cat_2"),(D_Percent)))</f>
        <v>0</v>
      </c>
      <c r="N40" s="109">
        <f>ROUND(($B40*(1-$L40)),2)</f>
        <v>255</v>
      </c>
      <c r="O40" s="109">
        <f t="shared" si="3"/>
        <v>0</v>
      </c>
      <c r="P40" s="109">
        <f>ROUND(($B40*(1-$M40)),2)</f>
        <v>255</v>
      </c>
      <c r="Q40" s="79" cm="1">
        <f t="array" ref="Q40">SUMPRODUCT(--(Category="Gr_Cat_2"),--(OpCo="Ground"),--(Product&lt;&gt;"Home Delivery"),--(Intl="Domestic"),--(Zone=$A40),--(SC_Name="Oversize Charge"),(SC_Count))</f>
        <v>0</v>
      </c>
      <c r="R40" s="329">
        <f>N40*$Q40</f>
        <v>0</v>
      </c>
      <c r="S40" s="329">
        <f t="shared" si="1"/>
        <v>0</v>
      </c>
      <c r="T40" s="80">
        <f>P40*$Q40</f>
        <v>0</v>
      </c>
      <c r="U40" s="321" cm="1">
        <f t="array" ref="U40">IF(SUMPRODUCT(--(D_EffDate="Eff_Date_1"),--(D_Product="GR"),--(D_SC_Name="Oversize Charge"),--(D_Zone="2"),--(D_Category="Gr_Cat_3"),(D_Percent))=0,SUMPRODUCT(--(D_EffDate="Eff_Date_1"),--(D_Product="GR"),--(D_SC_Name="Oversize Charge"),--(D_Zone="ALL"),--(D_Category="Gr_Cat_3"),(D_Percent)),SUMPRODUCT(--(D_EffDate="Eff_Date_1"),--(D_Product="GR"),--(D_SC_Name="Oversize Charge"),--(D_Zone="2"),--(D_Category="Gr_Cat_3"),(D_Percent)))</f>
        <v>0</v>
      </c>
      <c r="V40" s="321" cm="1">
        <f t="array" ref="V40">IF(SUMPRODUCT(--(D_EffDate="Eff_Date_2"),--(D_Product="GR"),--(D_SC_Name="Oversize Charge"),--(D_Zone="2"),--(D_Category="Gr_Cat_3"),(D_Percent))=0,SUMPRODUCT(--(D_EffDate="Eff_Date_2"),--(D_Product="GR"),--(D_SC_Name="Oversize Charge"),--(D_Zone="ALL"),--(D_Category="Gr_Cat_3"),(D_Percent)),SUMPRODUCT(--(D_EffDate="Eff_Date_2"),--(D_Product="GR"),--(D_SC_Name="Oversize Charge"),--(D_Zone="2"),--(D_Category="Gr_Cat_3"),(D_Percent)))</f>
        <v>0</v>
      </c>
      <c r="W40" s="109">
        <f>ROUND(($B40*(1-$U40)),2)</f>
        <v>255</v>
      </c>
      <c r="X40" s="109">
        <f t="shared" si="4"/>
        <v>0</v>
      </c>
      <c r="Y40" s="109">
        <f>ROUND(($B40*(1-$V40)),2)</f>
        <v>255</v>
      </c>
      <c r="Z40" s="79" cm="1">
        <f t="array" ref="Z40">SUMPRODUCT(--(Category="Gr_Cat_3"),--(OpCo="Ground"),--(Product&lt;&gt;"Home Delivery"),--(Intl="Domestic"),--(Zone=$A40),--(SC_Name="Oversize Charge"),(SC_Count))</f>
        <v>0</v>
      </c>
      <c r="AA40" s="81">
        <f>W40*$Z40</f>
        <v>0</v>
      </c>
      <c r="AB40" s="81">
        <f t="shared" si="2"/>
        <v>0</v>
      </c>
      <c r="AC40" s="81">
        <f>Y40*$Z40</f>
        <v>0</v>
      </c>
    </row>
    <row r="41" spans="1:29" ht="14.5" x14ac:dyDescent="0.35">
      <c r="A41" s="72" t="s">
        <v>936</v>
      </c>
      <c r="B41" s="108">
        <v>275</v>
      </c>
      <c r="C41" s="304" cm="1">
        <f t="array" ref="C41">IF(SUMPRODUCT(--(D_EffDate="Eff_Date_1"),--(D_Product="GR"),--(D_SC_Name="Oversize Charge"),--(D_Zone="3"),--(D_Category="Gr_Cat_1"),(D_Percent))=0,SUMPRODUCT(--(D_EffDate="Eff_Date_1"),--(D_Product="GR"),--(D_SC_Name="Oversize Charge"),--(D_Zone="ALL"),--(D_Category="Gr_Cat_1"),(D_Percent)),SUMPRODUCT(--(D_EffDate="Eff_Date_1"),--(D_Product="GR"),--(D_SC_Name="Oversize Charge"),--(D_Zone="3"),--(D_Category="Gr_Cat_1"),(D_Percent)))</f>
        <v>0</v>
      </c>
      <c r="D41" s="304" cm="1">
        <f t="array" ref="D41">IF(SUMPRODUCT(--(D_EffDate="Eff_Date_2"),--(D_Product="GR"),--(D_SC_Name="Oversize Charge"),--(D_Zone="3"),--(D_Category="Gr_Cat_1"),(D_Percent))=0,SUMPRODUCT(--(D_EffDate="Eff_Date_2"),--(D_Product="GR"),--(D_SC_Name="Oversize Charge"),--(D_Zone="ALL"),--(D_Category="Gr_Cat_1"),(D_Percent)),SUMPRODUCT(--(D_EffDate="Eff_Date_2"),--(D_Product="GR"),--(D_SC_Name="Oversize Charge"),--(D_Zone="3"),--(D_Category="Gr_Cat_1"),(D_Percent)))</f>
        <v>0</v>
      </c>
      <c r="E41" s="109">
        <f>ROUND(($B41*(1-$C41)),2)</f>
        <v>275</v>
      </c>
      <c r="F41" s="108">
        <f t="shared" si="12"/>
        <v>0</v>
      </c>
      <c r="G41" s="109">
        <f>ROUND(($B41*(1-$D41)),2)</f>
        <v>275</v>
      </c>
      <c r="H41" s="79" cm="1">
        <f t="array" ref="H41">SUMPRODUCT(--(Category="Gr_Cat_1"),--(OpCo="Ground"),--(Product&lt;&gt;"Home Delivery"),--(Intl="Domestic"),--(Zone=$A41),--(SC_Name="Oversize Charge"),(SC_Count))</f>
        <v>0</v>
      </c>
      <c r="I41" s="329">
        <f>E41*$H41</f>
        <v>0</v>
      </c>
      <c r="J41" s="329">
        <f t="shared" si="0"/>
        <v>0</v>
      </c>
      <c r="K41" s="80">
        <f>G41*$H41</f>
        <v>0</v>
      </c>
      <c r="L41" s="309" cm="1">
        <f t="array" ref="L41">IF(SUMPRODUCT(--(D_EffDate="Eff_Date_1"),--(D_Product="GR"),--(D_SC_Name="Oversize Charge"),--(D_Zone="3"),--(D_Category="Gr_Cat_2"),(D_Percent))=0,SUMPRODUCT(--(D_EffDate="Eff_Date_1"),--(D_Product="GR"),--(D_SC_Name="Oversize Charge"),--(D_Zone="ALL"),--(D_Category="Gr_Cat_2"),(D_Percent)),SUMPRODUCT(--(D_EffDate="Eff_Date_1"),--(D_Product="GR"),--(D_SC_Name="Oversize Charge"),--(D_Zone="3"),--(D_Category="Gr_Cat_2"),(D_Percent)))</f>
        <v>0</v>
      </c>
      <c r="M41" s="309" cm="1">
        <f t="array" ref="M41">IF(SUMPRODUCT(--(D_EffDate="Eff_Date_2"),--(D_Product="GR"),--(D_SC_Name="Oversize Charge"),--(D_Zone="3"),--(D_Category="Gr_Cat_2"),(D_Percent))=0,SUMPRODUCT(--(D_EffDate="Eff_Date_2"),--(D_Product="GR"),--(D_SC_Name="Oversize Charge"),--(D_Zone="ALL"),--(D_Category="Gr_Cat_2"),(D_Percent)),SUMPRODUCT(--(D_EffDate="Eff_Date_2"),--(D_Product="GR"),--(D_SC_Name="Oversize Charge"),--(D_Zone="3"),--(D_Category="Gr_Cat_2"),(D_Percent)))</f>
        <v>0</v>
      </c>
      <c r="N41" s="109">
        <f>ROUND(($B41*(1-$L41)),2)</f>
        <v>275</v>
      </c>
      <c r="O41" s="109">
        <f t="shared" si="3"/>
        <v>0</v>
      </c>
      <c r="P41" s="109">
        <f>ROUND(($B41*(1-$M41)),2)</f>
        <v>275</v>
      </c>
      <c r="Q41" s="79" cm="1">
        <f t="array" ref="Q41">SUMPRODUCT(--(Category="Gr_Cat_2"),--(OpCo="Ground"),--(Product&lt;&gt;"Home Delivery"),--(Intl="Domestic"),--(Zone=$A41),--(SC_Name="Oversize Charge"),(SC_Count))</f>
        <v>0</v>
      </c>
      <c r="R41" s="329">
        <f>N41*$Q41</f>
        <v>0</v>
      </c>
      <c r="S41" s="329">
        <f t="shared" si="1"/>
        <v>0</v>
      </c>
      <c r="T41" s="80">
        <f>P41*$Q41</f>
        <v>0</v>
      </c>
      <c r="U41" s="321" cm="1">
        <f t="array" ref="U41">IF(SUMPRODUCT(--(D_EffDate="Eff_Date_1"),--(D_Product="GR"),--(D_SC_Name="Oversize Charge"),--(D_Zone="3"),--(D_Category="Gr_Cat_3"),(D_Percent))=0,SUMPRODUCT(--(D_EffDate="Eff_Date_1"),--(D_Product="GR"),--(D_SC_Name="Oversize Charge"),--(D_Zone="ALL"),--(D_Category="Gr_Cat_3"),(D_Percent)),SUMPRODUCT(--(D_EffDate="Eff_Date_1"),--(D_Product="GR"),--(D_SC_Name="Oversize Charge"),--(D_Zone="3"),--(D_Category="Gr_Cat_3"),(D_Percent)))</f>
        <v>0</v>
      </c>
      <c r="V41" s="321" cm="1">
        <f t="array" ref="V41">IF(SUMPRODUCT(--(D_EffDate="Eff_Date_2"),--(D_Product="GR"),--(D_SC_Name="Oversize Charge"),--(D_Zone="3"),--(D_Category="Gr_Cat_3"),(D_Percent))=0,SUMPRODUCT(--(D_EffDate="Eff_Date_2"),--(D_Product="GR"),--(D_SC_Name="Oversize Charge"),--(D_Zone="ALL"),--(D_Category="Gr_Cat_3"),(D_Percent)),SUMPRODUCT(--(D_EffDate="Eff_Date_2"),--(D_Product="GR"),--(D_SC_Name="Oversize Charge"),--(D_Zone="3"),--(D_Category="Gr_Cat_3"),(D_Percent)))</f>
        <v>0</v>
      </c>
      <c r="W41" s="109">
        <f>ROUND(($B41*(1-$U41)),2)</f>
        <v>275</v>
      </c>
      <c r="X41" s="109">
        <f t="shared" si="4"/>
        <v>0</v>
      </c>
      <c r="Y41" s="109">
        <f>ROUND(($B41*(1-$V41)),2)</f>
        <v>275</v>
      </c>
      <c r="Z41" s="79" cm="1">
        <f t="array" ref="Z41">SUMPRODUCT(--(Category="Gr_Cat_3"),--(OpCo="Ground"),--(Product&lt;&gt;"Home Delivery"),--(Intl="Domestic"),--(Zone=$A41),--(SC_Name="Oversize Charge"),(SC_Count))</f>
        <v>0</v>
      </c>
      <c r="AA41" s="81">
        <f>W41*$Z41</f>
        <v>0</v>
      </c>
      <c r="AB41" s="81">
        <f t="shared" si="2"/>
        <v>0</v>
      </c>
      <c r="AC41" s="81">
        <f>Y41*$Z41</f>
        <v>0</v>
      </c>
    </row>
    <row r="42" spans="1:29" ht="14.5" x14ac:dyDescent="0.35">
      <c r="A42" s="72" t="s">
        <v>924</v>
      </c>
      <c r="B42" s="108">
        <v>320</v>
      </c>
      <c r="C42" s="304" cm="1">
        <f t="array" ref="C42">IF(SUMPRODUCT(--(D_EffDate="Eff_Date_1"),--(D_Product="GR"),--(D_SC_Name="Oversize Charge"),--(D_Zone="5"),--(D_Category="Gr_Cat_1"),(D_Percent))=0,SUMPRODUCT(--(D_EffDate="Eff_Date_1"),--(D_Product="GR"),--(D_SC_Name="Oversize Charge"),--(D_Zone="ALL"),--(D_Category="Gr_Cat_1"),(D_Percent)),SUMPRODUCT(--(D_EffDate="Eff_Date_1"),--(D_Product="GR"),--(D_SC_Name="Oversize Charge"),--(D_Zone="5"),--(D_Category="Gr_Cat_1"),(D_Percent)))</f>
        <v>0</v>
      </c>
      <c r="D42" s="304" cm="1">
        <f t="array" ref="D42">IF(SUMPRODUCT(--(D_EffDate="Eff_Date_2"),--(D_Product="GR"),--(D_SC_Name="Oversize Charge"),--(D_Zone="5"),--(D_Category="Gr_Cat_1"),(D_Percent))=0,SUMPRODUCT(--(D_EffDate="Eff_Date_2"),--(D_Product="GR"),--(D_SC_Name="Oversize Charge"),--(D_Zone="ALL"),--(D_Category="Gr_Cat_1"),(D_Percent)),SUMPRODUCT(--(D_EffDate="Eff_Date_2"),--(D_Product="GR"),--(D_SC_Name="Oversize Charge"),--(D_Zone="5"),--(D_Category="Gr_Cat_1"),(D_Percent)))</f>
        <v>0</v>
      </c>
      <c r="E42" s="109">
        <f>ROUND(($B42*(1-$C42)),2)</f>
        <v>320</v>
      </c>
      <c r="F42" s="108">
        <f t="shared" si="12"/>
        <v>0</v>
      </c>
      <c r="G42" s="109">
        <f>ROUND(($B42*(1-$D42)),2)</f>
        <v>320</v>
      </c>
      <c r="H42" s="79" cm="1">
        <f t="array" ref="H42">SUMPRODUCT(--(Category="Gr_Cat_1"),--(OpCo="Ground"),--(Product&lt;&gt;"Home Delivery"),--(Intl="Domestic"),--(Zone=$A42),--(SC_Name="Oversize Charge"),(SC_Count))</f>
        <v>0</v>
      </c>
      <c r="I42" s="329">
        <f>E42*$H42</f>
        <v>0</v>
      </c>
      <c r="J42" s="329">
        <f t="shared" si="0"/>
        <v>0</v>
      </c>
      <c r="K42" s="80">
        <f>G42*$H42</f>
        <v>0</v>
      </c>
      <c r="L42" s="309" cm="1">
        <f t="array" ref="L42">IF(SUMPRODUCT(--(D_EffDate="Eff_Date_1"),--(D_Product="GR"),--(D_SC_Name="Oversize Charge"),--(D_Zone="5"),--(D_Category="Gr_Cat_2"),(D_Percent))=0,SUMPRODUCT(--(D_EffDate="Eff_Date_1"),--(D_Product="GR"),--(D_SC_Name="Oversize Charge"),--(D_Zone="ALL"),--(D_Category="Gr_Cat_2"),(D_Percent)),SUMPRODUCT(--(D_EffDate="Eff_Date_1"),--(D_Product="GR"),--(D_SC_Name="Oversize Charge"),--(D_Zone="5"),--(D_Category="Gr_Cat_2"),(D_Percent)))</f>
        <v>0</v>
      </c>
      <c r="M42" s="309" cm="1">
        <f t="array" ref="M42">IF(SUMPRODUCT(--(D_EffDate="Eff_Date_2"),--(D_Product="GR"),--(D_SC_Name="Oversize Charge"),--(D_Zone="5"),--(D_Category="Gr_Cat_2"),(D_Percent))=0,SUMPRODUCT(--(D_EffDate="Eff_Date_2"),--(D_Product="GR"),--(D_SC_Name="Oversize Charge"),--(D_Zone="ALL"),--(D_Category="Gr_Cat_2"),(D_Percent)),SUMPRODUCT(--(D_EffDate="Eff_Date_2"),--(D_Product="GR"),--(D_SC_Name="Oversize Charge"),--(D_Zone="5"),--(D_Category="Gr_Cat_2"),(D_Percent)))</f>
        <v>0</v>
      </c>
      <c r="N42" s="109">
        <f>ROUND(($B42*(1-$L42)),2)</f>
        <v>320</v>
      </c>
      <c r="O42" s="109">
        <f t="shared" si="3"/>
        <v>0</v>
      </c>
      <c r="P42" s="109">
        <f>ROUND(($B42*(1-$M42)),2)</f>
        <v>320</v>
      </c>
      <c r="Q42" s="79" cm="1">
        <f t="array" ref="Q42">SUMPRODUCT(--(Category="Gr_Cat_2"),--(OpCo="Ground"),--(Product&lt;&gt;"Home Delivery"),--(Intl="Domestic"),--(Zone=$A42),--(SC_Name="Oversize Charge"),(SC_Count))</f>
        <v>0</v>
      </c>
      <c r="R42" s="329">
        <f>N42*$Q42</f>
        <v>0</v>
      </c>
      <c r="S42" s="329">
        <f t="shared" si="1"/>
        <v>0</v>
      </c>
      <c r="T42" s="80">
        <f>P42*$Q42</f>
        <v>0</v>
      </c>
      <c r="U42" s="321" cm="1">
        <f t="array" ref="U42">IF(SUMPRODUCT(--(D_EffDate="Eff_Date_1"),--(D_Product="GR"),--(D_SC_Name="Oversize Charge"),--(D_Zone="5"),--(D_Category="Gr_Cat_3"),(D_Percent))=0,SUMPRODUCT(--(D_EffDate="Eff_Date_1"),--(D_Product="GR"),--(D_SC_Name="Oversize Charge"),--(D_Zone="ALL"),--(D_Category="Gr_Cat_3"),(D_Percent)),SUMPRODUCT(--(D_EffDate="Eff_Date_1"),--(D_Product="GR"),--(D_SC_Name="Oversize Charge"),--(D_Zone="5"),--(D_Category="Gr_Cat_3"),(D_Percent)))</f>
        <v>0</v>
      </c>
      <c r="V42" s="321" cm="1">
        <f t="array" ref="V42">IF(SUMPRODUCT(--(D_EffDate="Eff_Date_2"),--(D_Product="GR"),--(D_SC_Name="Oversize Charge"),--(D_Zone="5"),--(D_Category="Gr_Cat_3"),(D_Percent))=0,SUMPRODUCT(--(D_EffDate="Eff_Date_2"),--(D_Product="GR"),--(D_SC_Name="Oversize Charge"),--(D_Zone="ALL"),--(D_Category="Gr_Cat_3"),(D_Percent)),SUMPRODUCT(--(D_EffDate="Eff_Date_2"),--(D_Product="GR"),--(D_SC_Name="Oversize Charge"),--(D_Zone="5"),--(D_Category="Gr_Cat_3"),(D_Percent)))</f>
        <v>0</v>
      </c>
      <c r="W42" s="109">
        <f>ROUND(($B42*(1-$U42)),2)</f>
        <v>320</v>
      </c>
      <c r="X42" s="109">
        <f t="shared" si="4"/>
        <v>0</v>
      </c>
      <c r="Y42" s="109">
        <f>ROUND(($B42*(1-$V42)),2)</f>
        <v>320</v>
      </c>
      <c r="Z42" s="79" cm="1">
        <f t="array" ref="Z42">SUMPRODUCT(--(Category="Gr_Cat_3"),--(OpCo="Ground"),--(Product&lt;&gt;"Home Delivery"),--(Intl="Domestic"),--(Zone=$A42),--(SC_Name="Oversize Charge"),(SC_Count))</f>
        <v>0</v>
      </c>
      <c r="AA42" s="81">
        <f>W42*$Z42</f>
        <v>0</v>
      </c>
      <c r="AB42" s="81">
        <f t="shared" si="2"/>
        <v>0</v>
      </c>
      <c r="AC42" s="81">
        <f>Y42*$Z42</f>
        <v>0</v>
      </c>
    </row>
    <row r="43" spans="1:29" ht="14.5" x14ac:dyDescent="0.35">
      <c r="A43" s="72" t="s">
        <v>937</v>
      </c>
      <c r="B43" s="108">
        <v>330</v>
      </c>
      <c r="C43" s="304" cm="1">
        <f t="array" ref="C43">IF(SUMPRODUCT(--(D_EffDate="Eff_Date_1"),--(D_Product="GR"),--(D_SC_Name="Oversize Charge"),--(D_Zone="7"),--(D_Category="Gr_Cat_1"),(D_Percent))=0,SUMPRODUCT(--(D_EffDate="Eff_Date_1"),--(D_Product="GR"),--(D_SC_Name="Oversize Charge"),--(D_Zone="ALL"),--(D_Category="Gr_Cat_1"),(D_Percent)),SUMPRODUCT(--(D_EffDate="Eff_Date_1"),--(D_Product="GR"),--(D_SC_Name="Oversize Charge"),--(D_Zone="7"),--(D_Category="Gr_Cat_1"),(D_Percent)))</f>
        <v>0</v>
      </c>
      <c r="D43" s="304" cm="1">
        <f t="array" ref="D43">IF(SUMPRODUCT(--(D_EffDate="Eff_Date_2"),--(D_Product="GR"),--(D_SC_Name="Oversize Charge"),--(D_Zone="7"),--(D_Category="Gr_Cat_1"),(D_Percent))=0,SUMPRODUCT(--(D_EffDate="Eff_Date_2"),--(D_Product="GR"),--(D_SC_Name="Oversize Charge"),--(D_Zone="ALL"),--(D_Category="Gr_Cat_1"),(D_Percent)),SUMPRODUCT(--(D_EffDate="Eff_Date_2"),--(D_Product="GR"),--(D_SC_Name="Oversize Charge"),--(D_Zone="7"),--(D_Category="Gr_Cat_1"),(D_Percent)))</f>
        <v>0</v>
      </c>
      <c r="E43" s="109">
        <f>ROUND(($B43*(1-$C43)),2)</f>
        <v>330</v>
      </c>
      <c r="F43" s="108">
        <f t="shared" si="12"/>
        <v>0</v>
      </c>
      <c r="G43" s="109">
        <f>ROUND(($B43*(1-$D43)),2)</f>
        <v>330</v>
      </c>
      <c r="H43" s="79" cm="1">
        <f t="array" ref="H43">SUMPRODUCT(--(Category="Gr_Cat_1"),--(OpCo="Ground"),--(Product&lt;&gt;"Home Delivery"),--(Intl="Domestic"),--(Zone=$A43),--(SC_Name="Oversize Charge"),(SC_Count))</f>
        <v>0</v>
      </c>
      <c r="I43" s="329">
        <f>E43*$H43</f>
        <v>0</v>
      </c>
      <c r="J43" s="329">
        <f t="shared" si="0"/>
        <v>0</v>
      </c>
      <c r="K43" s="80">
        <f>G43*$H43</f>
        <v>0</v>
      </c>
      <c r="L43" s="309" cm="1">
        <f t="array" ref="L43">IF(SUMPRODUCT(--(D_EffDate="Eff_Date_1"),--(D_Product="GR"),--(D_SC_Name="Oversize Charge"),--(D_Zone="7"),--(D_Category="Gr_Cat_2"),(D_Percent))=0,SUMPRODUCT(--(D_EffDate="Eff_Date_1"),--(D_Product="GR"),--(D_SC_Name="Oversize Charge"),--(D_Zone="ALL"),--(D_Category="Gr_Cat_2"),(D_Percent)),SUMPRODUCT(--(D_EffDate="Eff_Date_1"),--(D_Product="GR"),--(D_SC_Name="Oversize Charge"),--(D_Zone="7"),--(D_Category="Gr_Cat_2"),(D_Percent)))</f>
        <v>0</v>
      </c>
      <c r="M43" s="309" cm="1">
        <f t="array" ref="M43">IF(SUMPRODUCT(--(D_EffDate="Eff_Date_2"),--(D_Product="GR"),--(D_SC_Name="Oversize Charge"),--(D_Zone="7"),--(D_Category="Gr_Cat_2"),(D_Percent))=0,SUMPRODUCT(--(D_EffDate="Eff_Date_2"),--(D_Product="GR"),--(D_SC_Name="Oversize Charge"),--(D_Zone="ALL"),--(D_Category="Gr_Cat_2"),(D_Percent)),SUMPRODUCT(--(D_EffDate="Eff_Date_2"),--(D_Product="GR"),--(D_SC_Name="Oversize Charge"),--(D_Zone="7"),--(D_Category="Gr_Cat_2"),(D_Percent)))</f>
        <v>0</v>
      </c>
      <c r="N43" s="109">
        <f>ROUND(($B43*(1-$L43)),2)</f>
        <v>330</v>
      </c>
      <c r="O43" s="109">
        <f t="shared" si="3"/>
        <v>0</v>
      </c>
      <c r="P43" s="109">
        <f>ROUND(($B43*(1-$M43)),2)</f>
        <v>330</v>
      </c>
      <c r="Q43" s="79" cm="1">
        <f t="array" ref="Q43">SUMPRODUCT(--(Category="Gr_Cat_2"),--(OpCo="Ground"),--(Product&lt;&gt;"Home Delivery"),--(Intl="Domestic"),--(Zone=$A43),--(SC_Name="Oversize Charge"),(SC_Count))</f>
        <v>0</v>
      </c>
      <c r="R43" s="329">
        <f>N43*$Q43</f>
        <v>0</v>
      </c>
      <c r="S43" s="329">
        <f t="shared" si="1"/>
        <v>0</v>
      </c>
      <c r="T43" s="80">
        <f>P43*$Q43</f>
        <v>0</v>
      </c>
      <c r="U43" s="321" cm="1">
        <f t="array" ref="U43">IF(SUMPRODUCT(--(D_EffDate="Eff_Date_1"),--(D_Product="GR"),--(D_SC_Name="Oversize Charge"),--(D_Zone="7"),--(D_Category="Gr_Cat_3"),(D_Percent))=0,SUMPRODUCT(--(D_EffDate="Eff_Date_1"),--(D_Product="GR"),--(D_SC_Name="Oversize Charge"),--(D_Zone="ALL"),--(D_Category="Gr_Cat_3"),(D_Percent)),SUMPRODUCT(--(D_EffDate="Eff_Date_1"),--(D_Product="GR"),--(D_SC_Name="Oversize Charge"),--(D_Zone="7"),--(D_Category="Gr_Cat_3"),(D_Percent)))</f>
        <v>0</v>
      </c>
      <c r="V43" s="321" cm="1">
        <f t="array" ref="V43">IF(SUMPRODUCT(--(D_EffDate="Eff_Date_2"),--(D_Product="GR"),--(D_SC_Name="Oversize Charge"),--(D_Zone="7"),--(D_Category="Gr_Cat_3"),(D_Percent))=0,SUMPRODUCT(--(D_EffDate="Eff_Date_2"),--(D_Product="GR"),--(D_SC_Name="Oversize Charge"),--(D_Zone="ALL"),--(D_Category="Gr_Cat_3"),(D_Percent)),SUMPRODUCT(--(D_EffDate="Eff_Date_2"),--(D_Product="GR"),--(D_SC_Name="Oversize Charge"),--(D_Zone="7"),--(D_Category="Gr_Cat_3"),(D_Percent)))</f>
        <v>0</v>
      </c>
      <c r="W43" s="109">
        <f>ROUND(($B43*(1-$U43)),2)</f>
        <v>330</v>
      </c>
      <c r="X43" s="109">
        <f t="shared" si="4"/>
        <v>0</v>
      </c>
      <c r="Y43" s="109">
        <f>ROUND(($B43*(1-$V43)),2)</f>
        <v>330</v>
      </c>
      <c r="Z43" s="79" cm="1">
        <f t="array" ref="Z43">SUMPRODUCT(--(Category="Gr_Cat_3"),--(OpCo="Ground"),--(Product&lt;&gt;"Home Delivery"),--(Intl="Domestic"),--(Zone=$A43),--(SC_Name="Oversize Charge"),(SC_Count))</f>
        <v>0</v>
      </c>
      <c r="AA43" s="81">
        <f>W43*$Z43</f>
        <v>0</v>
      </c>
      <c r="AB43" s="81">
        <f t="shared" si="2"/>
        <v>0</v>
      </c>
      <c r="AC43" s="81">
        <f>Y43*$Z43</f>
        <v>0</v>
      </c>
    </row>
    <row r="44" spans="1:29" s="3" customFormat="1" ht="14.5" x14ac:dyDescent="0.35">
      <c r="A44" s="70" t="s">
        <v>932</v>
      </c>
      <c r="B44" s="110"/>
      <c r="C44" s="313"/>
      <c r="D44" s="313"/>
      <c r="E44" s="111"/>
      <c r="F44" s="111"/>
      <c r="G44" s="111"/>
      <c r="H44" s="113">
        <f>SUM(H45:H48)</f>
        <v>0</v>
      </c>
      <c r="I44" s="349">
        <f>SUM(I45:I48)</f>
        <v>0</v>
      </c>
      <c r="J44" s="349">
        <f t="shared" si="0"/>
        <v>0</v>
      </c>
      <c r="K44" s="101">
        <f>SUM(K45:K48)</f>
        <v>0</v>
      </c>
      <c r="L44" s="315"/>
      <c r="M44" s="315"/>
      <c r="N44" s="110"/>
      <c r="O44" s="110"/>
      <c r="P44" s="111"/>
      <c r="Q44" s="113">
        <f>SUM(Q45:Q48)</f>
        <v>0</v>
      </c>
      <c r="R44" s="349">
        <f>SUM(R45:R48)</f>
        <v>0</v>
      </c>
      <c r="S44" s="349">
        <f t="shared" si="1"/>
        <v>0</v>
      </c>
      <c r="T44" s="101">
        <f>SUM(T45:T48)</f>
        <v>0</v>
      </c>
      <c r="U44" s="320"/>
      <c r="V44" s="320"/>
      <c r="W44" s="110"/>
      <c r="X44" s="111"/>
      <c r="Y44" s="111"/>
      <c r="Z44" s="113">
        <f>SUM(Z45:Z48)</f>
        <v>0</v>
      </c>
      <c r="AA44" s="324">
        <f>SUM(AA45:AA48)</f>
        <v>0</v>
      </c>
      <c r="AB44" s="324">
        <f t="shared" si="2"/>
        <v>0</v>
      </c>
      <c r="AC44" s="324">
        <f>SUM(AC45:AC48)</f>
        <v>0</v>
      </c>
    </row>
    <row r="45" spans="1:29" ht="14.5" x14ac:dyDescent="0.35">
      <c r="A45" s="73" t="s">
        <v>923</v>
      </c>
      <c r="B45" s="102">
        <v>255</v>
      </c>
      <c r="C45" s="304" cm="1">
        <f t="array" ref="C45">IF(SUMPRODUCT(--(D_EffDate="Eff_Date_1"),--(D_Product="HD"),--(D_SC_Name="Oversize Charge"),--(D_Zone="2"),--(D_Category="Gr_Cat_1"),(D_Percent))=0,SUMPRODUCT(--(D_EffDate="Eff_Date_1"),--(D_Product="HD"),--(D_SC_Name="Oversize Charge"),--(D_Zone="ALL"),--(D_Category="Gr_Cat_1"),(D_Percent)),SUMPRODUCT(--(D_EffDate="Eff_Date_1"),--(D_Product="HD"),--(D_SC_Name="Oversize Charge"),--(D_Zone="2"),--(D_Category="Gr_Cat_1"),(D_Percent)))</f>
        <v>0</v>
      </c>
      <c r="D45" s="304" cm="1">
        <f t="array" ref="D45">IF(SUMPRODUCT(--(D_EffDate="Eff_Date_2"),--(D_Product="HD"),--(D_SC_Name="Oversize Charge"),--(D_Zone="2"),--(D_Category="Gr_Cat_1"),(D_Percent))=0,SUMPRODUCT(--(D_EffDate="Eff_Date_2"),--(D_Product="HD"),--(D_SC_Name="Oversize Charge"),--(D_Zone="ALL"),--(D_Category="Gr_Cat_1"),(D_Percent)),SUMPRODUCT(--(D_EffDate="Eff_Date_2"),--(D_Product="HD"),--(D_SC_Name="Oversize Charge"),--(D_Zone="2"),--(D_Category="Gr_Cat_1"),(D_Percent)))</f>
        <v>0</v>
      </c>
      <c r="E45" s="83">
        <f>ROUND(($B45*(1-$C45)),2)</f>
        <v>255</v>
      </c>
      <c r="F45" s="102">
        <f t="shared" ref="F45:F48" si="13">G45-E45</f>
        <v>0</v>
      </c>
      <c r="G45" s="83">
        <f>ROUND(($B45*(1-$D45)),2)</f>
        <v>255</v>
      </c>
      <c r="H45" s="74" cm="1">
        <f t="array" ref="H45">SUMPRODUCT(--(Category="Gr_Cat_1"),--(OpCo="Ground"),--(Product="Home Delivery"),--(Intl="Domestic"),--(Zone=$A45),--(SC_Name="Oversize Charge"),(SC_Count))</f>
        <v>0</v>
      </c>
      <c r="I45" s="328">
        <f>E45*$H45</f>
        <v>0</v>
      </c>
      <c r="J45" s="328">
        <f t="shared" si="0"/>
        <v>0</v>
      </c>
      <c r="K45" s="75">
        <f>G45*$H45</f>
        <v>0</v>
      </c>
      <c r="L45" s="309" cm="1">
        <f t="array" ref="L45">IF(SUMPRODUCT(--(D_EffDate="Eff_Date_1"),--(D_Product="HD"),--(D_SC_Name="Oversize Charge"),--(D_Zone="2"),--(D_Category="Gr_Cat_2"),(D_Percent))=0,SUMPRODUCT(--(D_EffDate="Eff_Date_1"),--(D_Product="HD"),--(D_SC_Name="Oversize Charge"),--(D_Zone="ALL"),--(D_Category="Gr_Cat_2"),(D_Percent)),SUMPRODUCT(--(D_EffDate="Eff_Date_1"),--(D_Product="HD"),--(D_SC_Name="Oversize Charge"),--(D_Zone="2"),--(D_Category="Gr_Cat_2"),(D_Percent)))</f>
        <v>0</v>
      </c>
      <c r="M45" s="309" cm="1">
        <f t="array" ref="M45">IF(SUMPRODUCT(--(D_EffDate="Eff_Date_2"),--(D_Product="HD"),--(D_SC_Name="Oversize Charge"),--(D_Zone="2"),--(D_Category="Gr_Cat_2"),(D_Percent))=0,SUMPRODUCT(--(D_EffDate="Eff_Date_2"),--(D_Product="HD"),--(D_SC_Name="Oversize Charge"),--(D_Zone="ALL"),--(D_Category="Gr_Cat_2"),(D_Percent)),SUMPRODUCT(--(D_EffDate="Eff_Date_2"),--(D_Product="HD"),--(D_SC_Name="Oversize Charge"),--(D_Zone="2"),--(D_Category="Gr_Cat_2"),(D_Percent)))</f>
        <v>0</v>
      </c>
      <c r="N45" s="102">
        <f>ROUND(($B45*(1-$L45)),2)</f>
        <v>255</v>
      </c>
      <c r="O45" s="102">
        <f t="shared" si="3"/>
        <v>0</v>
      </c>
      <c r="P45" s="83">
        <f>ROUND(($B45*(1-$M45)),2)</f>
        <v>255</v>
      </c>
      <c r="Q45" s="74" cm="1">
        <f t="array" ref="Q45">SUMPRODUCT(--(Category="Gr_Cat_2"),--(OpCo="Ground"),--(Product="Home Delivery"),--(Intl="Domestic"),--(Zone=$A45),--(SC_Name="Oversize Charge"),(SC_Count))</f>
        <v>0</v>
      </c>
      <c r="R45" s="328">
        <f>N45*$Q45</f>
        <v>0</v>
      </c>
      <c r="S45" s="328">
        <f t="shared" si="1"/>
        <v>0</v>
      </c>
      <c r="T45" s="75">
        <f>P45*$Q45</f>
        <v>0</v>
      </c>
      <c r="U45" s="321" cm="1">
        <f t="array" ref="U45">IF(SUMPRODUCT(--(D_EffDate="Eff_Date_1"),--(D_Product="HD"),--(D_SC_Name="Oversize Charge"),--(D_Zone="2"),--(D_Category="Gr_Cat_3"),(D_Percent))=0,SUMPRODUCT(--(D_EffDate="Eff_Date_1"),--(D_Product="HD"),--(D_SC_Name="Oversize Charge"),--(D_Zone="ALL"),--(D_Category="Gr_Cat_3"),(D_Percent)),SUMPRODUCT(--(D_EffDate="Eff_Date_1"),--(D_Product="HD"),--(D_SC_Name="Oversize Charge"),--(D_Zone="2"),--(D_Category="Gr_Cat_3"),(D_Percent)))</f>
        <v>0</v>
      </c>
      <c r="V45" s="321" cm="1">
        <f t="array" ref="V45">IF(SUMPRODUCT(--(D_EffDate="Eff_Date_2"),--(D_Product="HD"),--(D_SC_Name="Oversize Charge"),--(D_Zone="2"),--(D_Category="Gr_Cat_3"),(D_Percent))=0,SUMPRODUCT(--(D_EffDate="Eff_Date_2"),--(D_Product="HD"),--(D_SC_Name="Oversize Charge"),--(D_Zone="ALL"),--(D_Category="Gr_Cat_3"),(D_Percent)),SUMPRODUCT(--(D_EffDate="Eff_Date_2"),--(D_Product="HD"),--(D_SC_Name="Oversize Charge"),--(D_Zone="2"),--(D_Category="Gr_Cat_3"),(D_Percent)))</f>
        <v>0</v>
      </c>
      <c r="W45" s="102">
        <f>ROUND(($B45*(1-$U45)),2)</f>
        <v>255</v>
      </c>
      <c r="X45" s="84">
        <f t="shared" si="4"/>
        <v>0</v>
      </c>
      <c r="Y45" s="83">
        <f>ROUND(($B45*(1-$V45)),2)</f>
        <v>255</v>
      </c>
      <c r="Z45" s="74" cm="1">
        <f t="array" ref="Z45">SUMPRODUCT(--(Category="Gr_Cat_3"),--(OpCo="Ground"),--(Product="Home Delivery"),--(Intl="Domestic"),--(Zone=$A45),--(SC_Name="Oversize Charge"),(SC_Count))</f>
        <v>0</v>
      </c>
      <c r="AA45" s="76">
        <f>W45*$Z45</f>
        <v>0</v>
      </c>
      <c r="AB45" s="76">
        <f t="shared" si="2"/>
        <v>0</v>
      </c>
      <c r="AC45" s="76">
        <f>Y45*$Z45</f>
        <v>0</v>
      </c>
    </row>
    <row r="46" spans="1:29" ht="14.5" x14ac:dyDescent="0.35">
      <c r="A46" s="73" t="s">
        <v>936</v>
      </c>
      <c r="B46" s="102">
        <v>275</v>
      </c>
      <c r="C46" s="304" cm="1">
        <f t="array" ref="C46">IF(SUMPRODUCT(--(D_EffDate="Eff_Date_1"),--(D_Product="HD"),--(D_SC_Name="Oversize Charge"),--(D_Zone="3"),--(D_Category="Gr_Cat_1"),(D_Percent))=0,SUMPRODUCT(--(D_EffDate="Eff_Date_1"),--(D_Product="HD"),--(D_SC_Name="Oversize Charge"),--(D_Zone="ALL"),--(D_Category="Gr_Cat_1"),(D_Percent)),SUMPRODUCT(--(D_EffDate="Eff_Date_1"),--(D_Product="HD"),--(D_SC_Name="Oversize Charge"),--(D_Zone="3"),--(D_Category="Gr_Cat_1"),(D_Percent)))</f>
        <v>0</v>
      </c>
      <c r="D46" s="304" cm="1">
        <f t="array" ref="D46">IF(SUMPRODUCT(--(D_EffDate="Eff_Date_2"),--(D_Product="HD"),--(D_SC_Name="Oversize Charge"),--(D_Zone="3"),--(D_Category="Gr_Cat_1"),(D_Percent))=0,SUMPRODUCT(--(D_EffDate="Eff_Date_2"),--(D_Product="HD"),--(D_SC_Name="Oversize Charge"),--(D_Zone="ALL"),--(D_Category="Gr_Cat_1"),(D_Percent)),SUMPRODUCT(--(D_EffDate="Eff_Date_2"),--(D_Product="HD"),--(D_SC_Name="Oversize Charge"),--(D_Zone="3"),--(D_Category="Gr_Cat_1"),(D_Percent)))</f>
        <v>0</v>
      </c>
      <c r="E46" s="83">
        <f>ROUND(($B46*(1-$C46)),2)</f>
        <v>275</v>
      </c>
      <c r="F46" s="102">
        <f t="shared" si="13"/>
        <v>0</v>
      </c>
      <c r="G46" s="83">
        <f>ROUND(($B46*(1-$D46)),2)</f>
        <v>275</v>
      </c>
      <c r="H46" s="74" cm="1">
        <f t="array" ref="H46">SUMPRODUCT(--(Category="Gr_Cat_1"),--(OpCo="Ground"),--(Product="Home Delivery"),--(Intl="Domestic"),--(Zone=$A46),--(SC_Name="Oversize Charge"),(SC_Count))</f>
        <v>0</v>
      </c>
      <c r="I46" s="328">
        <f>E46*$H46</f>
        <v>0</v>
      </c>
      <c r="J46" s="328">
        <f t="shared" si="0"/>
        <v>0</v>
      </c>
      <c r="K46" s="75">
        <f>G46*$H46</f>
        <v>0</v>
      </c>
      <c r="L46" s="309" cm="1">
        <f t="array" ref="L46">IF(SUMPRODUCT(--(D_EffDate="Eff_Date_1"),--(D_Product="HD"),--(D_SC_Name="Oversize Charge"),--(D_Zone="3"),--(D_Category="Gr_Cat_2"),(D_Percent))=0,SUMPRODUCT(--(D_EffDate="Eff_Date_1"),--(D_Product="HD"),--(D_SC_Name="Oversize Charge"),--(D_Zone="ALL"),--(D_Category="Gr_Cat_2"),(D_Percent)),SUMPRODUCT(--(D_EffDate="Eff_Date_1"),--(D_Product="HD"),--(D_SC_Name="Oversize Charge"),--(D_Zone="3"),--(D_Category="Gr_Cat_2"),(D_Percent)))</f>
        <v>0</v>
      </c>
      <c r="M46" s="309" cm="1">
        <f t="array" ref="M46">IF(SUMPRODUCT(--(D_EffDate="Eff_Date_2"),--(D_Product="HD"),--(D_SC_Name="Oversize Charge"),--(D_Zone="3"),--(D_Category="Gr_Cat_2"),(D_Percent))=0,SUMPRODUCT(--(D_EffDate="Eff_Date_2"),--(D_Product="HD"),--(D_SC_Name="Oversize Charge"),--(D_Zone="ALL"),--(D_Category="Gr_Cat_2"),(D_Percent)),SUMPRODUCT(--(D_EffDate="Eff_Date_2"),--(D_Product="HD"),--(D_SC_Name="Oversize Charge"),--(D_Zone="3"),--(D_Category="Gr_Cat_2"),(D_Percent)))</f>
        <v>0</v>
      </c>
      <c r="N46" s="102">
        <f>ROUND(($B46*(1-$L46)),2)</f>
        <v>275</v>
      </c>
      <c r="O46" s="102">
        <f t="shared" si="3"/>
        <v>0</v>
      </c>
      <c r="P46" s="83">
        <f>ROUND(($B46*(1-$M46)),2)</f>
        <v>275</v>
      </c>
      <c r="Q46" s="74" cm="1">
        <f t="array" ref="Q46">SUMPRODUCT(--(Category="Gr_Cat_2"),--(OpCo="Ground"),--(Product="Home Delivery"),--(Intl="Domestic"),--(Zone=$A46),--(SC_Name="Oversize Charge"),(SC_Count))</f>
        <v>0</v>
      </c>
      <c r="R46" s="328">
        <f>N46*$Q46</f>
        <v>0</v>
      </c>
      <c r="S46" s="328">
        <f t="shared" si="1"/>
        <v>0</v>
      </c>
      <c r="T46" s="75">
        <f>P46*$Q46</f>
        <v>0</v>
      </c>
      <c r="U46" s="321" cm="1">
        <f t="array" ref="U46">IF(SUMPRODUCT(--(D_EffDate="Eff_Date_1"),--(D_Product="HD"),--(D_SC_Name="Oversize Charge"),--(D_Zone="3"),--(D_Category="Gr_Cat_3"),(D_Percent))=0,SUMPRODUCT(--(D_EffDate="Eff_Date_1"),--(D_Product="HD"),--(D_SC_Name="Oversize Charge"),--(D_Zone="ALL"),--(D_Category="Gr_Cat_3"),(D_Percent)),SUMPRODUCT(--(D_EffDate="Eff_Date_1"),--(D_Product="HD"),--(D_SC_Name="Oversize Charge"),--(D_Zone="3"),--(D_Category="Gr_Cat_3"),(D_Percent)))</f>
        <v>0</v>
      </c>
      <c r="V46" s="321" cm="1">
        <f t="array" ref="V46">IF(SUMPRODUCT(--(D_EffDate="Eff_Date_2"),--(D_Product="HD"),--(D_SC_Name="Oversize Charge"),--(D_Zone="3"),--(D_Category="Gr_Cat_3"),(D_Percent))=0,SUMPRODUCT(--(D_EffDate="Eff_Date_2"),--(D_Product="HD"),--(D_SC_Name="Oversize Charge"),--(D_Zone="ALL"),--(D_Category="Gr_Cat_3"),(D_Percent)),SUMPRODUCT(--(D_EffDate="Eff_Date_2"),--(D_Product="HD"),--(D_SC_Name="Oversize Charge"),--(D_Zone="3"),--(D_Category="Gr_Cat_3"),(D_Percent)))</f>
        <v>0</v>
      </c>
      <c r="W46" s="102">
        <f>ROUND(($B46*(1-$U46)),2)</f>
        <v>275</v>
      </c>
      <c r="X46" s="84">
        <f t="shared" si="4"/>
        <v>0</v>
      </c>
      <c r="Y46" s="83">
        <f>ROUND(($B46*(1-$V46)),2)</f>
        <v>275</v>
      </c>
      <c r="Z46" s="74" cm="1">
        <f t="array" ref="Z46">SUMPRODUCT(--(Category="Gr_Cat_3"),--(OpCo="Ground"),--(Product="Home Delivery"),--(Intl="Domestic"),--(Zone=$A46),--(SC_Name="Oversize Charge"),(SC_Count))</f>
        <v>0</v>
      </c>
      <c r="AA46" s="76">
        <f>W46*$Z46</f>
        <v>0</v>
      </c>
      <c r="AB46" s="76">
        <f t="shared" si="2"/>
        <v>0</v>
      </c>
      <c r="AC46" s="76">
        <f>Y46*$Z46</f>
        <v>0</v>
      </c>
    </row>
    <row r="47" spans="1:29" ht="14.5" x14ac:dyDescent="0.35">
      <c r="A47" s="73" t="s">
        <v>924</v>
      </c>
      <c r="B47" s="102">
        <v>320</v>
      </c>
      <c r="C47" s="304" cm="1">
        <f t="array" ref="C47">IF(SUMPRODUCT(--(D_EffDate="Eff_Date_1"),--(D_Product="HD"),--(D_SC_Name="Oversize Charge"),--(D_Zone="5"),--(D_Category="Gr_Cat_1"),(D_Percent))=0,SUMPRODUCT(--(D_EffDate="Eff_Date_1"),--(D_Product="HD"),--(D_SC_Name="Oversize Charge"),--(D_Zone="ALL"),--(D_Category="Gr_Cat_1"),(D_Percent)),SUMPRODUCT(--(D_EffDate="Eff_Date_1"),--(D_Product="HD"),--(D_SC_Name="Oversize Charge"),--(D_Zone="5"),--(D_Category="Gr_Cat_1"),(D_Percent)))</f>
        <v>0</v>
      </c>
      <c r="D47" s="304" cm="1">
        <f t="array" ref="D47">IF(SUMPRODUCT(--(D_EffDate="Eff_Date_2"),--(D_Product="HD"),--(D_SC_Name="Oversize Charge"),--(D_Zone="5"),--(D_Category="Gr_Cat_1"),(D_Percent))=0,SUMPRODUCT(--(D_EffDate="Eff_Date_2"),--(D_Product="HD"),--(D_SC_Name="Oversize Charge"),--(D_Zone="ALL"),--(D_Category="Gr_Cat_1"),(D_Percent)),SUMPRODUCT(--(D_EffDate="Eff_Date_2"),--(D_Product="HD"),--(D_SC_Name="Oversize Charge"),--(D_Zone="5"),--(D_Category="Gr_Cat_1"),(D_Percent)))</f>
        <v>0</v>
      </c>
      <c r="E47" s="83">
        <f>ROUND(($B47*(1-$C47)),2)</f>
        <v>320</v>
      </c>
      <c r="F47" s="102">
        <f t="shared" si="13"/>
        <v>0</v>
      </c>
      <c r="G47" s="83">
        <f>ROUND(($B47*(1-$D47)),2)</f>
        <v>320</v>
      </c>
      <c r="H47" s="74" cm="1">
        <f t="array" ref="H47">SUMPRODUCT(--(Category="Gr_Cat_1"),--(OpCo="Ground"),--(Product="Home Delivery"),--(Intl="Domestic"),--(Zone=$A47),--(SC_Name="Oversize Charge"),(SC_Count))</f>
        <v>0</v>
      </c>
      <c r="I47" s="328">
        <f>E47*$H47</f>
        <v>0</v>
      </c>
      <c r="J47" s="328">
        <f t="shared" si="0"/>
        <v>0</v>
      </c>
      <c r="K47" s="75">
        <f>G47*$H47</f>
        <v>0</v>
      </c>
      <c r="L47" s="309" cm="1">
        <f t="array" ref="L47">IF(SUMPRODUCT(--(D_EffDate="Eff_Date_1"),--(D_Product="HD"),--(D_SC_Name="Oversize Charge"),--(D_Zone="5"),--(D_Category="Gr_Cat_2"),(D_Percent))=0,SUMPRODUCT(--(D_EffDate="Eff_Date_1"),--(D_Product="HD"),--(D_SC_Name="Oversize Charge"),--(D_Zone="ALL"),--(D_Category="Gr_Cat_2"),(D_Percent)),SUMPRODUCT(--(D_EffDate="Eff_Date_1"),--(D_Product="HD"),--(D_SC_Name="Oversize Charge"),--(D_Zone="5"),--(D_Category="Gr_Cat_2"),(D_Percent)))</f>
        <v>0</v>
      </c>
      <c r="M47" s="309" cm="1">
        <f t="array" ref="M47">IF(SUMPRODUCT(--(D_EffDate="Eff_Date_2"),--(D_Product="HD"),--(D_SC_Name="Oversize Charge"),--(D_Zone="5"),--(D_Category="Gr_Cat_2"),(D_Percent))=0,SUMPRODUCT(--(D_EffDate="Eff_Date_2"),--(D_Product="HD"),--(D_SC_Name="Oversize Charge"),--(D_Zone="ALL"),--(D_Category="Gr_Cat_2"),(D_Percent)),SUMPRODUCT(--(D_EffDate="Eff_Date_2"),--(D_Product="HD"),--(D_SC_Name="Oversize Charge"),--(D_Zone="5"),--(D_Category="Gr_Cat_2"),(D_Percent)))</f>
        <v>0</v>
      </c>
      <c r="N47" s="102">
        <f>ROUND(($B47*(1-$L47)),2)</f>
        <v>320</v>
      </c>
      <c r="O47" s="102">
        <f t="shared" si="3"/>
        <v>0</v>
      </c>
      <c r="P47" s="83">
        <f>ROUND(($B47*(1-$M47)),2)</f>
        <v>320</v>
      </c>
      <c r="Q47" s="74" cm="1">
        <f t="array" ref="Q47">SUMPRODUCT(--(Category="Gr_Cat_2"),--(OpCo="Ground"),--(Product="Home Delivery"),--(Intl="Domestic"),--(Zone=$A47),--(SC_Name="Oversize Charge"),(SC_Count))</f>
        <v>0</v>
      </c>
      <c r="R47" s="328">
        <f>N47*$Q47</f>
        <v>0</v>
      </c>
      <c r="S47" s="328">
        <f t="shared" si="1"/>
        <v>0</v>
      </c>
      <c r="T47" s="75">
        <f>P47*$Q47</f>
        <v>0</v>
      </c>
      <c r="U47" s="321" cm="1">
        <f t="array" ref="U47">IF(SUMPRODUCT(--(D_EffDate="Eff_Date_1"),--(D_Product="HD"),--(D_SC_Name="Oversize Charge"),--(D_Zone="5"),--(D_Category="Gr_Cat_3"),(D_Percent))=0,SUMPRODUCT(--(D_EffDate="Eff_Date_1"),--(D_Product="HD"),--(D_SC_Name="Oversize Charge"),--(D_Zone="ALL"),--(D_Category="Gr_Cat_3"),(D_Percent)),SUMPRODUCT(--(D_EffDate="Eff_Date_1"),--(D_Product="HD"),--(D_SC_Name="Oversize Charge"),--(D_Zone="5"),--(D_Category="Gr_Cat_3"),(D_Percent)))</f>
        <v>0</v>
      </c>
      <c r="V47" s="321" cm="1">
        <f t="array" ref="V47">IF(SUMPRODUCT(--(D_EffDate="Eff_Date_2"),--(D_Product="HD"),--(D_SC_Name="Oversize Charge"),--(D_Zone="5"),--(D_Category="Gr_Cat_3"),(D_Percent))=0,SUMPRODUCT(--(D_EffDate="Eff_Date_2"),--(D_Product="HD"),--(D_SC_Name="Oversize Charge"),--(D_Zone="ALL"),--(D_Category="Gr_Cat_3"),(D_Percent)),SUMPRODUCT(--(D_EffDate="Eff_Date_2"),--(D_Product="HD"),--(D_SC_Name="Oversize Charge"),--(D_Zone="5"),--(D_Category="Gr_Cat_3"),(D_Percent)))</f>
        <v>0</v>
      </c>
      <c r="W47" s="102">
        <f>ROUND(($B47*(1-$U47)),2)</f>
        <v>320</v>
      </c>
      <c r="X47" s="84">
        <f t="shared" si="4"/>
        <v>0</v>
      </c>
      <c r="Y47" s="83">
        <f>ROUND(($B47*(1-$V47)),2)</f>
        <v>320</v>
      </c>
      <c r="Z47" s="74" cm="1">
        <f t="array" ref="Z47">SUMPRODUCT(--(Category="Gr_Cat_3"),--(OpCo="Ground"),--(Product="Home Delivery"),--(Intl="Domestic"),--(Zone=$A47),--(SC_Name="Oversize Charge"),(SC_Count))</f>
        <v>0</v>
      </c>
      <c r="AA47" s="76">
        <f>W47*$Z47</f>
        <v>0</v>
      </c>
      <c r="AB47" s="76">
        <f t="shared" si="2"/>
        <v>0</v>
      </c>
      <c r="AC47" s="76">
        <f>Y47*$Z47</f>
        <v>0</v>
      </c>
    </row>
    <row r="48" spans="1:29" ht="14.5" x14ac:dyDescent="0.35">
      <c r="A48" s="114" t="s">
        <v>937</v>
      </c>
      <c r="B48" s="115">
        <v>330</v>
      </c>
      <c r="C48" s="314" cm="1">
        <f t="array" ref="C48">IF(SUMPRODUCT(--(D_EffDate="Eff_Date_1"),--(D_Product="HD"),--(D_SC_Name="Oversize Charge"),--(D_Zone="7"),--(D_Category="Gr_Cat_1"),(D_Percent))=0,SUMPRODUCT(--(D_EffDate="Eff_Date_1"),--(D_Product="HD"),--(D_SC_Name="Oversize Charge"),--(D_Zone="ALL"),--(D_Category="Gr_Cat_1"),(D_Percent)),SUMPRODUCT(--(D_EffDate="Eff_Date_1"),--(D_Product="HD"),--(D_SC_Name="Oversize Charge"),--(D_Zone="7"),--(D_Category="Gr_Cat_1"),(D_Percent)))</f>
        <v>0</v>
      </c>
      <c r="D48" s="314" cm="1">
        <f t="array" ref="D48">IF(SUMPRODUCT(--(D_EffDate="Eff_Date_2"),--(D_Product="HD"),--(D_SC_Name="Oversize Charge"),--(D_Zone="7"),--(D_Category="Gr_Cat_1"),(D_Percent))=0,SUMPRODUCT(--(D_EffDate="Eff_Date_2"),--(D_Product="HD"),--(D_SC_Name="Oversize Charge"),--(D_Zone="ALL"),--(D_Category="Gr_Cat_1"),(D_Percent)),SUMPRODUCT(--(D_EffDate="Eff_Date_2"),--(D_Product="HD"),--(D_SC_Name="Oversize Charge"),--(D_Zone="7"),--(D_Category="Gr_Cat_1"),(D_Percent)))</f>
        <v>0</v>
      </c>
      <c r="E48" s="116">
        <f>ROUND(($B48*(1-$C48)),2)</f>
        <v>330</v>
      </c>
      <c r="F48" s="102">
        <f t="shared" si="13"/>
        <v>0</v>
      </c>
      <c r="G48" s="116">
        <f>ROUND(($B48*(1-$D48)),2)</f>
        <v>330</v>
      </c>
      <c r="H48" s="77" cm="1">
        <f t="array" ref="H48">SUMPRODUCT(--(Category="Gr_Cat_1"),--(OpCo="Ground"),--(Product="Home Delivery"),--(Intl="Domestic"),--(Zone=$A48),--(SC_Name="Oversize Charge"),(SC_Count))</f>
        <v>0</v>
      </c>
      <c r="I48" s="330">
        <f>E48*$H48</f>
        <v>0</v>
      </c>
      <c r="J48" s="330">
        <f t="shared" si="0"/>
        <v>0</v>
      </c>
      <c r="K48" s="75">
        <f>G48*$H48</f>
        <v>0</v>
      </c>
      <c r="L48" s="316" cm="1">
        <f t="array" ref="L48">IF(SUMPRODUCT(--(D_EffDate="Eff_Date_1"),--(D_Product="HD"),--(D_SC_Name="Oversize Charge"),--(D_Zone="7"),--(D_Category="Gr_Cat_2"),(D_Percent))=0,SUMPRODUCT(--(D_EffDate="Eff_Date_1"),--(D_Product="HD"),--(D_SC_Name="Oversize Charge"),--(D_Zone="ALL"),--(D_Category="Gr_Cat_2"),(D_Percent)),SUMPRODUCT(--(D_EffDate="Eff_Date_1"),--(D_Product="HD"),--(D_SC_Name="Oversize Charge"),--(D_Zone="7"),--(D_Category="Gr_Cat_2"),(D_Percent)))</f>
        <v>0</v>
      </c>
      <c r="M48" s="316" cm="1">
        <f t="array" ref="M48">IF(SUMPRODUCT(--(D_EffDate="Eff_Date_1"),--(D_Product="HD"),--(D_SC_Name="Oversize Charge"),--(D_Zone="7"),--(D_Category="Gr_Cat_2"),(D_Percent))=0,SUMPRODUCT(--(D_EffDate="Eff_Date_1"),--(D_Product="HD"),--(D_SC_Name="Oversize Charge"),--(D_Zone="ALL"),--(D_Category="Gr_Cat_2"),(D_Percent)),SUMPRODUCT(--(D_EffDate="Eff_Date_1"),--(D_Product="HD"),--(D_SC_Name="Oversize Charge"),--(D_Zone="7"),--(D_Category="Gr_Cat_2"),(D_Percent)))</f>
        <v>0</v>
      </c>
      <c r="N48" s="115">
        <f>ROUND(($B48*(1-$L48)),2)</f>
        <v>330</v>
      </c>
      <c r="O48" s="115">
        <f t="shared" si="3"/>
        <v>0</v>
      </c>
      <c r="P48" s="116">
        <f>ROUND(($B48*(1-$M48)),2)</f>
        <v>330</v>
      </c>
      <c r="Q48" s="77" cm="1">
        <f t="array" ref="Q48">SUMPRODUCT(--(Category="Gr_Cat_2"),--(OpCo="Ground"),--(Product="Home Delivery"),--(Intl="Domestic"),--(Zone=$A48),--(SC_Name="Oversize Charge"),(SC_Count))</f>
        <v>0</v>
      </c>
      <c r="R48" s="330">
        <f>N48*$Q48</f>
        <v>0</v>
      </c>
      <c r="S48" s="330">
        <f t="shared" si="1"/>
        <v>0</v>
      </c>
      <c r="T48" s="75">
        <f>P48*$Q48</f>
        <v>0</v>
      </c>
      <c r="U48" s="322" cm="1">
        <f t="array" ref="U48">IF(SUMPRODUCT(--(D_EffDate="Eff_Date_1"),--(D_Product="HD"),--(D_SC_Name="Oversize Charge"),--(D_Zone="7"),--(D_Category="Gr_Cat_3"),(D_Percent))=0,SUMPRODUCT(--(D_EffDate="Eff_Date_1"),--(D_Product="HD"),--(D_SC_Name="Oversize Charge"),--(D_Zone="ALL"),--(D_Category="Gr_Cat_3"),(D_Percent)),SUMPRODUCT(--(D_EffDate="Eff_Date_1"),--(D_Product="HD"),--(D_SC_Name="Oversize Charge"),--(D_Zone="7"),--(D_Category="Gr_Cat_3"),(D_Percent)))</f>
        <v>0</v>
      </c>
      <c r="V48" s="322" cm="1">
        <f t="array" ref="V48">IF(SUMPRODUCT(--(D_EffDate="Eff_Date_2"),--(D_Product="HD"),--(D_SC_Name="Oversize Charge"),--(D_Zone="7"),--(D_Category="Gr_Cat_3"),(D_Percent))=0,SUMPRODUCT(--(D_EffDate="Eff_Date_2"),--(D_Product="HD"),--(D_SC_Name="Oversize Charge"),--(D_Zone="ALL"),--(D_Category="Gr_Cat_3"),(D_Percent)),SUMPRODUCT(--(D_EffDate="Eff_Date_2"),--(D_Product="HD"),--(D_SC_Name="Oversize Charge"),--(D_Zone="7"),--(D_Category="Gr_Cat_3"),(D_Percent)))</f>
        <v>0</v>
      </c>
      <c r="W48" s="115">
        <f>ROUND(($B48*(1-$U48)),2)</f>
        <v>330</v>
      </c>
      <c r="X48" s="351">
        <f t="shared" si="4"/>
        <v>0</v>
      </c>
      <c r="Y48" s="116">
        <f>ROUND(($B48*(1-$V48)),2)</f>
        <v>330</v>
      </c>
      <c r="Z48" s="77" cm="1">
        <f t="array" ref="Z48">SUMPRODUCT(--(Category="Gr_Cat_3"),--(OpCo="Ground"),--(Product="Home Delivery"),--(Intl="Domestic"),--(Zone=$A48),--(SC_Name="Oversize Charge"),(SC_Count))</f>
        <v>0</v>
      </c>
      <c r="AA48" s="78">
        <f>W48*$Z48</f>
        <v>0</v>
      </c>
      <c r="AB48" s="78">
        <f t="shared" si="2"/>
        <v>0</v>
      </c>
      <c r="AC48" s="78">
        <f>Y48*$Z48</f>
        <v>0</v>
      </c>
    </row>
    <row r="49" spans="1:27" ht="14.5" customHeight="1" x14ac:dyDescent="0.35">
      <c r="A49" s="586" t="s">
        <v>1740</v>
      </c>
      <c r="B49" s="586"/>
      <c r="C49" s="586"/>
      <c r="D49" s="586"/>
      <c r="E49" s="586"/>
      <c r="F49" s="586"/>
      <c r="G49" s="586"/>
      <c r="H49" s="586"/>
      <c r="I49" s="586"/>
      <c r="J49" s="586"/>
      <c r="K49" s="586"/>
      <c r="L49" s="455"/>
      <c r="M49" s="455"/>
      <c r="N49" s="455"/>
      <c r="O49" s="455"/>
      <c r="P49" s="455"/>
      <c r="Q49" s="455"/>
      <c r="R49" s="455"/>
      <c r="S49" s="454"/>
      <c r="T49" s="454"/>
      <c r="U49" s="454"/>
      <c r="V49" s="454"/>
      <c r="W49" s="454"/>
      <c r="X49" s="454"/>
      <c r="Y49" s="454"/>
      <c r="Z49" s="454"/>
      <c r="AA49" s="454"/>
    </row>
    <row r="50" spans="1:27" ht="14.5" x14ac:dyDescent="0.35">
      <c r="A50" s="587"/>
      <c r="B50" s="587"/>
      <c r="C50" s="587"/>
      <c r="D50" s="587"/>
      <c r="E50" s="587"/>
      <c r="F50" s="587"/>
      <c r="G50" s="587"/>
      <c r="H50" s="587"/>
      <c r="I50" s="587"/>
      <c r="J50" s="587"/>
      <c r="K50" s="587"/>
      <c r="L50" s="456"/>
      <c r="M50" s="456"/>
      <c r="N50" s="456"/>
      <c r="O50" s="456"/>
      <c r="P50" s="456"/>
      <c r="Q50" s="456"/>
      <c r="R50" s="456"/>
      <c r="S50" s="232"/>
      <c r="T50" s="232"/>
      <c r="U50" s="232"/>
      <c r="V50" s="232"/>
      <c r="W50" s="232"/>
      <c r="X50" s="232"/>
      <c r="Y50" s="232"/>
      <c r="Z50" s="232"/>
      <c r="AA50" s="232"/>
    </row>
    <row r="51" spans="1:27" ht="14.5" x14ac:dyDescent="0.35">
      <c r="A51" s="587"/>
      <c r="B51" s="587"/>
      <c r="C51" s="587"/>
      <c r="D51" s="587"/>
      <c r="E51" s="587"/>
      <c r="F51" s="587"/>
      <c r="G51" s="587"/>
      <c r="H51" s="587"/>
      <c r="I51" s="587"/>
      <c r="J51" s="587"/>
      <c r="K51" s="587"/>
      <c r="L51" s="456"/>
      <c r="M51" s="456"/>
      <c r="N51" s="456"/>
      <c r="O51" s="456"/>
      <c r="P51" s="456"/>
      <c r="Q51" s="456"/>
      <c r="R51" s="456"/>
      <c r="S51" s="232"/>
      <c r="T51" s="232"/>
      <c r="U51" s="232"/>
      <c r="V51" s="232"/>
      <c r="W51" s="232"/>
      <c r="X51" s="232"/>
      <c r="Y51" s="232"/>
      <c r="Z51" s="232"/>
      <c r="AA51" s="232"/>
    </row>
    <row r="52" spans="1:27" ht="14.5" x14ac:dyDescent="0.35">
      <c r="A52" s="587"/>
      <c r="B52" s="587"/>
      <c r="C52" s="587"/>
      <c r="D52" s="587"/>
      <c r="E52" s="587"/>
      <c r="F52" s="587"/>
      <c r="G52" s="587"/>
      <c r="H52" s="587"/>
      <c r="I52" s="587"/>
      <c r="J52" s="587"/>
      <c r="K52" s="587"/>
      <c r="L52" s="456"/>
      <c r="M52" s="456"/>
      <c r="N52" s="456"/>
      <c r="O52" s="456"/>
      <c r="P52" s="456"/>
      <c r="Q52" s="456"/>
      <c r="R52" s="456"/>
      <c r="S52" s="232"/>
      <c r="T52" s="232"/>
      <c r="U52" s="232"/>
      <c r="V52" s="232"/>
      <c r="W52" s="232"/>
      <c r="X52" s="232"/>
      <c r="Y52" s="232"/>
      <c r="Z52" s="232"/>
      <c r="AA52" s="232"/>
    </row>
    <row r="53" spans="1:27" ht="14.5" x14ac:dyDescent="0.35">
      <c r="A53" s="587"/>
      <c r="B53" s="587"/>
      <c r="C53" s="587"/>
      <c r="D53" s="587"/>
      <c r="E53" s="587"/>
      <c r="F53" s="587"/>
      <c r="G53" s="587"/>
      <c r="H53" s="587"/>
      <c r="I53" s="587"/>
      <c r="J53" s="587"/>
      <c r="K53" s="587"/>
      <c r="L53" s="456"/>
      <c r="M53" s="456"/>
      <c r="N53" s="456"/>
      <c r="O53" s="456"/>
      <c r="P53" s="456"/>
      <c r="Q53" s="456"/>
      <c r="R53" s="456"/>
      <c r="S53" s="232"/>
      <c r="T53" s="232"/>
      <c r="U53" s="232"/>
      <c r="V53" s="232"/>
      <c r="W53" s="232"/>
      <c r="X53" s="232"/>
      <c r="Y53" s="232"/>
      <c r="Z53" s="232"/>
      <c r="AA53" s="232"/>
    </row>
    <row r="54" spans="1:27" ht="14.5" x14ac:dyDescent="0.35">
      <c r="A54" s="587"/>
      <c r="B54" s="587"/>
      <c r="C54" s="587"/>
      <c r="D54" s="587"/>
      <c r="E54" s="587"/>
      <c r="F54" s="587"/>
      <c r="G54" s="587"/>
      <c r="H54" s="587"/>
      <c r="I54" s="587"/>
      <c r="J54" s="587"/>
      <c r="K54" s="587"/>
      <c r="L54" s="456"/>
      <c r="M54" s="456"/>
      <c r="N54" s="456"/>
      <c r="O54" s="456"/>
      <c r="P54" s="456"/>
      <c r="Q54" s="456"/>
      <c r="R54" s="456"/>
      <c r="S54" s="232"/>
      <c r="T54" s="232"/>
      <c r="U54" s="232"/>
      <c r="V54" s="232"/>
      <c r="W54" s="232"/>
      <c r="X54" s="232"/>
      <c r="Y54" s="232"/>
      <c r="Z54" s="232"/>
      <c r="AA54" s="232"/>
    </row>
    <row r="55" spans="1:27" ht="14.5" x14ac:dyDescent="0.35">
      <c r="A55" s="587"/>
      <c r="B55" s="587"/>
      <c r="C55" s="587"/>
      <c r="D55" s="587"/>
      <c r="E55" s="587"/>
      <c r="F55" s="587"/>
      <c r="G55" s="587"/>
      <c r="H55" s="587"/>
      <c r="I55" s="587"/>
      <c r="J55" s="587"/>
      <c r="K55" s="587"/>
      <c r="L55" s="456"/>
      <c r="M55" s="456"/>
      <c r="N55" s="456"/>
      <c r="O55" s="456"/>
      <c r="P55" s="456"/>
      <c r="Q55" s="456"/>
      <c r="R55" s="456"/>
      <c r="S55" s="232"/>
      <c r="T55" s="232"/>
      <c r="U55" s="232"/>
      <c r="V55" s="232"/>
      <c r="W55" s="232"/>
      <c r="X55" s="232"/>
      <c r="Y55" s="232"/>
      <c r="Z55" s="232"/>
      <c r="AA55" s="232"/>
    </row>
    <row r="56" spans="1:27" ht="14.5" x14ac:dyDescent="0.35">
      <c r="A56" s="587"/>
      <c r="B56" s="587"/>
      <c r="C56" s="587"/>
      <c r="D56" s="587"/>
      <c r="E56" s="587"/>
      <c r="F56" s="587"/>
      <c r="G56" s="587"/>
      <c r="H56" s="587"/>
      <c r="I56" s="587"/>
      <c r="J56" s="587"/>
      <c r="K56" s="587"/>
      <c r="L56" s="456"/>
      <c r="M56" s="456"/>
      <c r="N56" s="456"/>
      <c r="O56" s="456"/>
      <c r="P56" s="456"/>
      <c r="Q56" s="456"/>
      <c r="R56" s="456"/>
      <c r="S56" s="232"/>
      <c r="T56" s="232"/>
      <c r="U56" s="232"/>
      <c r="V56" s="232"/>
      <c r="W56" s="232"/>
      <c r="X56" s="232"/>
      <c r="Y56" s="232"/>
      <c r="Z56" s="232"/>
      <c r="AA56" s="232"/>
    </row>
  </sheetData>
  <sheetProtection selectLockedCells="1"/>
  <mergeCells count="5">
    <mergeCell ref="A1:K1"/>
    <mergeCell ref="U2:AC2"/>
    <mergeCell ref="L2:T2"/>
    <mergeCell ref="C2:K2"/>
    <mergeCell ref="A49:K56"/>
  </mergeCells>
  <pageMargins left="0.25" right="0.25" top="0.5" bottom="0.5" header="0" footer="0"/>
  <pageSetup orientation="portrait" r:id="rId1"/>
  <headerFooter>
    <oddFooter xml:space="preserve">&amp;LReport Generated on &amp;D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8C9B-5B0F-4BFB-BACB-7EF29D913B26}">
  <sheetPr codeName="Sheet3">
    <tabColor theme="5"/>
  </sheetPr>
  <dimension ref="A1:BM50"/>
  <sheetViews>
    <sheetView zoomScale="90" zoomScaleNormal="90" workbookViewId="0">
      <selection activeCell="B12" sqref="B12"/>
    </sheetView>
  </sheetViews>
  <sheetFormatPr defaultRowHeight="14.5" x14ac:dyDescent="0.35"/>
  <cols>
    <col min="1" max="1" width="37.26953125" customWidth="1"/>
    <col min="2" max="2" width="9.54296875" customWidth="1"/>
    <col min="3" max="3" width="8.7265625" bestFit="1" customWidth="1"/>
    <col min="4" max="4" width="8.7265625" customWidth="1"/>
    <col min="5" max="5" width="9.54296875" bestFit="1" customWidth="1"/>
    <col min="6" max="6" width="9" bestFit="1" customWidth="1"/>
    <col min="7" max="7" width="9.54296875" bestFit="1" customWidth="1"/>
    <col min="8" max="8" width="11.81640625" style="3" bestFit="1" customWidth="1"/>
    <col min="9" max="9" width="15" style="3" bestFit="1" customWidth="1"/>
    <col min="10" max="10" width="13.26953125" style="3" bestFit="1" customWidth="1"/>
    <col min="11" max="11" width="15" style="3" bestFit="1" customWidth="1"/>
    <col min="12" max="13" width="8.7265625" hidden="1" customWidth="1"/>
    <col min="14" max="16" width="11.1796875" hidden="1" customWidth="1"/>
    <col min="17" max="17" width="11.81640625" hidden="1" customWidth="1"/>
    <col min="18" max="18" width="15" hidden="1" customWidth="1"/>
    <col min="19" max="19" width="12.1796875" hidden="1" customWidth="1"/>
    <col min="20" max="20" width="15" hidden="1" customWidth="1"/>
    <col min="21" max="22" width="8.7265625" hidden="1" customWidth="1"/>
    <col min="23" max="25" width="10" hidden="1" customWidth="1"/>
    <col min="26" max="28" width="11.81640625" hidden="1" customWidth="1"/>
    <col min="29" max="29" width="10.26953125" hidden="1" customWidth="1"/>
    <col min="30" max="65" width="9.1796875" style="3"/>
  </cols>
  <sheetData>
    <row r="1" spans="1:29" ht="33.5" x14ac:dyDescent="0.75">
      <c r="A1" s="588" t="s">
        <v>886</v>
      </c>
      <c r="B1" s="589"/>
      <c r="C1" s="589"/>
      <c r="D1" s="589"/>
      <c r="E1" s="589"/>
      <c r="F1" s="589"/>
      <c r="G1" s="589"/>
      <c r="H1" s="589"/>
      <c r="I1" s="589"/>
      <c r="J1" s="589"/>
      <c r="K1" s="589"/>
      <c r="L1" s="220"/>
      <c r="M1" s="220"/>
      <c r="N1" s="220"/>
      <c r="O1" s="220"/>
      <c r="P1" s="220"/>
      <c r="Q1" s="220"/>
      <c r="R1" s="220"/>
      <c r="S1" s="220"/>
      <c r="T1" s="220"/>
      <c r="U1" s="220"/>
      <c r="V1" s="220"/>
      <c r="W1" s="220"/>
      <c r="X1" s="220"/>
      <c r="Y1" s="220"/>
      <c r="Z1" s="220"/>
      <c r="AA1" s="220"/>
      <c r="AB1" s="220"/>
      <c r="AC1" s="221"/>
    </row>
    <row r="2" spans="1:29" ht="23.5" x14ac:dyDescent="0.55000000000000004">
      <c r="A2" s="239"/>
      <c r="B2" s="352"/>
      <c r="C2" s="590" t="s">
        <v>1341</v>
      </c>
      <c r="D2" s="591"/>
      <c r="E2" s="591"/>
      <c r="F2" s="591"/>
      <c r="G2" s="591"/>
      <c r="H2" s="591"/>
      <c r="I2" s="591"/>
      <c r="J2" s="591"/>
      <c r="K2" s="592"/>
      <c r="L2" s="595" t="s">
        <v>1350</v>
      </c>
      <c r="M2" s="596"/>
      <c r="N2" s="596"/>
      <c r="O2" s="596"/>
      <c r="P2" s="596"/>
      <c r="Q2" s="596"/>
      <c r="R2" s="596"/>
      <c r="S2" s="596"/>
      <c r="T2" s="596"/>
      <c r="U2" s="593" t="s">
        <v>1351</v>
      </c>
      <c r="V2" s="593"/>
      <c r="W2" s="593"/>
      <c r="X2" s="593"/>
      <c r="Y2" s="593"/>
      <c r="Z2" s="593"/>
      <c r="AA2" s="593"/>
      <c r="AB2" s="593"/>
      <c r="AC2" s="594"/>
    </row>
    <row r="3" spans="1:29" s="91" customFormat="1" ht="29" x14ac:dyDescent="0.35">
      <c r="A3" s="86" t="s">
        <v>345</v>
      </c>
      <c r="B3" s="87" t="s">
        <v>1739</v>
      </c>
      <c r="C3" s="219" t="s">
        <v>1712</v>
      </c>
      <c r="D3" s="434" t="s">
        <v>1714</v>
      </c>
      <c r="E3" s="88" t="s">
        <v>1709</v>
      </c>
      <c r="F3" s="96" t="s">
        <v>1427</v>
      </c>
      <c r="G3" s="345" t="s">
        <v>1715</v>
      </c>
      <c r="H3" s="353" t="s">
        <v>9</v>
      </c>
      <c r="I3" s="353" t="s">
        <v>1711</v>
      </c>
      <c r="J3" s="353" t="s">
        <v>1427</v>
      </c>
      <c r="K3" s="353" t="s">
        <v>1713</v>
      </c>
      <c r="L3" s="233" t="s">
        <v>1712</v>
      </c>
      <c r="M3" s="435" t="s">
        <v>1714</v>
      </c>
      <c r="N3" s="88" t="s">
        <v>1709</v>
      </c>
      <c r="O3" s="96" t="s">
        <v>1427</v>
      </c>
      <c r="P3" s="345" t="s">
        <v>1715</v>
      </c>
      <c r="Q3" s="89" t="s">
        <v>9</v>
      </c>
      <c r="R3" s="353" t="s">
        <v>1711</v>
      </c>
      <c r="S3" s="353" t="s">
        <v>1427</v>
      </c>
      <c r="T3" s="353" t="s">
        <v>1713</v>
      </c>
      <c r="U3" s="236" t="s">
        <v>1712</v>
      </c>
      <c r="V3" s="436" t="s">
        <v>1714</v>
      </c>
      <c r="W3" s="88" t="s">
        <v>1709</v>
      </c>
      <c r="X3" s="96" t="s">
        <v>1427</v>
      </c>
      <c r="Y3" s="345" t="s">
        <v>1715</v>
      </c>
      <c r="Z3" s="89" t="s">
        <v>9</v>
      </c>
      <c r="AA3" s="353" t="s">
        <v>1711</v>
      </c>
      <c r="AB3" s="353" t="s">
        <v>1427</v>
      </c>
      <c r="AC3" s="96" t="s">
        <v>1713</v>
      </c>
    </row>
    <row r="4" spans="1:29" x14ac:dyDescent="0.35">
      <c r="A4" s="71" t="s">
        <v>31</v>
      </c>
      <c r="B4" s="67">
        <v>25.5</v>
      </c>
      <c r="C4" s="217" cm="1">
        <f t="array" ref="C4">SUMPRODUCT(--(D_Category="Ex_Cat_1"),--(D_EffDate="Eff_Date_1"),--(D_Product="SO")+--(D_Product="All"),--(D_SC_Name=$A4),(D_Percent))</f>
        <v>0</v>
      </c>
      <c r="D4" s="217" cm="1">
        <f t="array" ref="D4">SUMPRODUCT(--(D_Category="Ex_Cat_1"),--(D_EffDate="Eff_Date_2"),--(D_Product="SO")+--(D_Product="All"),--(D_SC_Name=$A4),(D_Percent))</f>
        <v>0</v>
      </c>
      <c r="E4" s="66">
        <f>ROUND(($B4*(1-C4)),2)</f>
        <v>25.5</v>
      </c>
      <c r="F4" s="66">
        <f>G4-E4</f>
        <v>0</v>
      </c>
      <c r="G4" s="66">
        <f>ROUND(($B4*(1-D4)),2)</f>
        <v>25.5</v>
      </c>
      <c r="H4" s="93" cm="1">
        <f t="array" ref="H4">SUMPRODUCT(--(Category="Ex_Cat_1"),--(OpCo="Express"),--(Intl="Domestic"),--(SC_Name=$A4),(SC_Count))</f>
        <v>0</v>
      </c>
      <c r="I4" s="66">
        <f>H4*E4</f>
        <v>0</v>
      </c>
      <c r="J4" s="66">
        <f>K4-I4</f>
        <v>0</v>
      </c>
      <c r="K4" s="66">
        <f>H4*G4</f>
        <v>0</v>
      </c>
      <c r="L4" s="234" cm="1">
        <f t="array" ref="L4">SUMPRODUCT(--(D_Category="Ex_Cat_2"),--(D_EffDate="Eff_Date_1"),--(D_Product="SO")+--(D_Product="All"),--(D_SC_Name=$A4),(D_Percent))</f>
        <v>0</v>
      </c>
      <c r="M4" s="234" cm="1">
        <f t="array" ref="M4">SUMPRODUCT(--(D_Category="Ex_Cat_2"),--(D_EffDate="Eff_Date_2"),--(D_Product="SO")+--(D_Product="All"),--(D_SC_Name=$A4),(D_Percent))</f>
        <v>0</v>
      </c>
      <c r="N4" s="66">
        <f>ROUND(($B4*(1-L4)),2)</f>
        <v>25.5</v>
      </c>
      <c r="O4" s="66">
        <f>P4-N4</f>
        <v>0</v>
      </c>
      <c r="P4" s="66">
        <f>ROUND(($B4*(1-M4)),2)</f>
        <v>25.5</v>
      </c>
      <c r="Q4" s="93" cm="1">
        <f t="array" ref="Q4">SUMPRODUCT(--(Category="Ex_Cat_2"),--(OpCo="Express"),--(Intl="Domestic"),--(SC_Name=$A4),(SC_Count))</f>
        <v>0</v>
      </c>
      <c r="R4" s="66">
        <f>Q4*N4</f>
        <v>0</v>
      </c>
      <c r="S4" s="66">
        <f>T4-R4</f>
        <v>0</v>
      </c>
      <c r="T4" s="66">
        <f>Q4*P4</f>
        <v>0</v>
      </c>
      <c r="U4" s="237" cm="1">
        <f t="array" ref="U4">SUMPRODUCT(--(D_Category="Ex_Cat_3"),--(D_EffDate="Eff_Date_1"),--(D_Product="SO")+--(D_Product="All"),--(D_SC_Name=$A4),(D_Percent))</f>
        <v>0</v>
      </c>
      <c r="V4" s="237" cm="1">
        <f t="array" ref="V4">SUMPRODUCT(--(D_Category="Ex_Cat_3"),--(D_EffDate="Eff_Date_2"),--(D_Product="SO")+--(D_Product="All"),--(D_SC_Name=$A4),(D_Percent))</f>
        <v>0</v>
      </c>
      <c r="W4" s="66">
        <f>ROUND(($B4*(1-U4)),2)</f>
        <v>25.5</v>
      </c>
      <c r="X4" s="66">
        <f>Y4-W4</f>
        <v>0</v>
      </c>
      <c r="Y4" s="66">
        <f>ROUND(($B4*(1-V4)),2)</f>
        <v>25.5</v>
      </c>
      <c r="Z4" s="93" cm="1">
        <f t="array" ref="Z4">SUMPRODUCT(--(Category="Ex_Cat_3"),--(OpCo="Express"),--(Intl="Domestic"),--(SC_Name=$A4),(SC_Count))</f>
        <v>0</v>
      </c>
      <c r="AA4" s="66">
        <f>Z4*W4</f>
        <v>0</v>
      </c>
      <c r="AB4" s="66">
        <f>AC4-AA4</f>
        <v>0</v>
      </c>
      <c r="AC4" s="355">
        <f>Z4*Y4</f>
        <v>0</v>
      </c>
    </row>
    <row r="5" spans="1:29" x14ac:dyDescent="0.35">
      <c r="A5" s="70" t="s">
        <v>332</v>
      </c>
      <c r="B5" s="69">
        <v>19</v>
      </c>
      <c r="C5" s="218" cm="1">
        <f t="array" ref="C5">SUMPRODUCT(--(D_Category="Ex_Cat_1"),--(D_EffDate="Eff_Date_1"),--(D_Product="SO"),--(D_SC_Name="Collect on Delivery (COD) Fee"),(D_Percent))</f>
        <v>0</v>
      </c>
      <c r="D5" s="218" cm="1">
        <f t="array" ref="D5">SUMPRODUCT(--(D_Category="Ex_Cat_1"),--(D_EffDate="Eff_Date_2"),--(D_Product="SO"),--(D_SC_Name="Collect on Delivery (COD) Fee"),(D_Percent))</f>
        <v>0</v>
      </c>
      <c r="E5" s="68">
        <f>ROUND(($B5*(1-C5)),2)</f>
        <v>19</v>
      </c>
      <c r="F5" s="68">
        <f t="shared" ref="F5:F38" si="0">G5-E5</f>
        <v>0</v>
      </c>
      <c r="G5" s="68">
        <f>ROUND(($B5*(1-D5)),2)</f>
        <v>19</v>
      </c>
      <c r="H5" s="92" cm="1">
        <f t="array" ref="H5">SUMPRODUCT(--(Category="Ex_Cat_1"),--(OpCo="Express"),--(Intl="Domestic"),--(SC_Name="C.O.D."),(SC_Count))</f>
        <v>0</v>
      </c>
      <c r="I5" s="68">
        <f>H5*E5</f>
        <v>0</v>
      </c>
      <c r="J5" s="68">
        <f t="shared" ref="J5:J38" si="1">K5-I5</f>
        <v>0</v>
      </c>
      <c r="K5" s="68">
        <f>H5*G5</f>
        <v>0</v>
      </c>
      <c r="L5" s="235" cm="1">
        <f t="array" ref="L5">SUMPRODUCT(--(D_Category="Ex_Cat_2"),--(D_EffDate="Eff_Date_1"),--(D_Product="SO"),--(D_SC_Name="Collect on Delivery (COD) Fee"),(D_Percent))</f>
        <v>0</v>
      </c>
      <c r="M5" s="235" cm="1">
        <f t="array" ref="M5">SUMPRODUCT(--(D_Category="Ex_Cat_2"),--(D_EffDate="Eff_Date_2"),--(D_Product="SO"),--(D_SC_Name="Collect on Delivery (COD) Fee"),(D_Percent))</f>
        <v>0</v>
      </c>
      <c r="N5" s="68">
        <f>ROUND(($B5*(1-L5)),2)</f>
        <v>19</v>
      </c>
      <c r="O5" s="68">
        <f t="shared" ref="O5:O38" si="2">P5-N5</f>
        <v>0</v>
      </c>
      <c r="P5" s="68">
        <f>ROUND(($B5*(1-M5)),2)</f>
        <v>19</v>
      </c>
      <c r="Q5" s="92" cm="1">
        <f t="array" ref="Q5">SUMPRODUCT(--(Category="Ex_Cat_2"),--(OpCo="Express"),--(Intl="Domestic"),--(SC_Name="C.O.D."),(SC_Count))</f>
        <v>0</v>
      </c>
      <c r="R5" s="68">
        <f>Q5*N5</f>
        <v>0</v>
      </c>
      <c r="S5" s="68">
        <f t="shared" ref="S5:S38" si="3">T5-R5</f>
        <v>0</v>
      </c>
      <c r="T5" s="68">
        <f>Q5*P5</f>
        <v>0</v>
      </c>
      <c r="U5" s="238" cm="1">
        <f t="array" ref="U5">SUMPRODUCT(--(D_Category="Ex_Cat_3"),--(D_EffDate="Eff_Date_1"),--(D_Product="SO"),--(D_SC_Name="Collect on Delivery (COD) Fee"),(D_Percent))</f>
        <v>0</v>
      </c>
      <c r="V5" s="238" cm="1">
        <f t="array" ref="V5">SUMPRODUCT(--(D_Category="Ex_Cat_3"),--(D_EffDate="Eff_Date_2"),--(D_Product="SO"),--(D_SC_Name="Collect on Delivery (COD) Fee"),(D_Percent))</f>
        <v>0</v>
      </c>
      <c r="W5" s="68">
        <f>ROUND(($B5*(1-U5)),2)</f>
        <v>19</v>
      </c>
      <c r="X5" s="68">
        <f t="shared" ref="X5:X38" si="4">Y5-W5</f>
        <v>0</v>
      </c>
      <c r="Y5" s="68">
        <f>ROUND(($B5*(1-V5)),2)</f>
        <v>19</v>
      </c>
      <c r="Z5" s="92" cm="1">
        <f t="array" ref="Z5">SUMPRODUCT(--(Category="Ex_Cat_3"),--(OpCo="Express"),--(Intl="Domestic"),--(SC_Name="C.O.D."),(SC_Count))</f>
        <v>0</v>
      </c>
      <c r="AA5" s="68">
        <f>Z5*W5</f>
        <v>0</v>
      </c>
      <c r="AB5" s="68">
        <f t="shared" ref="AB5:AB38" si="5">AC5-AA5</f>
        <v>0</v>
      </c>
      <c r="AC5" s="460">
        <f>Z5*Y5</f>
        <v>0</v>
      </c>
    </row>
    <row r="6" spans="1:29" x14ac:dyDescent="0.35">
      <c r="A6" s="71" t="s">
        <v>51</v>
      </c>
      <c r="B6" s="67"/>
      <c r="C6" s="218"/>
      <c r="D6" s="218"/>
      <c r="E6" s="66"/>
      <c r="F6" s="66"/>
      <c r="G6" s="66"/>
      <c r="H6" s="93"/>
      <c r="I6" s="66"/>
      <c r="J6" s="66"/>
      <c r="K6" s="66"/>
      <c r="L6" s="235"/>
      <c r="M6" s="235"/>
      <c r="N6" s="66"/>
      <c r="O6" s="66"/>
      <c r="P6" s="66"/>
      <c r="Q6" s="93"/>
      <c r="R6" s="66"/>
      <c r="S6" s="66"/>
      <c r="T6" s="66"/>
      <c r="U6" s="238"/>
      <c r="V6" s="238"/>
      <c r="W6" s="66"/>
      <c r="X6" s="66"/>
      <c r="Y6" s="66"/>
      <c r="Z6" s="93"/>
      <c r="AA6" s="66"/>
      <c r="AB6" s="66"/>
      <c r="AC6" s="355"/>
    </row>
    <row r="7" spans="1:29" x14ac:dyDescent="0.35">
      <c r="A7" s="72" t="s">
        <v>62</v>
      </c>
      <c r="B7" s="67">
        <v>185</v>
      </c>
      <c r="C7" s="218" cm="1">
        <f t="array" ref="C7">SUMPRODUCT(--(D_Category="Ex_Cat_1"),--(D_EffDate="Eff_Date_1"),--(D_Product="SO"),--(D_SC_Name=$A7),(D_Percent))</f>
        <v>0</v>
      </c>
      <c r="D7" s="218" cm="1">
        <f t="array" ref="D7">SUMPRODUCT(--(D_Category="Ex_Cat_1"),--(D_EffDate="Eff_Date_2"),--(D_Product="SO"),--(D_SC_Name=$A7),(D_Percent))</f>
        <v>0</v>
      </c>
      <c r="E7" s="66">
        <f>ROUND(($B7*(1-C7)),2)</f>
        <v>185</v>
      </c>
      <c r="F7" s="66">
        <f t="shared" si="0"/>
        <v>0</v>
      </c>
      <c r="G7" s="66">
        <f>ROUND(($B7*(1-D7)),2)</f>
        <v>185</v>
      </c>
      <c r="H7" s="93" cm="1">
        <f t="array" ref="H7">SUMPRODUCT(--(Category="Ex_Cat_1"),--(OpCo="Express"),--(Intl="Domestic"),--(SC_Name=$A7),(SC_Count))</f>
        <v>0</v>
      </c>
      <c r="I7" s="66">
        <f>H7*E7</f>
        <v>0</v>
      </c>
      <c r="J7" s="66">
        <f t="shared" si="1"/>
        <v>0</v>
      </c>
      <c r="K7" s="66">
        <f>H7*G7</f>
        <v>0</v>
      </c>
      <c r="L7" s="235" cm="1">
        <f t="array" ref="L7">SUMPRODUCT(--(D_Category="Ex_Cat_2"),--(D_EffDate="Eff_Date_1"),--(D_Product="SO"),--(D_SC_Name=$A7),(D_Percent))</f>
        <v>0</v>
      </c>
      <c r="M7" s="235" cm="1">
        <f t="array" ref="M7">SUMPRODUCT(--(D_Category="Ex_Cat_2"),--(D_EffDate="Eff_Date_2"),--(D_Product="SO"),--(D_SC_Name=$A7),(D_Percent))</f>
        <v>0</v>
      </c>
      <c r="N7" s="66">
        <f>ROUND(($B7*(1-L7)),2)</f>
        <v>185</v>
      </c>
      <c r="O7" s="66">
        <f t="shared" si="2"/>
        <v>0</v>
      </c>
      <c r="P7" s="66">
        <f>ROUND(($B7*(1-M7)),2)</f>
        <v>185</v>
      </c>
      <c r="Q7" s="93" cm="1">
        <f t="array" ref="Q7">SUMPRODUCT(--(Category="Ex_Cat_2"),--(OpCo="Express"),--(Intl="Domestic"),--(SC_Name=$A7),(SC_Count))</f>
        <v>0</v>
      </c>
      <c r="R7" s="66">
        <f>Q7*N7</f>
        <v>0</v>
      </c>
      <c r="S7" s="66">
        <f t="shared" si="3"/>
        <v>0</v>
      </c>
      <c r="T7" s="66">
        <f>Q7*P7</f>
        <v>0</v>
      </c>
      <c r="U7" s="238" cm="1">
        <f t="array" ref="U7">SUMPRODUCT(--(D_Category="Ex_Cat_3"),--(D_EffDate="Eff_Date_1"),--(D_Product="SO"),--(D_SC_Name=$A7),(D_Percent))</f>
        <v>0</v>
      </c>
      <c r="V7" s="238" cm="1">
        <f t="array" ref="V7">SUMPRODUCT(--(D_Category="Ex_Cat_3"),--(D_EffDate="Eff_Date_2"),--(D_Product="SO"),--(D_SC_Name=$A7),(D_Percent))</f>
        <v>0</v>
      </c>
      <c r="W7" s="66">
        <f>ROUND(($B7*(1-U7)),2)</f>
        <v>185</v>
      </c>
      <c r="X7" s="66">
        <f t="shared" si="4"/>
        <v>0</v>
      </c>
      <c r="Y7" s="66">
        <f>ROUND(($B7*(1-V7)),2)</f>
        <v>185</v>
      </c>
      <c r="Z7" s="93" cm="1">
        <f t="array" ref="Z7">SUMPRODUCT(--(Category="Ex_Cat_3"),--(OpCo="Express"),--(Intl="Domestic"),--(SC_Name=$A7),(SC_Count))</f>
        <v>0</v>
      </c>
      <c r="AA7" s="66">
        <f>Z7*W7</f>
        <v>0</v>
      </c>
      <c r="AB7" s="66">
        <f t="shared" si="5"/>
        <v>0</v>
      </c>
      <c r="AC7" s="355">
        <f>Z7*Y7</f>
        <v>0</v>
      </c>
    </row>
    <row r="8" spans="1:29" x14ac:dyDescent="0.35">
      <c r="A8" s="72" t="s">
        <v>977</v>
      </c>
      <c r="B8" s="67">
        <v>85</v>
      </c>
      <c r="C8" s="218" cm="1">
        <f t="array" ref="C8">SUMPRODUCT(--(D_Category="Ex_Cat_1"),--(D_EffDate="Eff_Date_1"),--(D_Product="SO"),--(D_SC_Name=$A8),(D_Percent))</f>
        <v>0</v>
      </c>
      <c r="D8" s="218" cm="1">
        <f t="array" ref="D8">SUMPRODUCT(--(D_Category="Ex_Cat_1"),--(D_EffDate="Eff_Date_2"),--(D_Product="SO"),--(D_SC_Name=$A8),(D_Percent))</f>
        <v>0</v>
      </c>
      <c r="E8" s="66">
        <f>ROUND(($B8*(1-C8)),2)</f>
        <v>85</v>
      </c>
      <c r="F8" s="66">
        <f t="shared" si="0"/>
        <v>0</v>
      </c>
      <c r="G8" s="66">
        <f>ROUND(($B8*(1-D8)),2)</f>
        <v>85</v>
      </c>
      <c r="H8" s="93" cm="1">
        <f t="array" ref="H8">SUMPRODUCT(--(Category="Ex_Cat_1"),--(OpCo="Express"),--(Intl="Domestic"),--(SC_Name=$A8),(SC_Count))</f>
        <v>0</v>
      </c>
      <c r="I8" s="66">
        <f>H8*E8</f>
        <v>0</v>
      </c>
      <c r="J8" s="66">
        <f t="shared" si="1"/>
        <v>0</v>
      </c>
      <c r="K8" s="66">
        <f>H8*G8</f>
        <v>0</v>
      </c>
      <c r="L8" s="235" cm="1">
        <f t="array" ref="L8">SUMPRODUCT(--(D_Category="Ex_Cat_2"),--(D_EffDate="Eff_Date_1"),--(D_Product="SO"),--(D_SC_Name=$A8),(D_Percent))</f>
        <v>0</v>
      </c>
      <c r="M8" s="235" cm="1">
        <f t="array" ref="M8">SUMPRODUCT(--(D_Category="Ex_Cat_2"),--(D_EffDate="Eff_Date_2"),--(D_Product="SO"),--(D_SC_Name=$A8),(D_Percent))</f>
        <v>0</v>
      </c>
      <c r="N8" s="66">
        <f>ROUND(($B8*(1-L8)),2)</f>
        <v>85</v>
      </c>
      <c r="O8" s="66">
        <f t="shared" si="2"/>
        <v>0</v>
      </c>
      <c r="P8" s="66">
        <f>ROUND(($B8*(1-M8)),2)</f>
        <v>85</v>
      </c>
      <c r="Q8" s="93" cm="1">
        <f t="array" ref="Q8">SUMPRODUCT(--(Category="Ex_Cat_2"),--(OpCo="Express"),--(Intl="Domestic"),--(SC_Name=$A8),(SC_Count))</f>
        <v>0</v>
      </c>
      <c r="R8" s="66">
        <f>Q8*N8</f>
        <v>0</v>
      </c>
      <c r="S8" s="66">
        <f t="shared" si="3"/>
        <v>0</v>
      </c>
      <c r="T8" s="66">
        <f>Q8*P8</f>
        <v>0</v>
      </c>
      <c r="U8" s="238" cm="1">
        <f t="array" ref="U8">SUMPRODUCT(--(D_Category="Ex_Cat_3"),--(D_EffDate="Eff_Date_1"),--(D_Product="SO"),--(D_SC_Name=$A8),(D_Percent))</f>
        <v>0</v>
      </c>
      <c r="V8" s="238" cm="1">
        <f t="array" ref="V8">SUMPRODUCT(--(D_Category="Ex_Cat_3"),--(D_EffDate="Eff_Date_2"),--(D_Product="SO"),--(D_SC_Name=$A8),(D_Percent))</f>
        <v>0</v>
      </c>
      <c r="W8" s="66">
        <f>ROUND(($B8*(1-U8)),2)</f>
        <v>85</v>
      </c>
      <c r="X8" s="66">
        <f t="shared" si="4"/>
        <v>0</v>
      </c>
      <c r="Y8" s="66">
        <f>ROUND(($B8*(1-V8)),2)</f>
        <v>85</v>
      </c>
      <c r="Z8" s="93" cm="1">
        <f t="array" ref="Z8">SUMPRODUCT(--(Category="Ex_Cat_3"),--(OpCo="Express"),--(Intl="Domestic"),--(SC_Name=$A8),(SC_Count))</f>
        <v>0</v>
      </c>
      <c r="AA8" s="66">
        <f>Z8*W8</f>
        <v>0</v>
      </c>
      <c r="AB8" s="66">
        <f t="shared" si="5"/>
        <v>0</v>
      </c>
      <c r="AC8" s="355">
        <f>Z8*Y8</f>
        <v>0</v>
      </c>
    </row>
    <row r="9" spans="1:29" x14ac:dyDescent="0.35">
      <c r="A9" s="72" t="s">
        <v>52</v>
      </c>
      <c r="B9" s="67">
        <v>8.5</v>
      </c>
      <c r="C9" s="218" cm="1">
        <f t="array" ref="C9">SUMPRODUCT(--(D_Category="Ex_Cat_1"),--(D_EffDate="Eff_Date_1"),--(D_Product="SO"),--(D_SC_Name=$A9),(D_Percent))</f>
        <v>0</v>
      </c>
      <c r="D9" s="218" cm="1">
        <f t="array" ref="D9">SUMPRODUCT(--(D_Category="Ex_Cat_1"),--(D_EffDate="Eff_Date_2"),--(D_Product="SO"),--(D_SC_Name=$A9),(D_Percent))</f>
        <v>0</v>
      </c>
      <c r="E9" s="66">
        <f>ROUND(($B9*(1-C9)),2)</f>
        <v>8.5</v>
      </c>
      <c r="F9" s="66">
        <f t="shared" si="0"/>
        <v>0</v>
      </c>
      <c r="G9" s="66">
        <f>ROUND(($B9*(1-D9)),2)</f>
        <v>8.5</v>
      </c>
      <c r="H9" s="93" cm="1">
        <f t="array" ref="H9">SUMPRODUCT(--(Category="Ex_Cat_1"),--(OpCo="Express"),--(Intl="Domestic"),--(SC_Name=$A9),(SC_Count))</f>
        <v>0</v>
      </c>
      <c r="I9" s="66">
        <f>H9*E9</f>
        <v>0</v>
      </c>
      <c r="J9" s="66">
        <f t="shared" si="1"/>
        <v>0</v>
      </c>
      <c r="K9" s="66">
        <f>H9*G9</f>
        <v>0</v>
      </c>
      <c r="L9" s="235" cm="1">
        <f t="array" ref="L9">SUMPRODUCT(--(D_Category="Ex_Cat_2"),--(D_EffDate="Eff_Date_1"),--(D_Product="SO"),--(D_SC_Name=$A9),(D_Percent))</f>
        <v>0</v>
      </c>
      <c r="M9" s="235" cm="1">
        <f t="array" ref="M9">SUMPRODUCT(--(D_Category="Ex_Cat_2"),--(D_EffDate="Eff_Date_2"),--(D_Product="SO"),--(D_SC_Name=$A9),(D_Percent))</f>
        <v>0</v>
      </c>
      <c r="N9" s="66">
        <f>ROUND(($B9*(1-L9)),2)</f>
        <v>8.5</v>
      </c>
      <c r="O9" s="66">
        <f t="shared" si="2"/>
        <v>0</v>
      </c>
      <c r="P9" s="66">
        <f>ROUND(($B9*(1-M9)),2)</f>
        <v>8.5</v>
      </c>
      <c r="Q9" s="93" cm="1">
        <f t="array" ref="Q9">SUMPRODUCT(--(Category="Ex_Cat_2"),--(OpCo="Express"),--(Intl="Domestic"),--(SC_Name=$A9),(SC_Count))</f>
        <v>0</v>
      </c>
      <c r="R9" s="66">
        <f>Q9*N9</f>
        <v>0</v>
      </c>
      <c r="S9" s="66">
        <f t="shared" si="3"/>
        <v>0</v>
      </c>
      <c r="T9" s="66">
        <f>Q9*P9</f>
        <v>0</v>
      </c>
      <c r="U9" s="238" cm="1">
        <f t="array" ref="U9">SUMPRODUCT(--(D_Category="Ex_Cat_3"),--(D_EffDate="Eff_Date_1"),--(D_Product="SO"),--(D_SC_Name=$A9),(D_Percent))</f>
        <v>0</v>
      </c>
      <c r="V9" s="238" cm="1">
        <f t="array" ref="V9">SUMPRODUCT(--(D_Category="Ex_Cat_3"),--(D_EffDate="Eff_Date_2"),--(D_Product="SO"),--(D_SC_Name=$A9),(D_Percent))</f>
        <v>0</v>
      </c>
      <c r="W9" s="66">
        <f>ROUND(($B9*(1-U9)),2)</f>
        <v>8.5</v>
      </c>
      <c r="X9" s="66">
        <f t="shared" si="4"/>
        <v>0</v>
      </c>
      <c r="Y9" s="66">
        <f>ROUND(($B9*(1-V9)),2)</f>
        <v>8.5</v>
      </c>
      <c r="Z9" s="93" cm="1">
        <f t="array" ref="Z9">SUMPRODUCT(--(Category="Ex_Cat_3"),--(OpCo="Express"),--(Intl="Domestic"),--(SC_Name=$A9),(SC_Count))</f>
        <v>0</v>
      </c>
      <c r="AA9" s="66">
        <f>Z9*W9</f>
        <v>0</v>
      </c>
      <c r="AB9" s="66">
        <f t="shared" si="5"/>
        <v>0</v>
      </c>
      <c r="AC9" s="355">
        <f>Z9*Y9</f>
        <v>0</v>
      </c>
    </row>
    <row r="10" spans="1:29" x14ac:dyDescent="0.35">
      <c r="A10" s="70" t="s">
        <v>28</v>
      </c>
      <c r="B10" s="69">
        <v>1.65</v>
      </c>
      <c r="C10" s="218" cm="1">
        <f t="array" ref="C10">SUMPRODUCT(--(D_Category="Ex_Cat_1"),--(D_EffDate="Eff_Date_1"),--(D_Product="SO"),--(D_SC_Name=$A10),(D_Percent))</f>
        <v>0</v>
      </c>
      <c r="D10" s="218" cm="1">
        <f t="array" ref="D10">SUMPRODUCT(--(D_Category="Ex_Cat_1"),--(D_EffDate="Eff_Date_2"),--(D_Product="SO"),--(D_SC_Name=$A10),(D_Percent))</f>
        <v>0</v>
      </c>
      <c r="E10" s="68">
        <f>ROUND(($B10*(1-C10)),2)</f>
        <v>1.65</v>
      </c>
      <c r="F10" s="68">
        <f t="shared" si="0"/>
        <v>0</v>
      </c>
      <c r="G10" s="68">
        <f>ROUND(($B10*(1-D10)),2)</f>
        <v>1.65</v>
      </c>
      <c r="H10" s="92" cm="1">
        <f t="array" ref="H10">SUMPRODUCT(--(Category="Ex_Cat_1"),--(OpCo="Express"),--(Intl="Domestic"),--(SC_Name=$A10),(SC_Count))</f>
        <v>0</v>
      </c>
      <c r="I10" s="68"/>
      <c r="J10" s="68"/>
      <c r="K10" s="68"/>
      <c r="L10" s="235" cm="1">
        <f t="array" ref="L10">SUMPRODUCT(--(D_Category="Ex_Cat_2"),--(D_EffDate="Eff_Date_1"),--(D_Product="SO"),--(D_SC_Name=$A10),(D_Percent))</f>
        <v>0</v>
      </c>
      <c r="M10" s="235" cm="1">
        <f t="array" ref="M10">SUMPRODUCT(--(D_Category="Ex_Cat_2"),--(D_EffDate="Eff_Date_2"),--(D_Product="SO"),--(D_SC_Name=$A10),(D_Percent))</f>
        <v>0</v>
      </c>
      <c r="N10" s="68">
        <f>ROUND(($B10*(1-L10)),2)</f>
        <v>1.65</v>
      </c>
      <c r="O10" s="68">
        <f t="shared" si="2"/>
        <v>0</v>
      </c>
      <c r="P10" s="68">
        <f>ROUND(($B10*(1-M10)),2)</f>
        <v>1.65</v>
      </c>
      <c r="Q10" s="92" cm="1">
        <f t="array" ref="Q10">SUMPRODUCT(--(Category="Ex_Cat_2"),--(OpCo="Express"),--(Intl="Domestic"),--(SC_Name=$A10),(SC_Count))</f>
        <v>0</v>
      </c>
      <c r="R10" s="68"/>
      <c r="S10" s="68"/>
      <c r="T10" s="68"/>
      <c r="U10" s="238" cm="1">
        <f t="array" ref="U10">SUMPRODUCT(--(D_Category="Ex_Cat_3"),--(D_EffDate="Eff_Date_1"),--(D_Product="SO"),--(D_SC_Name=$A10),(D_Percent))</f>
        <v>0</v>
      </c>
      <c r="V10" s="238" cm="1">
        <f t="array" ref="V10">SUMPRODUCT(--(D_Category="Ex_Cat_3"),--(D_EffDate="Eff_Date_2"),--(D_Product="SO"),--(D_SC_Name=$A10),(D_Percent))</f>
        <v>0</v>
      </c>
      <c r="W10" s="68">
        <f>ROUND(($B10*(1-U10)),2)</f>
        <v>1.65</v>
      </c>
      <c r="X10" s="68">
        <f t="shared" si="4"/>
        <v>0</v>
      </c>
      <c r="Y10" s="68">
        <f>ROUND(($B10*(1-V10)),2)</f>
        <v>1.65</v>
      </c>
      <c r="Z10" s="92" cm="1">
        <f t="array" ref="Z10">SUMPRODUCT(--(Category="Ex_Cat_3"),--(OpCo="Express"),--(Intl="Domestic"),--(SC_Name=$A10),(SC_Count))</f>
        <v>0</v>
      </c>
      <c r="AA10" s="68"/>
      <c r="AB10" s="68"/>
      <c r="AC10" s="460"/>
    </row>
    <row r="11" spans="1:29" x14ac:dyDescent="0.35">
      <c r="A11" s="71" t="s">
        <v>69</v>
      </c>
      <c r="B11" s="67"/>
      <c r="C11" s="218"/>
      <c r="D11" s="218"/>
      <c r="E11" s="66"/>
      <c r="F11" s="66"/>
      <c r="G11" s="66"/>
      <c r="H11" s="93"/>
      <c r="I11" s="66"/>
      <c r="J11" s="66"/>
      <c r="K11" s="66"/>
      <c r="L11" s="235"/>
      <c r="M11" s="235"/>
      <c r="N11" s="66"/>
      <c r="O11" s="66"/>
      <c r="P11" s="66"/>
      <c r="Q11" s="93"/>
      <c r="R11" s="66"/>
      <c r="S11" s="66"/>
      <c r="T11" s="66"/>
      <c r="U11" s="238"/>
      <c r="V11" s="238"/>
      <c r="W11" s="66"/>
      <c r="X11" s="66"/>
      <c r="Y11" s="66"/>
      <c r="Z11" s="93"/>
      <c r="AA11" s="66"/>
      <c r="AB11" s="66"/>
      <c r="AC11" s="355"/>
    </row>
    <row r="12" spans="1:29" x14ac:dyDescent="0.35">
      <c r="A12" s="72" t="s">
        <v>281</v>
      </c>
      <c r="B12" s="67">
        <v>4.45</v>
      </c>
      <c r="C12" s="218" cm="1">
        <f t="array" ref="C12">SUMPRODUCT(--(D_Category="Ex_Cat_1"),--(D_EffDate="Eff_Date_1"),--(D_Product="SO"),--(D_SC_Name=$A12),(D_Percent))</f>
        <v>0</v>
      </c>
      <c r="D12" s="218" cm="1">
        <f t="array" ref="D12">SUMPRODUCT(--(D_Category="Ex_Cat_1"),--(D_EffDate="Eff_Date_2"),--(D_Product="SO"),--(D_SC_Name=$A12),(D_Percent))</f>
        <v>0</v>
      </c>
      <c r="E12" s="66">
        <f t="shared" ref="E12:E21" si="6">ROUND(($B12*(1-C12)),2)</f>
        <v>4.45</v>
      </c>
      <c r="F12" s="66">
        <f t="shared" si="0"/>
        <v>0</v>
      </c>
      <c r="G12" s="66">
        <f t="shared" ref="G12:G21" si="7">ROUND(($B12*(1-D12)),2)</f>
        <v>4.45</v>
      </c>
      <c r="H12" s="93" cm="1">
        <f t="array" ref="H12">SUMPRODUCT(--(Category="Ex_Cat_1"),--(OpCo="Express"),--(Intl="Domestic"),--(SC_Name=$A12),(SC_Count))</f>
        <v>0</v>
      </c>
      <c r="I12" s="66">
        <f t="shared" ref="I12:I21" si="8">H12*E12</f>
        <v>0</v>
      </c>
      <c r="J12" s="66">
        <f t="shared" si="1"/>
        <v>0</v>
      </c>
      <c r="K12" s="66">
        <f t="shared" ref="K12:K21" si="9">H12*G12</f>
        <v>0</v>
      </c>
      <c r="L12" s="235" cm="1">
        <f t="array" ref="L12">SUMPRODUCT(--(D_Category="Ex_Cat_2"),--(D_EffDate="Eff_Date_1"),--(D_Product="SO"),--(D_SC_Name=$A12),(D_Percent))</f>
        <v>0</v>
      </c>
      <c r="M12" s="235" cm="1">
        <f t="array" ref="M12">SUMPRODUCT(--(D_Category="Ex_Cat_2"),--(D_EffDate="Eff_Date_2"),--(D_Product="SO"),--(D_SC_Name=$A12),(D_Percent))</f>
        <v>0</v>
      </c>
      <c r="N12" s="66">
        <f t="shared" ref="N12:N21" si="10">ROUND(($B12*(1-L12)),2)</f>
        <v>4.45</v>
      </c>
      <c r="O12" s="66">
        <f t="shared" si="2"/>
        <v>0</v>
      </c>
      <c r="P12" s="66">
        <f t="shared" ref="P12:P21" si="11">ROUND(($B12*(1-M12)),2)</f>
        <v>4.45</v>
      </c>
      <c r="Q12" s="93" cm="1">
        <f t="array" ref="Q12">SUMPRODUCT(--(Category="Ex_Cat_2"),--(OpCo="Express"),--(Intl="Domestic"),--(SC_Name=$A12),(SC_Count))</f>
        <v>0</v>
      </c>
      <c r="R12" s="66">
        <f t="shared" ref="R12:R21" si="12">Q12*N12</f>
        <v>0</v>
      </c>
      <c r="S12" s="66">
        <f t="shared" si="3"/>
        <v>0</v>
      </c>
      <c r="T12" s="66">
        <f t="shared" ref="T12:T21" si="13">Q12*P12</f>
        <v>0</v>
      </c>
      <c r="U12" s="238" cm="1">
        <f t="array" ref="U12">SUMPRODUCT(--(D_Category="Ex_Cat_3"),--(D_EffDate="Eff_Date_1"),--(D_Product="SO"),--(D_SC_Name=$A12),(D_Percent))</f>
        <v>0</v>
      </c>
      <c r="V12" s="238" cm="1">
        <f t="array" ref="V12">SUMPRODUCT(--(D_Category="Ex_Cat_3"),--(D_EffDate="Eff_Date_2"),--(D_Product="SO"),--(D_SC_Name=$A12),(D_Percent))</f>
        <v>0</v>
      </c>
      <c r="W12" s="66">
        <f t="shared" ref="W12:W21" si="14">ROUND(($B12*(1-U12)),2)</f>
        <v>4.45</v>
      </c>
      <c r="X12" s="66">
        <f t="shared" si="4"/>
        <v>0</v>
      </c>
      <c r="Y12" s="66">
        <f t="shared" ref="Y12:Y21" si="15">ROUND(($B12*(1-V12)),2)</f>
        <v>4.45</v>
      </c>
      <c r="Z12" s="93" cm="1">
        <f t="array" ref="Z12">SUMPRODUCT(--(Category="Ex_Cat_3"),--(OpCo="Express"),--(Intl="Domestic"),--(SC_Name=$A12),(SC_Count))</f>
        <v>0</v>
      </c>
      <c r="AA12" s="66">
        <f t="shared" ref="AA12:AA21" si="16">Z12*W12</f>
        <v>0</v>
      </c>
      <c r="AB12" s="66">
        <f t="shared" si="5"/>
        <v>0</v>
      </c>
      <c r="AC12" s="355">
        <f t="shared" ref="AC12:AC21" si="17">Z12*Y12</f>
        <v>0</v>
      </c>
    </row>
    <row r="13" spans="1:29" x14ac:dyDescent="0.35">
      <c r="A13" s="72" t="s">
        <v>306</v>
      </c>
      <c r="B13" s="67">
        <v>5.55</v>
      </c>
      <c r="C13" s="218" cm="1">
        <f t="array" ref="C13">SUMPRODUCT(--(D_Category="Ex_Cat_1"),--(D_EffDate="Eff_Date_1"),--(D_Product="SO"),--(D_SC_Name=$A13),(D_Percent))</f>
        <v>0</v>
      </c>
      <c r="D13" s="218" cm="1">
        <f t="array" ref="D13">SUMPRODUCT(--(D_Category="Ex_Cat_1"),--(D_EffDate="Eff_Date_2"),--(D_Product="SO"),--(D_SC_Name=$A13),(D_Percent))</f>
        <v>0</v>
      </c>
      <c r="E13" s="66">
        <f t="shared" si="6"/>
        <v>5.55</v>
      </c>
      <c r="F13" s="66">
        <f t="shared" si="0"/>
        <v>0</v>
      </c>
      <c r="G13" s="66">
        <f t="shared" si="7"/>
        <v>5.55</v>
      </c>
      <c r="H13" s="93" cm="1">
        <f t="array" ref="H13">SUMPRODUCT(--(Category="Ex_Cat_1"),--(OpCo="Express"),--(Intl="Domestic"),--(SC_Name=$A13),(SC_Count))</f>
        <v>0</v>
      </c>
      <c r="I13" s="66">
        <f t="shared" si="8"/>
        <v>0</v>
      </c>
      <c r="J13" s="66">
        <f t="shared" si="1"/>
        <v>0</v>
      </c>
      <c r="K13" s="66">
        <f t="shared" si="9"/>
        <v>0</v>
      </c>
      <c r="L13" s="235" cm="1">
        <f t="array" ref="L13">SUMPRODUCT(--(D_Category="Ex_Cat_2"),--(D_EffDate="Eff_Date_1"),--(D_Product="SO"),--(D_SC_Name=$A13),(D_Percent))</f>
        <v>0</v>
      </c>
      <c r="M13" s="235" cm="1">
        <f t="array" ref="M13">SUMPRODUCT(--(D_Category="Ex_Cat_2"),--(D_EffDate="Eff_Date_2"),--(D_Product="SO"),--(D_SC_Name=$A13),(D_Percent))</f>
        <v>0</v>
      </c>
      <c r="N13" s="66">
        <f t="shared" si="10"/>
        <v>5.55</v>
      </c>
      <c r="O13" s="66">
        <f t="shared" si="2"/>
        <v>0</v>
      </c>
      <c r="P13" s="66">
        <f t="shared" si="11"/>
        <v>5.55</v>
      </c>
      <c r="Q13" s="93" cm="1">
        <f t="array" ref="Q13">SUMPRODUCT(--(Category="Ex_Cat_2"),--(OpCo="Express"),--(Intl="Domestic"),--(SC_Name=$A13),(SC_Count))</f>
        <v>0</v>
      </c>
      <c r="R13" s="66">
        <f t="shared" si="12"/>
        <v>0</v>
      </c>
      <c r="S13" s="66">
        <f t="shared" si="3"/>
        <v>0</v>
      </c>
      <c r="T13" s="66">
        <f t="shared" si="13"/>
        <v>0</v>
      </c>
      <c r="U13" s="238" cm="1">
        <f t="array" ref="U13">SUMPRODUCT(--(D_Category="Ex_Cat_3"),--(D_EffDate="Eff_Date_1"),--(D_Product="SO"),--(D_SC_Name=$A13),(D_Percent))</f>
        <v>0</v>
      </c>
      <c r="V13" s="238" cm="1">
        <f t="array" ref="V13">SUMPRODUCT(--(D_Category="Ex_Cat_3"),--(D_EffDate="Eff_Date_2"),--(D_Product="SO"),--(D_SC_Name=$A13),(D_Percent))</f>
        <v>0</v>
      </c>
      <c r="W13" s="66">
        <f t="shared" si="14"/>
        <v>5.55</v>
      </c>
      <c r="X13" s="66">
        <f t="shared" si="4"/>
        <v>0</v>
      </c>
      <c r="Y13" s="66">
        <f t="shared" si="15"/>
        <v>5.55</v>
      </c>
      <c r="Z13" s="93" cm="1">
        <f t="array" ref="Z13">SUMPRODUCT(--(Category="Ex_Cat_3"),--(OpCo="Express"),--(Intl="Domestic"),--(SC_Name=$A13),(SC_Count))</f>
        <v>0</v>
      </c>
      <c r="AA13" s="66">
        <f t="shared" si="16"/>
        <v>0</v>
      </c>
      <c r="AB13" s="66">
        <f t="shared" si="5"/>
        <v>0</v>
      </c>
      <c r="AC13" s="355">
        <f t="shared" si="17"/>
        <v>0</v>
      </c>
    </row>
    <row r="14" spans="1:29" x14ac:dyDescent="0.35">
      <c r="A14" s="72" t="s">
        <v>951</v>
      </c>
      <c r="B14" s="67">
        <v>16.75</v>
      </c>
      <c r="C14" s="218" cm="1">
        <f t="array" ref="C14">SUMPRODUCT(--(D_Category="Ex_Cat_1"),--(D_EffDate="Eff_Date_1"),--(D_Product="SO"),--(D_SC_Name=$A14),(D_Percent))</f>
        <v>0</v>
      </c>
      <c r="D14" s="218" cm="1">
        <f t="array" ref="D14">SUMPRODUCT(--(D_Category="Ex_Cat_1"),--(D_EffDate="Eff_Date_2"),--(D_Product="SO"),--(D_SC_Name=$A14),(D_Percent))</f>
        <v>0</v>
      </c>
      <c r="E14" s="66">
        <f t="shared" si="6"/>
        <v>16.75</v>
      </c>
      <c r="F14" s="66">
        <f t="shared" si="0"/>
        <v>0</v>
      </c>
      <c r="G14" s="66">
        <f t="shared" si="7"/>
        <v>16.75</v>
      </c>
      <c r="H14" s="93" cm="1">
        <f t="array" ref="H14">SUMPRODUCT(--(Category="Ex_Cat_1"),--(OpCo="Express"),--(Intl="Domestic"),--(SC_Name=$A14),(SC_Count))</f>
        <v>0</v>
      </c>
      <c r="I14" s="66">
        <f t="shared" si="8"/>
        <v>0</v>
      </c>
      <c r="J14" s="66">
        <f t="shared" si="1"/>
        <v>0</v>
      </c>
      <c r="K14" s="66">
        <f t="shared" si="9"/>
        <v>0</v>
      </c>
      <c r="L14" s="235" cm="1">
        <f t="array" ref="L14">SUMPRODUCT(--(D_Category="Ex_Cat_2"),--(D_EffDate="Eff_Date_1"),--(D_Product="SO"),--(D_SC_Name=$A14),(D_Percent))</f>
        <v>0</v>
      </c>
      <c r="M14" s="235" cm="1">
        <f t="array" ref="M14">SUMPRODUCT(--(D_Category="Ex_Cat_2"),--(D_EffDate="Eff_Date_2"),--(D_Product="SO"),--(D_SC_Name=$A14),(D_Percent))</f>
        <v>0</v>
      </c>
      <c r="N14" s="66">
        <f t="shared" si="10"/>
        <v>16.75</v>
      </c>
      <c r="O14" s="66">
        <f t="shared" si="2"/>
        <v>0</v>
      </c>
      <c r="P14" s="66">
        <f t="shared" si="11"/>
        <v>16.75</v>
      </c>
      <c r="Q14" s="93" cm="1">
        <f t="array" ref="Q14">SUMPRODUCT(--(Category="Ex_Cat_2"),--(OpCo="Express"),--(Intl="Domestic"),--(SC_Name=$A14),(SC_Count))</f>
        <v>0</v>
      </c>
      <c r="R14" s="66">
        <f t="shared" si="12"/>
        <v>0</v>
      </c>
      <c r="S14" s="66">
        <f t="shared" si="3"/>
        <v>0</v>
      </c>
      <c r="T14" s="66">
        <f t="shared" si="13"/>
        <v>0</v>
      </c>
      <c r="U14" s="238" cm="1">
        <f t="array" ref="U14">SUMPRODUCT(--(D_Category="Ex_Cat_3"),--(D_EffDate="Eff_Date_1"),--(D_Product="SO"),--(D_SC_Name=$A14),(D_Percent))</f>
        <v>0</v>
      </c>
      <c r="V14" s="238" cm="1">
        <f t="array" ref="V14">SUMPRODUCT(--(D_Category="Ex_Cat_3"),--(D_EffDate="Eff_Date_2"),--(D_Product="SO"),--(D_SC_Name=$A14),(D_Percent))</f>
        <v>0</v>
      </c>
      <c r="W14" s="66">
        <f t="shared" si="14"/>
        <v>16.75</v>
      </c>
      <c r="X14" s="66">
        <f t="shared" si="4"/>
        <v>0</v>
      </c>
      <c r="Y14" s="66">
        <f t="shared" si="15"/>
        <v>16.75</v>
      </c>
      <c r="Z14" s="93" cm="1">
        <f t="array" ref="Z14">SUMPRODUCT(--(Category="Ex_Cat_3"),--(OpCo="Express"),--(Intl="Domestic"),--(SC_Name=$A14),(SC_Count))</f>
        <v>0</v>
      </c>
      <c r="AA14" s="66">
        <f t="shared" si="16"/>
        <v>0</v>
      </c>
      <c r="AB14" s="66">
        <f t="shared" si="5"/>
        <v>0</v>
      </c>
      <c r="AC14" s="355">
        <f t="shared" si="17"/>
        <v>0</v>
      </c>
    </row>
    <row r="15" spans="1:29" x14ac:dyDescent="0.35">
      <c r="A15" s="72" t="s">
        <v>282</v>
      </c>
      <c r="B15" s="67">
        <v>6.6</v>
      </c>
      <c r="C15" s="218" cm="1">
        <f t="array" ref="C15">SUMPRODUCT(--(D_Category="Ex_Cat_1"),--(D_EffDate="Eff_Date_1"),--(D_Product="SO"),--(D_SC_Name=$A15),(D_Percent))</f>
        <v>0</v>
      </c>
      <c r="D15" s="218" cm="1">
        <f t="array" ref="D15">SUMPRODUCT(--(D_Category="Ex_Cat_1"),--(D_EffDate="Eff_Date_2"),--(D_Product="SO"),--(D_SC_Name=$A15),(D_Percent))</f>
        <v>0</v>
      </c>
      <c r="E15" s="66">
        <f t="shared" si="6"/>
        <v>6.6</v>
      </c>
      <c r="F15" s="66">
        <f t="shared" si="0"/>
        <v>0</v>
      </c>
      <c r="G15" s="66">
        <f t="shared" si="7"/>
        <v>6.6</v>
      </c>
      <c r="H15" s="93" cm="1">
        <f t="array" ref="H15">SUMPRODUCT(--(Category="Ex_Cat_1"),--(OpCo="Express"),--(Intl="Domestic"),--(SC_Name=$A15),(SC_Count))</f>
        <v>0</v>
      </c>
      <c r="I15" s="66">
        <f t="shared" si="8"/>
        <v>0</v>
      </c>
      <c r="J15" s="66">
        <f t="shared" si="1"/>
        <v>0</v>
      </c>
      <c r="K15" s="66">
        <f t="shared" si="9"/>
        <v>0</v>
      </c>
      <c r="L15" s="235" cm="1">
        <f t="array" ref="L15">SUMPRODUCT(--(D_Category="Ex_Cat_2"),--(D_EffDate="Eff_Date_1"),--(D_Product="SO"),--(D_SC_Name=$A15),(D_Percent))</f>
        <v>0</v>
      </c>
      <c r="M15" s="235" cm="1">
        <f t="array" ref="M15">SUMPRODUCT(--(D_Category="Ex_Cat_2"),--(D_EffDate="Eff_Date_2"),--(D_Product="SO"),--(D_SC_Name=$A15),(D_Percent))</f>
        <v>0</v>
      </c>
      <c r="N15" s="66">
        <f t="shared" si="10"/>
        <v>6.6</v>
      </c>
      <c r="O15" s="66">
        <f t="shared" si="2"/>
        <v>0</v>
      </c>
      <c r="P15" s="66">
        <f t="shared" si="11"/>
        <v>6.6</v>
      </c>
      <c r="Q15" s="93" cm="1">
        <f t="array" ref="Q15">SUMPRODUCT(--(Category="Ex_Cat_2"),--(OpCo="Express"),--(Intl="Domestic"),--(SC_Name=$A15),(SC_Count))</f>
        <v>0</v>
      </c>
      <c r="R15" s="66">
        <f t="shared" si="12"/>
        <v>0</v>
      </c>
      <c r="S15" s="66">
        <f t="shared" si="3"/>
        <v>0</v>
      </c>
      <c r="T15" s="66">
        <f t="shared" si="13"/>
        <v>0</v>
      </c>
      <c r="U15" s="238" cm="1">
        <f t="array" ref="U15">SUMPRODUCT(--(D_Category="Ex_Cat_3"),--(D_EffDate="Eff_Date_1"),--(D_Product="SO"),--(D_SC_Name=$A15),(D_Percent))</f>
        <v>0</v>
      </c>
      <c r="V15" s="238" cm="1">
        <f t="array" ref="V15">SUMPRODUCT(--(D_Category="Ex_Cat_3"),--(D_EffDate="Eff_Date_2"),--(D_Product="SO"),--(D_SC_Name=$A15),(D_Percent))</f>
        <v>0</v>
      </c>
      <c r="W15" s="66">
        <f t="shared" si="14"/>
        <v>6.6</v>
      </c>
      <c r="X15" s="66">
        <f t="shared" si="4"/>
        <v>0</v>
      </c>
      <c r="Y15" s="66">
        <f t="shared" si="15"/>
        <v>6.6</v>
      </c>
      <c r="Z15" s="93" cm="1">
        <f t="array" ref="Z15">SUMPRODUCT(--(Category="Ex_Cat_3"),--(OpCo="Express"),--(Intl="Domestic"),--(SC_Name=$A15),(SC_Count))</f>
        <v>0</v>
      </c>
      <c r="AA15" s="66">
        <f t="shared" si="16"/>
        <v>0</v>
      </c>
      <c r="AB15" s="66">
        <f t="shared" si="5"/>
        <v>0</v>
      </c>
      <c r="AC15" s="355">
        <f t="shared" si="17"/>
        <v>0</v>
      </c>
    </row>
    <row r="16" spans="1:29" x14ac:dyDescent="0.35">
      <c r="A16" s="72" t="s">
        <v>307</v>
      </c>
      <c r="B16" s="67">
        <v>8.8000000000000007</v>
      </c>
      <c r="C16" s="218" cm="1">
        <f t="array" ref="C16">SUMPRODUCT(--(D_Category="Ex_Cat_1"),--(D_EffDate="Eff_Date_1"),--(D_Product="SO"),--(D_SC_Name=$A16),(D_Percent))</f>
        <v>0</v>
      </c>
      <c r="D16" s="218" cm="1">
        <f t="array" ref="D16">SUMPRODUCT(--(D_Category="Ex_Cat_1"),--(D_EffDate="Eff_Date_2"),--(D_Product="SO"),--(D_SC_Name=$A16),(D_Percent))</f>
        <v>0</v>
      </c>
      <c r="E16" s="66">
        <f t="shared" si="6"/>
        <v>8.8000000000000007</v>
      </c>
      <c r="F16" s="66">
        <f t="shared" si="0"/>
        <v>0</v>
      </c>
      <c r="G16" s="66">
        <f t="shared" si="7"/>
        <v>8.8000000000000007</v>
      </c>
      <c r="H16" s="93" cm="1">
        <f t="array" ref="H16">SUMPRODUCT(--(Category="Ex_Cat_1"),--(OpCo="Express"),--(Intl="Domestic"),--(SC_Name=$A16),(SC_Count))</f>
        <v>0</v>
      </c>
      <c r="I16" s="66">
        <f t="shared" si="8"/>
        <v>0</v>
      </c>
      <c r="J16" s="66">
        <f t="shared" si="1"/>
        <v>0</v>
      </c>
      <c r="K16" s="66">
        <f t="shared" si="9"/>
        <v>0</v>
      </c>
      <c r="L16" s="235" cm="1">
        <f t="array" ref="L16">SUMPRODUCT(--(D_Category="Ex_Cat_2"),--(D_EffDate="Eff_Date_1"),--(D_Product="SO"),--(D_SC_Name=$A16),(D_Percent))</f>
        <v>0</v>
      </c>
      <c r="M16" s="235" cm="1">
        <f t="array" ref="M16">SUMPRODUCT(--(D_Category="Ex_Cat_2"),--(D_EffDate="Eff_Date_2"),--(D_Product="SO"),--(D_SC_Name=$A16),(D_Percent))</f>
        <v>0</v>
      </c>
      <c r="N16" s="66">
        <f t="shared" si="10"/>
        <v>8.8000000000000007</v>
      </c>
      <c r="O16" s="66">
        <f t="shared" si="2"/>
        <v>0</v>
      </c>
      <c r="P16" s="66">
        <f t="shared" si="11"/>
        <v>8.8000000000000007</v>
      </c>
      <c r="Q16" s="93" cm="1">
        <f t="array" ref="Q16">SUMPRODUCT(--(Category="Ex_Cat_2"),--(OpCo="Express"),--(Intl="Domestic"),--(SC_Name=$A16),(SC_Count))</f>
        <v>0</v>
      </c>
      <c r="R16" s="66">
        <f t="shared" si="12"/>
        <v>0</v>
      </c>
      <c r="S16" s="66">
        <f t="shared" si="3"/>
        <v>0</v>
      </c>
      <c r="T16" s="66">
        <f t="shared" si="13"/>
        <v>0</v>
      </c>
      <c r="U16" s="238" cm="1">
        <f t="array" ref="U16">SUMPRODUCT(--(D_Category="Ex_Cat_3"),--(D_EffDate="Eff_Date_1"),--(D_Product="SO"),--(D_SC_Name=$A16),(D_Percent))</f>
        <v>0</v>
      </c>
      <c r="V16" s="238" cm="1">
        <f t="array" ref="V16">SUMPRODUCT(--(D_Category="Ex_Cat_3"),--(D_EffDate="Eff_Date_2"),--(D_Product="SO"),--(D_SC_Name=$A16),(D_Percent))</f>
        <v>0</v>
      </c>
      <c r="W16" s="66">
        <f t="shared" si="14"/>
        <v>8.8000000000000007</v>
      </c>
      <c r="X16" s="66">
        <f t="shared" si="4"/>
        <v>0</v>
      </c>
      <c r="Y16" s="66">
        <f t="shared" si="15"/>
        <v>8.8000000000000007</v>
      </c>
      <c r="Z16" s="93" cm="1">
        <f t="array" ref="Z16">SUMPRODUCT(--(Category="Ex_Cat_3"),--(OpCo="Express"),--(Intl="Domestic"),--(SC_Name=$A16),(SC_Count))</f>
        <v>0</v>
      </c>
      <c r="AA16" s="66">
        <f t="shared" si="16"/>
        <v>0</v>
      </c>
      <c r="AB16" s="66">
        <f t="shared" si="5"/>
        <v>0</v>
      </c>
      <c r="AC16" s="355">
        <f t="shared" si="17"/>
        <v>0</v>
      </c>
    </row>
    <row r="17" spans="1:29" x14ac:dyDescent="0.35">
      <c r="A17" s="72" t="s">
        <v>952</v>
      </c>
      <c r="B17" s="67">
        <v>16.75</v>
      </c>
      <c r="C17" s="218" cm="1">
        <f t="array" ref="C17">SUMPRODUCT(--(D_Category="Ex_Cat_1"),--(D_EffDate="Eff_Date_1"),--(D_Product="SO"),--(D_SC_Name=$A17),(D_Percent))</f>
        <v>0</v>
      </c>
      <c r="D17" s="218" cm="1">
        <f t="array" ref="D17">SUMPRODUCT(--(D_Category="Ex_Cat_1"),--(D_EffDate="Eff_Date_2"),--(D_Product="SO"),--(D_SC_Name=$A17),(D_Percent))</f>
        <v>0</v>
      </c>
      <c r="E17" s="66">
        <f t="shared" si="6"/>
        <v>16.75</v>
      </c>
      <c r="F17" s="66">
        <f t="shared" si="0"/>
        <v>0</v>
      </c>
      <c r="G17" s="66">
        <f t="shared" si="7"/>
        <v>16.75</v>
      </c>
      <c r="H17" s="93" cm="1">
        <f t="array" ref="H17">SUMPRODUCT(--(Category="Ex_Cat_1"),--(OpCo="Express"),--(Intl="Domestic"),--(SC_Name=$A17),(SC_Count))</f>
        <v>0</v>
      </c>
      <c r="I17" s="66">
        <f t="shared" si="8"/>
        <v>0</v>
      </c>
      <c r="J17" s="66">
        <f t="shared" si="1"/>
        <v>0</v>
      </c>
      <c r="K17" s="66">
        <f t="shared" si="9"/>
        <v>0</v>
      </c>
      <c r="L17" s="235" cm="1">
        <f t="array" ref="L17">SUMPRODUCT(--(D_Category="Ex_Cat_2"),--(D_EffDate="Eff_Date_1"),--(D_Product="SO"),--(D_SC_Name=$A17),(D_Percent))</f>
        <v>0</v>
      </c>
      <c r="M17" s="235" cm="1">
        <f t="array" ref="M17">SUMPRODUCT(--(D_Category="Ex_Cat_2"),--(D_EffDate="Eff_Date_2"),--(D_Product="SO"),--(D_SC_Name=$A17),(D_Percent))</f>
        <v>0</v>
      </c>
      <c r="N17" s="66">
        <f t="shared" si="10"/>
        <v>16.75</v>
      </c>
      <c r="O17" s="66">
        <f t="shared" si="2"/>
        <v>0</v>
      </c>
      <c r="P17" s="66">
        <f t="shared" si="11"/>
        <v>16.75</v>
      </c>
      <c r="Q17" s="93" cm="1">
        <f t="array" ref="Q17">SUMPRODUCT(--(Category="Ex_Cat_2"),--(OpCo="Express"),--(Intl="Domestic"),--(SC_Name=$A17),(SC_Count))</f>
        <v>0</v>
      </c>
      <c r="R17" s="66">
        <f t="shared" si="12"/>
        <v>0</v>
      </c>
      <c r="S17" s="66">
        <f t="shared" si="3"/>
        <v>0</v>
      </c>
      <c r="T17" s="66">
        <f t="shared" si="13"/>
        <v>0</v>
      </c>
      <c r="U17" s="238" cm="1">
        <f t="array" ref="U17">SUMPRODUCT(--(D_Category="Ex_Cat_3"),--(D_EffDate="Eff_Date_1"),--(D_Product="SO"),--(D_SC_Name=$A17),(D_Percent))</f>
        <v>0</v>
      </c>
      <c r="V17" s="238" cm="1">
        <f t="array" ref="V17">SUMPRODUCT(--(D_Category="Ex_Cat_3"),--(D_EffDate="Eff_Date_2"),--(D_Product="SO"),--(D_SC_Name=$A17),(D_Percent))</f>
        <v>0</v>
      </c>
      <c r="W17" s="66">
        <f t="shared" si="14"/>
        <v>16.75</v>
      </c>
      <c r="X17" s="66">
        <f t="shared" si="4"/>
        <v>0</v>
      </c>
      <c r="Y17" s="66">
        <f t="shared" si="15"/>
        <v>16.75</v>
      </c>
      <c r="Z17" s="93" cm="1">
        <f t="array" ref="Z17">SUMPRODUCT(--(Category="Ex_Cat_3"),--(OpCo="Express"),--(Intl="Domestic"),--(SC_Name=$A17),(SC_Count))</f>
        <v>0</v>
      </c>
      <c r="AA17" s="66">
        <f t="shared" si="16"/>
        <v>0</v>
      </c>
      <c r="AB17" s="66">
        <f t="shared" si="5"/>
        <v>0</v>
      </c>
      <c r="AC17" s="355">
        <f t="shared" si="17"/>
        <v>0</v>
      </c>
    </row>
    <row r="18" spans="1:29" x14ac:dyDescent="0.35">
      <c r="A18" s="72" t="s">
        <v>304</v>
      </c>
      <c r="B18" s="67">
        <v>46</v>
      </c>
      <c r="C18" s="218" cm="1">
        <f t="array" ref="C18">SUMPRODUCT(--(D_Category="Ex_Cat_1"),--(D_EffDate="Eff_Date_1"),--(D_Product="SO"),--(D_SC_Name=$A18),(D_Percent))</f>
        <v>0</v>
      </c>
      <c r="D18" s="218" cm="1">
        <f t="array" ref="D18">SUMPRODUCT(--(D_Category="Ex_Cat_1"),--(D_EffDate="Eff_Date_2"),--(D_Product="SO"),--(D_SC_Name=$A18),(D_Percent))</f>
        <v>0</v>
      </c>
      <c r="E18" s="66">
        <f t="shared" si="6"/>
        <v>46</v>
      </c>
      <c r="F18" s="66">
        <f t="shared" si="0"/>
        <v>0</v>
      </c>
      <c r="G18" s="66">
        <f t="shared" si="7"/>
        <v>46</v>
      </c>
      <c r="H18" s="93" cm="1">
        <f t="array" ref="H18">SUMPRODUCT(--(Category="Ex_Cat_1"),--(OpCo="Express"),--(Intl="Domestic"),--(SC_Name=$A18),(SC_Count))</f>
        <v>0</v>
      </c>
      <c r="I18" s="66">
        <f t="shared" si="8"/>
        <v>0</v>
      </c>
      <c r="J18" s="66">
        <f t="shared" si="1"/>
        <v>0</v>
      </c>
      <c r="K18" s="66">
        <f t="shared" si="9"/>
        <v>0</v>
      </c>
      <c r="L18" s="235" cm="1">
        <f t="array" ref="L18">SUMPRODUCT(--(D_Category="Ex_Cat_2"),--(D_EffDate="Eff_Date_1"),--(D_Product="SO"),--(D_SC_Name=$A18),(D_Percent))</f>
        <v>0</v>
      </c>
      <c r="M18" s="235" cm="1">
        <f t="array" ref="M18">SUMPRODUCT(--(D_Category="Ex_Cat_2"),--(D_EffDate="Eff_Date_2"),--(D_Product="SO"),--(D_SC_Name=$A18),(D_Percent))</f>
        <v>0</v>
      </c>
      <c r="N18" s="66">
        <f t="shared" si="10"/>
        <v>46</v>
      </c>
      <c r="O18" s="66">
        <f t="shared" si="2"/>
        <v>0</v>
      </c>
      <c r="P18" s="66">
        <f t="shared" si="11"/>
        <v>46</v>
      </c>
      <c r="Q18" s="93" cm="1">
        <f t="array" ref="Q18">SUMPRODUCT(--(Category="Ex_Cat_2"),--(OpCo="Express"),--(Intl="Domestic"),--(SC_Name=$A18),(SC_Count))</f>
        <v>0</v>
      </c>
      <c r="R18" s="66">
        <f t="shared" si="12"/>
        <v>0</v>
      </c>
      <c r="S18" s="66">
        <f t="shared" si="3"/>
        <v>0</v>
      </c>
      <c r="T18" s="66">
        <f t="shared" si="13"/>
        <v>0</v>
      </c>
      <c r="U18" s="238" cm="1">
        <f t="array" ref="U18">SUMPRODUCT(--(D_Category="Ex_Cat_3"),--(D_EffDate="Eff_Date_1"),--(D_Product="SO"),--(D_SC_Name=$A18),(D_Percent))</f>
        <v>0</v>
      </c>
      <c r="V18" s="238" cm="1">
        <f t="array" ref="V18">SUMPRODUCT(--(D_Category="Ex_Cat_3"),--(D_EffDate="Eff_Date_2"),--(D_Product="SO"),--(D_SC_Name=$A18),(D_Percent))</f>
        <v>0</v>
      </c>
      <c r="W18" s="66">
        <f t="shared" si="14"/>
        <v>46</v>
      </c>
      <c r="X18" s="66">
        <f t="shared" si="4"/>
        <v>0</v>
      </c>
      <c r="Y18" s="66">
        <f t="shared" si="15"/>
        <v>46</v>
      </c>
      <c r="Z18" s="93" cm="1">
        <f t="array" ref="Z18">SUMPRODUCT(--(Category="Ex_Cat_3"),--(OpCo="Express"),--(Intl="Domestic"),--(SC_Name=$A18),(SC_Count))</f>
        <v>0</v>
      </c>
      <c r="AA18" s="66">
        <f t="shared" si="16"/>
        <v>0</v>
      </c>
      <c r="AB18" s="66">
        <f t="shared" si="5"/>
        <v>0</v>
      </c>
      <c r="AC18" s="355">
        <f t="shared" si="17"/>
        <v>0</v>
      </c>
    </row>
    <row r="19" spans="1:29" x14ac:dyDescent="0.35">
      <c r="A19" s="72" t="s">
        <v>305</v>
      </c>
      <c r="B19" s="67">
        <v>46</v>
      </c>
      <c r="C19" s="218" cm="1">
        <f t="array" ref="C19">SUMPRODUCT(--(D_Category="Ex_Cat_1"),--(D_EffDate="Eff_Date_1"),--(D_Product="SO"),--(D_SC_Name=$A19),(D_Percent))</f>
        <v>0</v>
      </c>
      <c r="D19" s="218" cm="1">
        <f t="array" ref="D19">SUMPRODUCT(--(D_Category="Ex_Cat_1"),--(D_EffDate="Eff_Date_2"),--(D_Product="SO"),--(D_SC_Name=$A19),(D_Percent))</f>
        <v>0</v>
      </c>
      <c r="E19" s="66">
        <f t="shared" si="6"/>
        <v>46</v>
      </c>
      <c r="F19" s="66">
        <f t="shared" si="0"/>
        <v>0</v>
      </c>
      <c r="G19" s="66">
        <f t="shared" si="7"/>
        <v>46</v>
      </c>
      <c r="H19" s="93" cm="1">
        <f t="array" ref="H19">SUMPRODUCT(--(Category="Ex_Cat_1"),--(OpCo="Express"),--(Intl="Domestic"),--(SC_Name=$A19),(SC_Count))</f>
        <v>0</v>
      </c>
      <c r="I19" s="66">
        <f t="shared" si="8"/>
        <v>0</v>
      </c>
      <c r="J19" s="66">
        <f t="shared" si="1"/>
        <v>0</v>
      </c>
      <c r="K19" s="66">
        <f t="shared" si="9"/>
        <v>0</v>
      </c>
      <c r="L19" s="235" cm="1">
        <f t="array" ref="L19">SUMPRODUCT(--(D_Category="Ex_Cat_2"),--(D_EffDate="Eff_Date_1"),--(D_Product="SO"),--(D_SC_Name=$A19),(D_Percent))</f>
        <v>0</v>
      </c>
      <c r="M19" s="235" cm="1">
        <f t="array" ref="M19">SUMPRODUCT(--(D_Category="Ex_Cat_2"),--(D_EffDate="Eff_Date_2"),--(D_Product="SO"),--(D_SC_Name=$A19),(D_Percent))</f>
        <v>0</v>
      </c>
      <c r="N19" s="66">
        <f t="shared" si="10"/>
        <v>46</v>
      </c>
      <c r="O19" s="66">
        <f t="shared" si="2"/>
        <v>0</v>
      </c>
      <c r="P19" s="66">
        <f t="shared" si="11"/>
        <v>46</v>
      </c>
      <c r="Q19" s="93" cm="1">
        <f t="array" ref="Q19">SUMPRODUCT(--(Category="Ex_Cat_2"),--(OpCo="Express"),--(Intl="Domestic"),--(SC_Name=$A19),(SC_Count))</f>
        <v>0</v>
      </c>
      <c r="R19" s="66">
        <f t="shared" si="12"/>
        <v>0</v>
      </c>
      <c r="S19" s="66">
        <f t="shared" si="3"/>
        <v>0</v>
      </c>
      <c r="T19" s="66">
        <f t="shared" si="13"/>
        <v>0</v>
      </c>
      <c r="U19" s="238" cm="1">
        <f t="array" ref="U19">SUMPRODUCT(--(D_Category="Ex_Cat_3"),--(D_EffDate="Eff_Date_1"),--(D_Product="SO"),--(D_SC_Name=$A19),(D_Percent))</f>
        <v>0</v>
      </c>
      <c r="V19" s="238" cm="1">
        <f t="array" ref="V19">SUMPRODUCT(--(D_Category="Ex_Cat_3"),--(D_EffDate="Eff_Date_2"),--(D_Product="SO"),--(D_SC_Name=$A19),(D_Percent))</f>
        <v>0</v>
      </c>
      <c r="W19" s="66">
        <f t="shared" si="14"/>
        <v>46</v>
      </c>
      <c r="X19" s="66">
        <f t="shared" si="4"/>
        <v>0</v>
      </c>
      <c r="Y19" s="66">
        <f t="shared" si="15"/>
        <v>46</v>
      </c>
      <c r="Z19" s="93" cm="1">
        <f t="array" ref="Z19">SUMPRODUCT(--(Category="Ex_Cat_3"),--(OpCo="Express"),--(Intl="Domestic"),--(SC_Name=$A19),(SC_Count))</f>
        <v>0</v>
      </c>
      <c r="AA19" s="66">
        <f t="shared" si="16"/>
        <v>0</v>
      </c>
      <c r="AB19" s="66">
        <f t="shared" si="5"/>
        <v>0</v>
      </c>
      <c r="AC19" s="355">
        <f t="shared" si="17"/>
        <v>0</v>
      </c>
    </row>
    <row r="20" spans="1:29" x14ac:dyDescent="0.35">
      <c r="A20" s="72" t="s">
        <v>308</v>
      </c>
      <c r="B20" s="67">
        <v>16.25</v>
      </c>
      <c r="C20" s="218" cm="1">
        <f t="array" ref="C20">SUMPRODUCT(--(D_Category="Ex_Cat_1"),--(D_EffDate="Eff_Date_1"),--(D_Product="SO"),--(D_SC_Name=$A20),(D_Percent))</f>
        <v>0</v>
      </c>
      <c r="D20" s="218" cm="1">
        <f t="array" ref="D20">SUMPRODUCT(--(D_Category="Ex_Cat_1"),--(D_EffDate="Eff_Date_2"),--(D_Product="SO"),--(D_SC_Name=$A20),(D_Percent))</f>
        <v>0</v>
      </c>
      <c r="E20" s="66">
        <f t="shared" si="6"/>
        <v>16.25</v>
      </c>
      <c r="F20" s="66">
        <f t="shared" si="0"/>
        <v>0</v>
      </c>
      <c r="G20" s="66">
        <f t="shared" si="7"/>
        <v>16.25</v>
      </c>
      <c r="H20" s="93" cm="1">
        <f t="array" ref="H20">SUMPRODUCT(--(Category="Ex_Cat_1"),--(OpCo="Express"),--(Intl="Domestic"),--(SC_Name=$A20),(SC_Count))</f>
        <v>0</v>
      </c>
      <c r="I20" s="66">
        <f t="shared" si="8"/>
        <v>0</v>
      </c>
      <c r="J20" s="66">
        <f t="shared" si="1"/>
        <v>0</v>
      </c>
      <c r="K20" s="66">
        <f t="shared" si="9"/>
        <v>0</v>
      </c>
      <c r="L20" s="235" cm="1">
        <f t="array" ref="L20">SUMPRODUCT(--(D_Category="Ex_Cat_2"),--(D_EffDate="Eff_Date_1"),--(D_Product="SO"),--(D_SC_Name=$A20),(D_Percent))</f>
        <v>0</v>
      </c>
      <c r="M20" s="235" cm="1">
        <f t="array" ref="M20">SUMPRODUCT(--(D_Category="Ex_Cat_2"),--(D_EffDate="Eff_Date_2"),--(D_Product="SO"),--(D_SC_Name=$A20),(D_Percent))</f>
        <v>0</v>
      </c>
      <c r="N20" s="66">
        <f t="shared" si="10"/>
        <v>16.25</v>
      </c>
      <c r="O20" s="66">
        <f t="shared" si="2"/>
        <v>0</v>
      </c>
      <c r="P20" s="66">
        <f t="shared" si="11"/>
        <v>16.25</v>
      </c>
      <c r="Q20" s="93" cm="1">
        <f t="array" ref="Q20">SUMPRODUCT(--(Category="Ex_Cat_2"),--(OpCo="Express"),--(Intl="Domestic"),--(SC_Name=$A20),(SC_Count))</f>
        <v>0</v>
      </c>
      <c r="R20" s="66">
        <f t="shared" si="12"/>
        <v>0</v>
      </c>
      <c r="S20" s="66">
        <f t="shared" si="3"/>
        <v>0</v>
      </c>
      <c r="T20" s="66">
        <f t="shared" si="13"/>
        <v>0</v>
      </c>
      <c r="U20" s="238" cm="1">
        <f t="array" ref="U20">SUMPRODUCT(--(D_Category="Ex_Cat_3"),--(D_EffDate="Eff_Date_1"),--(D_Product="SO"),--(D_SC_Name=$A20),(D_Percent))</f>
        <v>0</v>
      </c>
      <c r="V20" s="238" cm="1">
        <f t="array" ref="V20">SUMPRODUCT(--(D_Category="Ex_Cat_3"),--(D_EffDate="Eff_Date_2"),--(D_Product="SO"),--(D_SC_Name=$A20),(D_Percent))</f>
        <v>0</v>
      </c>
      <c r="W20" s="66">
        <f t="shared" si="14"/>
        <v>16.25</v>
      </c>
      <c r="X20" s="66">
        <f t="shared" si="4"/>
        <v>0</v>
      </c>
      <c r="Y20" s="66">
        <f t="shared" si="15"/>
        <v>16.25</v>
      </c>
      <c r="Z20" s="93" cm="1">
        <f t="array" ref="Z20">SUMPRODUCT(--(Category="Ex_Cat_3"),--(OpCo="Express"),--(Intl="Domestic"),--(SC_Name=$A20),(SC_Count))</f>
        <v>0</v>
      </c>
      <c r="AA20" s="66">
        <f t="shared" si="16"/>
        <v>0</v>
      </c>
      <c r="AB20" s="66">
        <f t="shared" si="5"/>
        <v>0</v>
      </c>
      <c r="AC20" s="355">
        <f t="shared" si="17"/>
        <v>0</v>
      </c>
    </row>
    <row r="21" spans="1:29" x14ac:dyDescent="0.35">
      <c r="A21" s="72" t="s">
        <v>309</v>
      </c>
      <c r="B21" s="67">
        <v>16.25</v>
      </c>
      <c r="C21" s="218" cm="1">
        <f t="array" ref="C21">SUMPRODUCT(--(D_Category="Ex_Cat_1"),--(D_EffDate="Eff_Date_1"),--(D_Product="SO"),--(D_SC_Name=$A21),(D_Percent))</f>
        <v>0</v>
      </c>
      <c r="D21" s="218" cm="1">
        <f t="array" ref="D21">SUMPRODUCT(--(D_Category="Ex_Cat_1"),--(D_EffDate="Eff_Date_2"),--(D_Product="SO"),--(D_SC_Name=$A21),(D_Percent))</f>
        <v>0</v>
      </c>
      <c r="E21" s="66">
        <f t="shared" si="6"/>
        <v>16.25</v>
      </c>
      <c r="F21" s="66">
        <f t="shared" si="0"/>
        <v>0</v>
      </c>
      <c r="G21" s="66">
        <f t="shared" si="7"/>
        <v>16.25</v>
      </c>
      <c r="H21" s="93" cm="1">
        <f t="array" ref="H21">SUMPRODUCT(--(Category="Ex_Cat_1"),--(OpCo="Express"),--(Intl="Domestic"),--(SC_Name=$A21),(SC_Count))</f>
        <v>0</v>
      </c>
      <c r="I21" s="66">
        <f t="shared" si="8"/>
        <v>0</v>
      </c>
      <c r="J21" s="66">
        <f t="shared" si="1"/>
        <v>0</v>
      </c>
      <c r="K21" s="66">
        <f t="shared" si="9"/>
        <v>0</v>
      </c>
      <c r="L21" s="235" cm="1">
        <f t="array" ref="L21">SUMPRODUCT(--(D_Category="Ex_Cat_2"),--(D_EffDate="Eff_Date_1"),--(D_Product="SO"),--(D_SC_Name=$A21),(D_Percent))</f>
        <v>0</v>
      </c>
      <c r="M21" s="235" cm="1">
        <f t="array" ref="M21">SUMPRODUCT(--(D_Category="Ex_Cat_2"),--(D_EffDate="Eff_Date_2"),--(D_Product="SO"),--(D_SC_Name=$A21),(D_Percent))</f>
        <v>0</v>
      </c>
      <c r="N21" s="66">
        <f t="shared" si="10"/>
        <v>16.25</v>
      </c>
      <c r="O21" s="66">
        <f t="shared" si="2"/>
        <v>0</v>
      </c>
      <c r="P21" s="66">
        <f t="shared" si="11"/>
        <v>16.25</v>
      </c>
      <c r="Q21" s="93" cm="1">
        <f t="array" ref="Q21">SUMPRODUCT(--(Category="Ex_Cat_2"),--(OpCo="Express"),--(Intl="Domestic"),--(SC_Name=$A21),(SC_Count))</f>
        <v>0</v>
      </c>
      <c r="R21" s="66">
        <f t="shared" si="12"/>
        <v>0</v>
      </c>
      <c r="S21" s="66">
        <f t="shared" si="3"/>
        <v>0</v>
      </c>
      <c r="T21" s="66">
        <f t="shared" si="13"/>
        <v>0</v>
      </c>
      <c r="U21" s="238" cm="1">
        <f t="array" ref="U21">SUMPRODUCT(--(D_Category="Ex_Cat_3"),--(D_EffDate="Eff_Date_1"),--(D_Product="SO"),--(D_SC_Name=$A21),(D_Percent))</f>
        <v>0</v>
      </c>
      <c r="V21" s="238" cm="1">
        <f t="array" ref="V21">SUMPRODUCT(--(D_Category="Ex_Cat_3"),--(D_EffDate="Eff_Date_2"),--(D_Product="SO"),--(D_SC_Name=$A21),(D_Percent))</f>
        <v>0</v>
      </c>
      <c r="W21" s="66">
        <f t="shared" si="14"/>
        <v>16.25</v>
      </c>
      <c r="X21" s="66">
        <f t="shared" si="4"/>
        <v>0</v>
      </c>
      <c r="Y21" s="66">
        <f t="shared" si="15"/>
        <v>16.25</v>
      </c>
      <c r="Z21" s="93" cm="1">
        <f t="array" ref="Z21">SUMPRODUCT(--(Category="Ex_Cat_3"),--(OpCo="Express"),--(Intl="Domestic"),--(SC_Name=$A21),(SC_Count))</f>
        <v>0</v>
      </c>
      <c r="AA21" s="66">
        <f t="shared" si="16"/>
        <v>0</v>
      </c>
      <c r="AB21" s="66">
        <f t="shared" si="5"/>
        <v>0</v>
      </c>
      <c r="AC21" s="355">
        <f t="shared" si="17"/>
        <v>0</v>
      </c>
    </row>
    <row r="22" spans="1:29" x14ac:dyDescent="0.35">
      <c r="A22" s="70" t="s">
        <v>286</v>
      </c>
      <c r="B22" s="69"/>
      <c r="C22" s="218"/>
      <c r="D22" s="218"/>
      <c r="E22" s="68"/>
      <c r="F22" s="68"/>
      <c r="G22" s="68"/>
      <c r="H22" s="92"/>
      <c r="I22" s="68"/>
      <c r="J22" s="68"/>
      <c r="K22" s="68"/>
      <c r="L22" s="235"/>
      <c r="M22" s="235"/>
      <c r="N22" s="68"/>
      <c r="O22" s="68"/>
      <c r="P22" s="68"/>
      <c r="Q22" s="92"/>
      <c r="R22" s="68"/>
      <c r="S22" s="68"/>
      <c r="T22" s="68"/>
      <c r="U22" s="238"/>
      <c r="V22" s="238"/>
      <c r="W22" s="68"/>
      <c r="X22" s="68"/>
      <c r="Y22" s="68"/>
      <c r="Z22" s="92"/>
      <c r="AA22" s="68"/>
      <c r="AB22" s="68"/>
      <c r="AC22" s="460"/>
    </row>
    <row r="23" spans="1:29" x14ac:dyDescent="0.35">
      <c r="A23" s="73" t="s">
        <v>288</v>
      </c>
      <c r="B23" s="69">
        <v>10</v>
      </c>
      <c r="C23" s="218" cm="1">
        <f t="array" ref="C23">SUMPRODUCT(--(D_Category="Ex_Cat_1"),--(D_EffDate="Eff_Date_1"),--(D_Product="SO"),--(D_SC_Name=$A23),(D_Percent))</f>
        <v>0</v>
      </c>
      <c r="D23" s="218" cm="1">
        <f t="array" ref="D23">SUMPRODUCT(--(D_Category="Ex_Cat_1"),--(D_EffDate="Eff_Date_2"),--(D_Product="SO"),--(D_SC_Name=$A23),(D_Percent))</f>
        <v>0</v>
      </c>
      <c r="E23" s="68">
        <f>ROUND(($B23*(1-C23)),2)</f>
        <v>10</v>
      </c>
      <c r="F23" s="68">
        <f t="shared" si="0"/>
        <v>0</v>
      </c>
      <c r="G23" s="68">
        <f>ROUND(($B23*(1-D23)),2)</f>
        <v>10</v>
      </c>
      <c r="H23" s="92" cm="1">
        <f t="array" ref="H23">SUMPRODUCT(--(Category="Ex_Cat_1"),--(OpCo="Express"),--(Intl="Domestic"),--(SC_Name=$A23),(SC_Count))</f>
        <v>0</v>
      </c>
      <c r="I23" s="68">
        <f>H23*E23</f>
        <v>0</v>
      </c>
      <c r="J23" s="68">
        <f t="shared" si="1"/>
        <v>0</v>
      </c>
      <c r="K23" s="68">
        <f>H23*G23</f>
        <v>0</v>
      </c>
      <c r="L23" s="235" cm="1">
        <f t="array" ref="L23">SUMPRODUCT(--(D_Category="Ex_Cat_2"),--(D_EffDate="Eff_Date_1"),--(D_Product="SO"),--(D_SC_Name=$A23),(D_Percent))</f>
        <v>0</v>
      </c>
      <c r="M23" s="235" cm="1">
        <f t="array" ref="M23">SUMPRODUCT(--(D_Category="Ex_Cat_2"),--(D_EffDate="Eff_Date_2"),--(D_Product="SO"),--(D_SC_Name=$A23),(D_Percent))</f>
        <v>0</v>
      </c>
      <c r="N23" s="68">
        <f>ROUND(($B23*(1-L23)),2)</f>
        <v>10</v>
      </c>
      <c r="O23" s="68">
        <f t="shared" si="2"/>
        <v>0</v>
      </c>
      <c r="P23" s="68">
        <f>ROUND(($B23*(1-M23)),2)</f>
        <v>10</v>
      </c>
      <c r="Q23" s="92" cm="1">
        <f t="array" ref="Q23">SUMPRODUCT(--(Category="Ex_Cat_2"),--(OpCo="Express"),--(Intl="Domestic"),--(SC_Name=$A23),(SC_Count))</f>
        <v>0</v>
      </c>
      <c r="R23" s="68">
        <f>Q23*N23</f>
        <v>0</v>
      </c>
      <c r="S23" s="68">
        <f t="shared" si="3"/>
        <v>0</v>
      </c>
      <c r="T23" s="68">
        <f>Q23*P23</f>
        <v>0</v>
      </c>
      <c r="U23" s="238" cm="1">
        <f t="array" ref="U23">SUMPRODUCT(--(D_Category="Ex_Cat_3"),--(D_EffDate="Eff_Date_1"),--(D_Product="SO"),--(D_SC_Name=$A23),(D_Percent))</f>
        <v>0</v>
      </c>
      <c r="V23" s="238" cm="1">
        <f t="array" ref="V23">SUMPRODUCT(--(D_Category="Ex_Cat_3"),--(D_EffDate="Eff_Date_2"),--(D_Product="SO"),--(D_SC_Name=$A23),(D_Percent))</f>
        <v>0</v>
      </c>
      <c r="W23" s="68">
        <f>ROUND(($B23*(1-U23)),2)</f>
        <v>10</v>
      </c>
      <c r="X23" s="68">
        <f t="shared" si="4"/>
        <v>0</v>
      </c>
      <c r="Y23" s="68">
        <f>ROUND(($B23*(1-V23)),2)</f>
        <v>10</v>
      </c>
      <c r="Z23" s="92" cm="1">
        <f t="array" ref="Z23">SUMPRODUCT(--(Category="Ex_Cat_3"),--(OpCo="Express"),--(Intl="Domestic"),--(SC_Name=$A23),(SC_Count))</f>
        <v>0</v>
      </c>
      <c r="AA23" s="68">
        <f>Z23*W23</f>
        <v>0</v>
      </c>
      <c r="AB23" s="68">
        <f t="shared" si="5"/>
        <v>0</v>
      </c>
      <c r="AC23" s="460">
        <f>Z23*Y23</f>
        <v>0</v>
      </c>
    </row>
    <row r="24" spans="1:29" x14ac:dyDescent="0.35">
      <c r="A24" s="73" t="s">
        <v>285</v>
      </c>
      <c r="B24" s="69">
        <v>7.6</v>
      </c>
      <c r="C24" s="218" cm="1">
        <f t="array" ref="C24">SUMPRODUCT(--(D_Category="Ex_Cat_1"),--(D_EffDate="Eff_Date_1"),--(D_Product="SO"),--(D_SC_Name=$A24),(D_Percent))</f>
        <v>0</v>
      </c>
      <c r="D24" s="218" cm="1">
        <f t="array" ref="D24">SUMPRODUCT(--(D_Category="Ex_Cat_1"),--(D_EffDate="Eff_Date_2"),--(D_Product="SO"),--(D_SC_Name=$A24),(D_Percent))</f>
        <v>0</v>
      </c>
      <c r="E24" s="68">
        <f>ROUND(($B24*(1-C24)),2)</f>
        <v>7.6</v>
      </c>
      <c r="F24" s="68">
        <f t="shared" si="0"/>
        <v>0</v>
      </c>
      <c r="G24" s="68">
        <f>ROUND(($B24*(1-D24)),2)</f>
        <v>7.6</v>
      </c>
      <c r="H24" s="92" cm="1">
        <f t="array" ref="H24">SUMPRODUCT(--(Category="Ex_Cat_1"),--(OpCo="Express"),--(Intl="Domestic"),--(SC_Name=$A24),(SC_Count))</f>
        <v>0</v>
      </c>
      <c r="I24" s="68">
        <f>H24*E24</f>
        <v>0</v>
      </c>
      <c r="J24" s="68">
        <f t="shared" si="1"/>
        <v>0</v>
      </c>
      <c r="K24" s="68">
        <f>H24*G24</f>
        <v>0</v>
      </c>
      <c r="L24" s="235" cm="1">
        <f t="array" ref="L24">SUMPRODUCT(--(D_Category="Ex_Cat_2"),--(D_EffDate="Eff_Date_1"),--(D_Product="SO"),--(D_SC_Name=$A24),(D_Percent))</f>
        <v>0</v>
      </c>
      <c r="M24" s="235" cm="1">
        <f t="array" ref="M24">SUMPRODUCT(--(D_Category="Ex_Cat_2"),--(D_EffDate="Eff_Date_2"),--(D_Product="SO"),--(D_SC_Name=$A24),(D_Percent))</f>
        <v>0</v>
      </c>
      <c r="N24" s="68">
        <f>ROUND(($B24*(1-L24)),2)</f>
        <v>7.6</v>
      </c>
      <c r="O24" s="68">
        <f t="shared" si="2"/>
        <v>0</v>
      </c>
      <c r="P24" s="68">
        <f>ROUND(($B24*(1-M24)),2)</f>
        <v>7.6</v>
      </c>
      <c r="Q24" s="92" cm="1">
        <f t="array" ref="Q24">SUMPRODUCT(--(Category="Ex_Cat_2"),--(OpCo="Express"),--(Intl="Domestic"),--(SC_Name=$A24),(SC_Count))</f>
        <v>0</v>
      </c>
      <c r="R24" s="68">
        <f>Q24*N24</f>
        <v>0</v>
      </c>
      <c r="S24" s="68">
        <f t="shared" si="3"/>
        <v>0</v>
      </c>
      <c r="T24" s="68">
        <f>Q24*P24</f>
        <v>0</v>
      </c>
      <c r="U24" s="238" cm="1">
        <f t="array" ref="U24">SUMPRODUCT(--(D_Category="Ex_Cat_3"),--(D_EffDate="Eff_Date_1"),--(D_Product="SO"),--(D_SC_Name=$A24),(D_Percent))</f>
        <v>0</v>
      </c>
      <c r="V24" s="238" cm="1">
        <f t="array" ref="V24">SUMPRODUCT(--(D_Category="Ex_Cat_3"),--(D_EffDate="Eff_Date_2"),--(D_Product="SO"),--(D_SC_Name=$A24),(D_Percent))</f>
        <v>0</v>
      </c>
      <c r="W24" s="68">
        <f>ROUND(($B24*(1-U24)),2)</f>
        <v>7.6</v>
      </c>
      <c r="X24" s="68">
        <f t="shared" si="4"/>
        <v>0</v>
      </c>
      <c r="Y24" s="68">
        <f>ROUND(($B24*(1-V24)),2)</f>
        <v>7.6</v>
      </c>
      <c r="Z24" s="92" cm="1">
        <f t="array" ref="Z24">SUMPRODUCT(--(Category="Ex_Cat_3"),--(OpCo="Express"),--(Intl="Domestic"),--(SC_Name=$A24),(SC_Count))</f>
        <v>0</v>
      </c>
      <c r="AA24" s="68">
        <f>Z24*W24</f>
        <v>0</v>
      </c>
      <c r="AB24" s="68">
        <f t="shared" si="5"/>
        <v>0</v>
      </c>
      <c r="AC24" s="460">
        <f>Z24*Y24</f>
        <v>0</v>
      </c>
    </row>
    <row r="25" spans="1:29" x14ac:dyDescent="0.35">
      <c r="A25" s="73" t="s">
        <v>287</v>
      </c>
      <c r="B25" s="69">
        <v>7.6</v>
      </c>
      <c r="C25" s="218" cm="1">
        <f t="array" ref="C25">SUMPRODUCT(--(D_Category="Ex_Cat_1"),--(D_EffDate="Eff_Date_1"),--(D_Product="SO"),--(D_SC_Name=$A25),(D_Percent))</f>
        <v>0</v>
      </c>
      <c r="D25" s="218" cm="1">
        <f t="array" ref="D25">SUMPRODUCT(--(D_Category="Ex_Cat_1"),--(D_EffDate="Eff_Date_2"),--(D_Product="SO"),--(D_SC_Name=$A25),(D_Percent))</f>
        <v>0</v>
      </c>
      <c r="E25" s="68">
        <f>ROUND(($B25*(1-C25)),2)</f>
        <v>7.6</v>
      </c>
      <c r="F25" s="68">
        <f t="shared" si="0"/>
        <v>0</v>
      </c>
      <c r="G25" s="68">
        <f>ROUND(($B25*(1-D25)),2)</f>
        <v>7.6</v>
      </c>
      <c r="H25" s="92" cm="1">
        <f t="array" ref="H25">SUMPRODUCT(--(Category="Ex_Cat_1"),--(OpCo="Express"),--(Intl="Domestic"),--(SC_Name=$A25),(SC_Count))</f>
        <v>0</v>
      </c>
      <c r="I25" s="68">
        <f>H25*E25</f>
        <v>0</v>
      </c>
      <c r="J25" s="68">
        <f t="shared" si="1"/>
        <v>0</v>
      </c>
      <c r="K25" s="68">
        <f>H25*G25</f>
        <v>0</v>
      </c>
      <c r="L25" s="235" cm="1">
        <f t="array" ref="L25">SUMPRODUCT(--(D_Category="Ex_Cat_2"),--(D_EffDate="Eff_Date_1"),--(D_Product="SO"),--(D_SC_Name=$A25),(D_Percent))</f>
        <v>0</v>
      </c>
      <c r="M25" s="235" cm="1">
        <f t="array" ref="M25">SUMPRODUCT(--(D_Category="Ex_Cat_2"),--(D_EffDate="Eff_Date_2"),--(D_Product="SO"),--(D_SC_Name=$A25),(D_Percent))</f>
        <v>0</v>
      </c>
      <c r="N25" s="68">
        <f>ROUND(($B25*(1-L25)),2)</f>
        <v>7.6</v>
      </c>
      <c r="O25" s="68">
        <f t="shared" si="2"/>
        <v>0</v>
      </c>
      <c r="P25" s="68">
        <f>ROUND(($B25*(1-M25)),2)</f>
        <v>7.6</v>
      </c>
      <c r="Q25" s="92" cm="1">
        <f t="array" ref="Q25">SUMPRODUCT(--(Category="Ex_Cat_2"),--(OpCo="Express"),--(Intl="Domestic"),--(SC_Name=$A25),(SC_Count))</f>
        <v>0</v>
      </c>
      <c r="R25" s="68">
        <f>Q25*N25</f>
        <v>0</v>
      </c>
      <c r="S25" s="68">
        <f t="shared" si="3"/>
        <v>0</v>
      </c>
      <c r="T25" s="68">
        <f>Q25*P25</f>
        <v>0</v>
      </c>
      <c r="U25" s="238" cm="1">
        <f t="array" ref="U25">SUMPRODUCT(--(D_Category="Ex_Cat_3"),--(D_EffDate="Eff_Date_1"),--(D_Product="SO"),--(D_SC_Name=$A25),(D_Percent))</f>
        <v>0</v>
      </c>
      <c r="V25" s="238" cm="1">
        <f t="array" ref="V25">SUMPRODUCT(--(D_Category="Ex_Cat_3"),--(D_EffDate="Eff_Date_2"),--(D_Product="SO"),--(D_SC_Name=$A25),(D_Percent))</f>
        <v>0</v>
      </c>
      <c r="W25" s="68">
        <f>ROUND(($B25*(1-U25)),2)</f>
        <v>7.6</v>
      </c>
      <c r="X25" s="68">
        <f t="shared" si="4"/>
        <v>0</v>
      </c>
      <c r="Y25" s="68">
        <f>ROUND(($B25*(1-V25)),2)</f>
        <v>7.6</v>
      </c>
      <c r="Z25" s="92" cm="1">
        <f t="array" ref="Z25">SUMPRODUCT(--(Category="Ex_Cat_3"),--(OpCo="Express"),--(Intl="Domestic"),--(SC_Name=$A25),(SC_Count))</f>
        <v>0</v>
      </c>
      <c r="AA25" s="68">
        <f>Z25*W25</f>
        <v>0</v>
      </c>
      <c r="AB25" s="68">
        <f t="shared" si="5"/>
        <v>0</v>
      </c>
      <c r="AC25" s="460">
        <f>Z25*Y25</f>
        <v>0</v>
      </c>
    </row>
    <row r="26" spans="1:29" x14ac:dyDescent="0.35">
      <c r="A26" s="71" t="s">
        <v>334</v>
      </c>
      <c r="B26" s="67">
        <v>8.8000000000000007</v>
      </c>
      <c r="C26" s="218" cm="1">
        <f t="array" ref="C26">SUMPRODUCT(--(D_Category="Ex_Cat_1"),--(D_EffDate="Eff_Date_1"),--(D_Product="SO"),--(D_SC_Name=$A26),(D_Percent))</f>
        <v>0</v>
      </c>
      <c r="D26" s="218" cm="1">
        <f t="array" ref="D26">SUMPRODUCT(--(D_Category="Ex_Cat_1"),--(D_EffDate="Eff_Date_2"),--(D_Product="SO"),--(D_SC_Name=$A26),(D_Percent))</f>
        <v>0</v>
      </c>
      <c r="E26" s="355">
        <f>ROUND(($B26*(1-C26)),2)</f>
        <v>8.8000000000000007</v>
      </c>
      <c r="F26" s="355">
        <f t="shared" si="0"/>
        <v>0</v>
      </c>
      <c r="G26" s="67">
        <f>ROUND(($B26*(1-D26)),2)</f>
        <v>8.8000000000000007</v>
      </c>
      <c r="H26" s="93" cm="1">
        <f t="array" ref="H26">SUMPRODUCT(--(Category="Ex_Cat_1"),--(OpCo="Express"),--(Intl="Domestic"),--(SC_Name=$A26),(SC_Count))</f>
        <v>0</v>
      </c>
      <c r="I26" s="66">
        <f>H26*E26</f>
        <v>0</v>
      </c>
      <c r="J26" s="66">
        <f t="shared" si="1"/>
        <v>0</v>
      </c>
      <c r="K26" s="66">
        <f>H26*G26</f>
        <v>0</v>
      </c>
      <c r="L26" s="235" cm="1">
        <f t="array" ref="L26">SUMPRODUCT(--(D_Category="Ex_Cat_2"),--(D_EffDate="Eff_Date_1"),--(D_Product="SO"),--(D_SC_Name=$A26),(D_Percent))</f>
        <v>0</v>
      </c>
      <c r="M26" s="235" cm="1">
        <f t="array" ref="M26">SUMPRODUCT(--(D_Category="Ex_Cat_2"),--(D_EffDate="Eff_Date_2"),--(D_Product="SO"),--(D_SC_Name=$A26),(D_Percent))</f>
        <v>0</v>
      </c>
      <c r="N26" s="355">
        <f>ROUND(($B26*(1-L26)),2)</f>
        <v>8.8000000000000007</v>
      </c>
      <c r="O26" s="355">
        <f t="shared" si="2"/>
        <v>0</v>
      </c>
      <c r="P26" s="67">
        <f>ROUND(($B26*(1-M26)),2)</f>
        <v>8.8000000000000007</v>
      </c>
      <c r="Q26" s="93" cm="1">
        <f t="array" ref="Q26">SUMPRODUCT(--(Category="Ex_Cat_2"),--(OpCo="Express"),--(Intl="Domestic"),--(SC_Name=$A26),(SC_Count))</f>
        <v>0</v>
      </c>
      <c r="R26" s="66">
        <f>Q26*N26</f>
        <v>0</v>
      </c>
      <c r="S26" s="66">
        <f t="shared" si="3"/>
        <v>0</v>
      </c>
      <c r="T26" s="66">
        <f>Q26*P26</f>
        <v>0</v>
      </c>
      <c r="U26" s="238" cm="1">
        <f t="array" ref="U26">SUMPRODUCT(--(D_Category="Ex_Cat_3"),--(D_EffDate="Eff_Date_1"),--(D_Product="SO"),--(D_SC_Name=$A26),(D_Percent))</f>
        <v>0</v>
      </c>
      <c r="V26" s="238" cm="1">
        <f t="array" ref="V26">SUMPRODUCT(--(D_Category="Ex_Cat_3"),--(D_EffDate="Eff_Date_2"),--(D_Product="SO"),--(D_SC_Name=$A26),(D_Percent))</f>
        <v>0</v>
      </c>
      <c r="W26" s="355">
        <f>ROUND(($B26*(1-U26)),2)</f>
        <v>8.8000000000000007</v>
      </c>
      <c r="X26" s="355">
        <f t="shared" si="4"/>
        <v>0</v>
      </c>
      <c r="Y26" s="67">
        <f>ROUND(($B26*(1-V26)),2)</f>
        <v>8.8000000000000007</v>
      </c>
      <c r="Z26" s="93" cm="1">
        <f t="array" ref="Z26">SUMPRODUCT(--(Category="Ex_Cat_3"),--(OpCo="Express"),--(Intl="Domestic"),--(SC_Name=$A26),(SC_Count))</f>
        <v>0</v>
      </c>
      <c r="AA26" s="66">
        <f>Z26*W26</f>
        <v>0</v>
      </c>
      <c r="AB26" s="66">
        <f t="shared" si="5"/>
        <v>0</v>
      </c>
      <c r="AC26" s="355">
        <f>Z26*Y26</f>
        <v>0</v>
      </c>
    </row>
    <row r="27" spans="1:29" x14ac:dyDescent="0.35">
      <c r="A27" s="70" t="s">
        <v>18</v>
      </c>
      <c r="B27" s="158"/>
      <c r="C27" s="218" cm="1">
        <f t="array" ref="C27">SUMPRODUCT(--(D_Category="Ex_Cat_1"),--(D_EffDate="Eff_Date_1"),--(D_Product="SO"),--(D_SC_Name=$A27),(D_Percent))</f>
        <v>0</v>
      </c>
      <c r="D27" s="218" cm="1">
        <f t="array" ref="D27">SUMPRODUCT(--(D_Category="Ex_Cat_1"),--(D_EffDate="Eff_Date_2"),--(D_Product="SO"),--(D_SC_Name=$A27),(D_Percent))</f>
        <v>0</v>
      </c>
      <c r="E27" s="332"/>
      <c r="F27" s="332"/>
      <c r="G27" s="158"/>
      <c r="H27" s="94" cm="1">
        <f t="array" ref="H27">SUMPRODUCT(--(Category="Ex_Cat_1"),--(OpCo="Express"),--(Intl="Domestic"),--(SC_Name=$A27),(SC_Count))</f>
        <v>0</v>
      </c>
      <c r="I27" s="354"/>
      <c r="J27" s="354"/>
      <c r="K27" s="354"/>
      <c r="L27" s="235" cm="1">
        <f t="array" ref="L27">SUMPRODUCT(--(D_Category="Ex_Cat_2"),--(D_EffDate="Eff_Date_1"),--(D_Product="SO"),--(D_SC_Name=$A27),(D_Percent))</f>
        <v>0</v>
      </c>
      <c r="M27" s="235" cm="1">
        <f t="array" ref="M27">SUMPRODUCT(--(D_Category="Ex_Cat_2"),--(D_EffDate="Eff_Date_2"),--(D_Product="SO"),--(D_SC_Name=$A27),(D_Percent))</f>
        <v>0</v>
      </c>
      <c r="N27" s="332"/>
      <c r="O27" s="332"/>
      <c r="P27" s="158"/>
      <c r="Q27" s="94" cm="1">
        <f t="array" ref="Q27">SUMPRODUCT(--(Category="Ex_Cat_2"),--(OpCo="Express"),--(Intl="Domestic"),--(SC_Name=$A27),(SC_Count))</f>
        <v>0</v>
      </c>
      <c r="R27" s="354"/>
      <c r="S27" s="354"/>
      <c r="T27" s="354"/>
      <c r="U27" s="238" cm="1">
        <f t="array" ref="U27">SUMPRODUCT(--(D_Category="Ex_Cat_3"),--(D_EffDate="Eff_Date_1"),--(D_Product="SO"),--(D_SC_Name=$A27),(D_Percent))</f>
        <v>0</v>
      </c>
      <c r="V27" s="238" cm="1">
        <f t="array" ref="V27">SUMPRODUCT(--(D_Category="Ex_Cat_3"),--(D_EffDate="Eff_Date_2"),--(D_Product="SO"),--(D_SC_Name=$A27),(D_Percent))</f>
        <v>0</v>
      </c>
      <c r="W27" s="332"/>
      <c r="X27" s="332"/>
      <c r="Y27" s="158"/>
      <c r="Z27" s="94" cm="1">
        <f t="array" ref="Z27">SUMPRODUCT(--(Category="Ex_Cat_3"),--(OpCo="Express"),--(Intl="Domestic"),--(SC_Name=$A27),(SC_Count))</f>
        <v>0</v>
      </c>
      <c r="AA27" s="354"/>
      <c r="AB27" s="354"/>
      <c r="AC27" s="461"/>
    </row>
    <row r="28" spans="1:29" x14ac:dyDescent="0.35">
      <c r="A28" s="71" t="s">
        <v>57</v>
      </c>
      <c r="B28" s="67">
        <v>25.5</v>
      </c>
      <c r="C28" s="218" cm="1">
        <f t="array" ref="C28">SUMPRODUCT(--(D_Category="Ex_Cat_1"),--(D_EffDate="Eff_Date_1"),--(D_Product="SO")+--(D_Product="All"),--(D_SC_Category=$A28),(D_Percent))</f>
        <v>0</v>
      </c>
      <c r="D28" s="218" cm="1">
        <f t="array" ref="D28">SUMPRODUCT(--(D_Category="Ex_Cat_1"),--(D_EffDate="Eff_Date_2"),--(D_Product="SO")+--(D_Product="All"),--(D_SC_Category=$A28),(D_Percent))</f>
        <v>0</v>
      </c>
      <c r="E28" s="66">
        <f>ROUND(($B28*(1-C28)),2)</f>
        <v>25.5</v>
      </c>
      <c r="F28" s="66">
        <f t="shared" si="0"/>
        <v>0</v>
      </c>
      <c r="G28" s="66">
        <f>ROUND(($B28*(1-D28)),2)</f>
        <v>25.5</v>
      </c>
      <c r="H28" s="93" cm="1">
        <f t="array" ref="H28">SUMPRODUCT(--(Category="Ex_Cat_1"),--(OpCo="Express"),--(Intl="Domestic"),--(SC_Cat=$A28),(SC_Count))</f>
        <v>0</v>
      </c>
      <c r="I28" s="66">
        <f>H28*E28</f>
        <v>0</v>
      </c>
      <c r="J28" s="66">
        <f t="shared" si="1"/>
        <v>0</v>
      </c>
      <c r="K28" s="66">
        <f>H28*G28</f>
        <v>0</v>
      </c>
      <c r="L28" s="235" cm="1">
        <f t="array" ref="L28">SUMPRODUCT(--(D_Category="Ex_Cat_2"),--(D_EffDate="Eff_Date_1"),--(D_Product="SO")+--(D_Product="All"),--(D_SC_Category=$A28),(D_Percent))</f>
        <v>0</v>
      </c>
      <c r="M28" s="235" cm="1">
        <f t="array" ref="M28">SUMPRODUCT(--(D_Category="Ex_Cat_2"),--(D_EffDate="Eff_Date_2"),--(D_Product="SO")+--(D_Product="All"),--(D_SC_Category=$A28),(D_Percent))</f>
        <v>0</v>
      </c>
      <c r="N28" s="66">
        <f>ROUND(($B28*(1-L28)),2)</f>
        <v>25.5</v>
      </c>
      <c r="O28" s="66">
        <f t="shared" si="2"/>
        <v>0</v>
      </c>
      <c r="P28" s="66">
        <f>ROUND(($B28*(1-M28)),2)</f>
        <v>25.5</v>
      </c>
      <c r="Q28" s="93" cm="1">
        <f t="array" ref="Q28">SUMPRODUCT(--(Category="Ex_Cat_2"),--(OpCo="Express"),--(Intl="Domestic"),--(SC_Cat=$A28),(SC_Count))</f>
        <v>0</v>
      </c>
      <c r="R28" s="66">
        <f>Q28*N28</f>
        <v>0</v>
      </c>
      <c r="S28" s="66">
        <f t="shared" si="3"/>
        <v>0</v>
      </c>
      <c r="T28" s="66">
        <f>Q28*P28</f>
        <v>0</v>
      </c>
      <c r="U28" s="238" cm="1">
        <f t="array" ref="U28">SUMPRODUCT(--(D_Category="Ex_Cat_3"),--(D_EffDate="Eff_Date_1"),--(D_Product="SO")+--(D_Product="All"),--(D_SC_Category=$A28),(D_Percent))</f>
        <v>0</v>
      </c>
      <c r="V28" s="238" cm="1">
        <f t="array" ref="V28">SUMPRODUCT(--(D_Category="Ex_Cat_3"),--(D_EffDate="Eff_Date_2"),--(D_Product="SO")+--(D_Product="All"),--(D_SC_Category=$A28),(D_Percent))</f>
        <v>0</v>
      </c>
      <c r="W28" s="66">
        <f>ROUND(($B28*(1-U28)),2)</f>
        <v>25.5</v>
      </c>
      <c r="X28" s="66">
        <f t="shared" si="4"/>
        <v>0</v>
      </c>
      <c r="Y28" s="66">
        <f>ROUND(($B28*(1-V28)),2)</f>
        <v>25.5</v>
      </c>
      <c r="Z28" s="93" cm="1">
        <f t="array" ref="Z28">SUMPRODUCT(--(Category="Ex_Cat_3"),--(OpCo="Express"),--(Intl="Domestic"),--(SC_Cat=$A28),(SC_Count))</f>
        <v>0</v>
      </c>
      <c r="AA28" s="66">
        <f>Z28*W28</f>
        <v>0</v>
      </c>
      <c r="AB28" s="66">
        <f t="shared" si="5"/>
        <v>0</v>
      </c>
      <c r="AC28" s="355">
        <f>Z28*Y28</f>
        <v>0</v>
      </c>
    </row>
    <row r="29" spans="1:29" x14ac:dyDescent="0.35">
      <c r="A29" s="70" t="s">
        <v>314</v>
      </c>
      <c r="B29" s="69">
        <v>100</v>
      </c>
      <c r="C29" s="218" cm="1">
        <f t="array" ref="C29">SUMPRODUCT(--(D_Category="Ex_Cat_1"),--(D_EffDate="Eff_Date_1"),--(D_Product="SO"),--(D_SC_Category=$A29),(D_Percent))</f>
        <v>0</v>
      </c>
      <c r="D29" s="218" cm="1">
        <f t="array" ref="D29">SUMPRODUCT(--(D_Category="Ex_Cat_1"),--(D_EffDate="Eff_Date_2"),--(D_Product="SO"),--(D_SC_Category=$A29),(D_Percent))</f>
        <v>0</v>
      </c>
      <c r="E29" s="68">
        <f t="shared" ref="E29:E32" si="18">ROUND(($B29*(1-C29)),2)</f>
        <v>100</v>
      </c>
      <c r="F29" s="68">
        <f t="shared" si="0"/>
        <v>0</v>
      </c>
      <c r="G29" s="68">
        <f t="shared" ref="G29:G32" si="19">ROUND(($B29*(1-D29)),2)</f>
        <v>100</v>
      </c>
      <c r="H29" s="92" cm="1">
        <f t="array" ref="H29">SUMPRODUCT(--(Category="Ex_Cat_1"),--(OpCo="Express"),--(Intl="Domestic"),--(SC_Cat=$A29),(SC_Count))</f>
        <v>0</v>
      </c>
      <c r="I29" s="68">
        <f t="shared" ref="I29:I32" si="20">H29*E29</f>
        <v>0</v>
      </c>
      <c r="J29" s="68">
        <f t="shared" si="1"/>
        <v>0</v>
      </c>
      <c r="K29" s="68">
        <f t="shared" ref="K29:K32" si="21">H29*G29</f>
        <v>0</v>
      </c>
      <c r="L29" s="235" cm="1">
        <f t="array" ref="L29">SUMPRODUCT(--(D_Category="Ex_Cat_2"),--(D_EffDate="Eff_Date_1"),--(D_Product="SO"),--(D_SC_Category=$A29),(D_Percent))</f>
        <v>0</v>
      </c>
      <c r="M29" s="235" cm="1">
        <f t="array" ref="M29">SUMPRODUCT(--(D_Category="Ex_Cat_2"),--(D_EffDate="Eff_Date_2"),--(D_Product="SO"),--(D_SC_Category=$A29),(D_Percent))</f>
        <v>0</v>
      </c>
      <c r="N29" s="68">
        <f t="shared" ref="N29:N32" si="22">ROUND(($B29*(1-L29)),2)</f>
        <v>100</v>
      </c>
      <c r="O29" s="68">
        <f t="shared" si="2"/>
        <v>0</v>
      </c>
      <c r="P29" s="68">
        <f t="shared" ref="P29:P32" si="23">ROUND(($B29*(1-M29)),2)</f>
        <v>100</v>
      </c>
      <c r="Q29" s="92" cm="1">
        <f t="array" ref="Q29">SUMPRODUCT(--(Category="Ex_Cat_2"),--(OpCo="Express"),--(Intl="Domestic"),--(SC_Cat=$A29),(SC_Count))</f>
        <v>0</v>
      </c>
      <c r="R29" s="68">
        <f t="shared" ref="R29:R32" si="24">Q29*N29</f>
        <v>0</v>
      </c>
      <c r="S29" s="68">
        <f t="shared" si="3"/>
        <v>0</v>
      </c>
      <c r="T29" s="68">
        <f t="shared" ref="T29:T32" si="25">Q29*P29</f>
        <v>0</v>
      </c>
      <c r="U29" s="238" cm="1">
        <f t="array" ref="U29">SUMPRODUCT(--(D_Category="Ex_Cat_3"),--(D_EffDate="Eff_Date_1"),--(D_Product="SO"),--(D_SC_Category=$A29),(D_Percent))</f>
        <v>0</v>
      </c>
      <c r="V29" s="238" cm="1">
        <f t="array" ref="V29">SUMPRODUCT(--(D_Category="Ex_Cat_3"),--(D_EffDate="Eff_Date_2"),--(D_Product="SO"),--(D_SC_Category=$A29),(D_Percent))</f>
        <v>0</v>
      </c>
      <c r="W29" s="68">
        <f t="shared" ref="W29:W32" si="26">ROUND(($B29*(1-U29)),2)</f>
        <v>100</v>
      </c>
      <c r="X29" s="68">
        <f t="shared" si="4"/>
        <v>0</v>
      </c>
      <c r="Y29" s="68">
        <f t="shared" ref="Y29:Y32" si="27">ROUND(($B29*(1-V29)),2)</f>
        <v>100</v>
      </c>
      <c r="Z29" s="92" cm="1">
        <f t="array" ref="Z29">SUMPRODUCT(--(Category="Ex_Cat_3"),--(OpCo="Express"),--(Intl="Domestic"),--(SC_Cat=$A29),(SC_Count))</f>
        <v>0</v>
      </c>
      <c r="AA29" s="68">
        <f t="shared" ref="AA29:AA32" si="28">Z29*W29</f>
        <v>0</v>
      </c>
      <c r="AB29" s="68">
        <f t="shared" si="5"/>
        <v>0</v>
      </c>
      <c r="AC29" s="460">
        <f t="shared" ref="AC29:AC32" si="29">Z29*Y29</f>
        <v>0</v>
      </c>
    </row>
    <row r="30" spans="1:29" x14ac:dyDescent="0.35">
      <c r="A30" s="71" t="s">
        <v>852</v>
      </c>
      <c r="B30" s="67">
        <v>25.5</v>
      </c>
      <c r="C30" s="218" cm="1">
        <f t="array" ref="C30">SUMPRODUCT(--(D_Category="Ex_Cat_1"),--(D_EffDate="Eff_Date_1"),--(D_Product="SO")+--(D_Product="All"),--(D_SC_Category=$A30),(D_Percent))</f>
        <v>0</v>
      </c>
      <c r="D30" s="218" cm="1">
        <f t="array" ref="D30">SUMPRODUCT(--(D_Category="Ex_Cat_1"),--(D_EffDate="Eff_Date_2"),--(D_Product="SO")+--(D_Product="All"),--(D_SC_Category=$A30),(D_Percent))</f>
        <v>0</v>
      </c>
      <c r="E30" s="66">
        <f t="shared" si="18"/>
        <v>25.5</v>
      </c>
      <c r="F30" s="66">
        <f t="shared" si="0"/>
        <v>0</v>
      </c>
      <c r="G30" s="66">
        <f t="shared" si="19"/>
        <v>25.5</v>
      </c>
      <c r="H30" s="93" cm="1">
        <f t="array" ref="H30">SUMPRODUCT(--(Category="Ex_Cat_1"),--(OpCo="Express"),--(Intl="Domestic"),--(SC_Name=$A30),(SC_Count))</f>
        <v>0</v>
      </c>
      <c r="I30" s="66">
        <f t="shared" si="20"/>
        <v>0</v>
      </c>
      <c r="J30" s="66">
        <f t="shared" si="1"/>
        <v>0</v>
      </c>
      <c r="K30" s="66">
        <f t="shared" si="21"/>
        <v>0</v>
      </c>
      <c r="L30" s="235" cm="1">
        <f t="array" ref="L30">SUMPRODUCT(--(D_Category="Ex_Cat_2"),--(D_EffDate="Eff_Date_1"),--(D_Product="SO")+--(D_Product="All"),--(D_SC_Category=$A30),(D_Percent))</f>
        <v>0</v>
      </c>
      <c r="M30" s="235" cm="1">
        <f t="array" ref="M30">SUMPRODUCT(--(D_Category="Ex_Cat_2"),--(D_EffDate="Eff_Date_2"),--(D_Product="SO")+--(D_Product="All"),--(D_SC_Category=$A30),(D_Percent))</f>
        <v>0</v>
      </c>
      <c r="N30" s="66">
        <f t="shared" si="22"/>
        <v>25.5</v>
      </c>
      <c r="O30" s="66">
        <f t="shared" si="2"/>
        <v>0</v>
      </c>
      <c r="P30" s="66">
        <f t="shared" si="23"/>
        <v>25.5</v>
      </c>
      <c r="Q30" s="93" cm="1">
        <f t="array" ref="Q30">SUMPRODUCT(--(Category="Ex_Cat_2"),--(OpCo="Express"),--(Intl="Domestic"),--(SC_Name=$A30),(SC_Count))</f>
        <v>0</v>
      </c>
      <c r="R30" s="66">
        <f t="shared" si="24"/>
        <v>0</v>
      </c>
      <c r="S30" s="66">
        <f t="shared" si="3"/>
        <v>0</v>
      </c>
      <c r="T30" s="66">
        <f t="shared" si="25"/>
        <v>0</v>
      </c>
      <c r="U30" s="238" cm="1">
        <f t="array" ref="U30">SUMPRODUCT(--(D_Category="Ex_Cat_3"),--(D_EffDate="Eff_Date_1"),--(D_Product="SO")+--(D_Product="All"),--(D_SC_Category=$A30),(D_Percent))</f>
        <v>0</v>
      </c>
      <c r="V30" s="238" cm="1">
        <f t="array" ref="V30">SUMPRODUCT(--(D_Category="Ex_Cat_3"),--(D_EffDate="Eff_Date_2"),--(D_Product="SO")+--(D_Product="All"),--(D_SC_Category=$A30),(D_Percent))</f>
        <v>0</v>
      </c>
      <c r="W30" s="66">
        <f t="shared" si="26"/>
        <v>25.5</v>
      </c>
      <c r="X30" s="66">
        <f t="shared" si="4"/>
        <v>0</v>
      </c>
      <c r="Y30" s="66">
        <f t="shared" si="27"/>
        <v>25.5</v>
      </c>
      <c r="Z30" s="93" cm="1">
        <f t="array" ref="Z30">SUMPRODUCT(--(Category="Ex_Cat_3"),--(OpCo="Express"),--(Intl="Domestic"),--(SC_Name=$A30),(SC_Count))</f>
        <v>0</v>
      </c>
      <c r="AA30" s="66">
        <f t="shared" si="28"/>
        <v>0</v>
      </c>
      <c r="AB30" s="66">
        <f t="shared" si="5"/>
        <v>0</v>
      </c>
      <c r="AC30" s="355">
        <f t="shared" si="29"/>
        <v>0</v>
      </c>
    </row>
    <row r="31" spans="1:29" x14ac:dyDescent="0.35">
      <c r="A31" s="70" t="s">
        <v>933</v>
      </c>
      <c r="B31" s="69">
        <v>25.5</v>
      </c>
      <c r="C31" s="218" cm="1">
        <f t="array" ref="C31">SUMPRODUCT(--(D_Category="Ex_Cat_1"),--(D_EffDate="Eff_Date_1"),--(D_Product="SO"),--(D_SC_Name=$A31),(D_Percent))</f>
        <v>0</v>
      </c>
      <c r="D31" s="218" cm="1">
        <f t="array" ref="D31">SUMPRODUCT(--(D_Category="Ex_Cat_1"),--(D_EffDate="Eff_Date_2"),--(D_Product="SO"),--(D_SC_Name=$A31),(D_Percent))</f>
        <v>0</v>
      </c>
      <c r="E31" s="68">
        <f t="shared" si="18"/>
        <v>25.5</v>
      </c>
      <c r="F31" s="68">
        <f t="shared" si="0"/>
        <v>0</v>
      </c>
      <c r="G31" s="68">
        <f t="shared" si="19"/>
        <v>25.5</v>
      </c>
      <c r="H31" s="92" cm="1">
        <f t="array" ref="H31">SUMPRODUCT(--(Category="Ex_Cat_1"),--(OpCo="Express"),--(Intl="Domestic"),--(SC_Name=$A31),(SC_Count))</f>
        <v>0</v>
      </c>
      <c r="I31" s="68">
        <f t="shared" si="20"/>
        <v>0</v>
      </c>
      <c r="J31" s="68">
        <f t="shared" si="1"/>
        <v>0</v>
      </c>
      <c r="K31" s="68">
        <f t="shared" si="21"/>
        <v>0</v>
      </c>
      <c r="L31" s="235" cm="1">
        <f t="array" ref="L31">SUMPRODUCT(--(D_Category="Ex_Cat_2"),--(D_EffDate="Eff_Date_1"),--(D_Product="SO"),--(D_SC_Name=$A31),(D_Percent))</f>
        <v>0</v>
      </c>
      <c r="M31" s="235" cm="1">
        <f t="array" ref="M31">SUMPRODUCT(--(D_Category="Ex_Cat_2"),--(D_EffDate="Eff_Date_2"),--(D_Product="SO"),--(D_SC_Name=$A31),(D_Percent))</f>
        <v>0</v>
      </c>
      <c r="N31" s="68">
        <f t="shared" si="22"/>
        <v>25.5</v>
      </c>
      <c r="O31" s="68">
        <f t="shared" si="2"/>
        <v>0</v>
      </c>
      <c r="P31" s="68">
        <f t="shared" si="23"/>
        <v>25.5</v>
      </c>
      <c r="Q31" s="92" cm="1">
        <f t="array" ref="Q31">SUMPRODUCT(--(Category="Ex_Cat_2"),--(OpCo="Express"),--(Intl="Domestic"),--(SC_Name=$A31),(SC_Count))</f>
        <v>0</v>
      </c>
      <c r="R31" s="68">
        <f t="shared" si="24"/>
        <v>0</v>
      </c>
      <c r="S31" s="68">
        <f t="shared" si="3"/>
        <v>0</v>
      </c>
      <c r="T31" s="68">
        <f t="shared" si="25"/>
        <v>0</v>
      </c>
      <c r="U31" s="238" cm="1">
        <f t="array" ref="U31">SUMPRODUCT(--(D_Category="Ex_Cat_3"),--(D_EffDate="Eff_Date_1"),--(D_Product="SO"),--(D_SC_Name=$A31),(D_Percent))</f>
        <v>0</v>
      </c>
      <c r="V31" s="238" cm="1">
        <f t="array" ref="V31">SUMPRODUCT(--(D_Category="Ex_Cat_3"),--(D_EffDate="Eff_Date_2"),--(D_Product="SO"),--(D_SC_Name=$A31),(D_Percent))</f>
        <v>0</v>
      </c>
      <c r="W31" s="68">
        <f t="shared" si="26"/>
        <v>25.5</v>
      </c>
      <c r="X31" s="68">
        <f t="shared" si="4"/>
        <v>0</v>
      </c>
      <c r="Y31" s="68">
        <f t="shared" si="27"/>
        <v>25.5</v>
      </c>
      <c r="Z31" s="92" cm="1">
        <f t="array" ref="Z31">SUMPRODUCT(--(Category="Ex_Cat_3"),--(OpCo="Express"),--(Intl="Domestic"),--(SC_Name=$A31),(SC_Count))</f>
        <v>0</v>
      </c>
      <c r="AA31" s="68">
        <f t="shared" si="28"/>
        <v>0</v>
      </c>
      <c r="AB31" s="68">
        <f t="shared" si="5"/>
        <v>0</v>
      </c>
      <c r="AC31" s="460">
        <f t="shared" si="29"/>
        <v>0</v>
      </c>
    </row>
    <row r="32" spans="1:29" x14ac:dyDescent="0.35">
      <c r="A32" s="71" t="s">
        <v>25</v>
      </c>
      <c r="B32" s="67">
        <v>6.95</v>
      </c>
      <c r="C32" s="218" cm="1">
        <f t="array" ref="C32">SUMPRODUCT(--(D_Category="Ex_Cat_1"),--(D_EffDate="Eff_Date_1"),--(D_Product="SO"),--(D_SC_Name=$A32),(D_Percent))</f>
        <v>0</v>
      </c>
      <c r="D32" s="218" cm="1">
        <f t="array" ref="D32">SUMPRODUCT(--(D_Category="Ex_Cat_1"),--(D_EffDate="Eff_Date_2"),--(D_Product="SO"),--(D_SC_Name=$A32),(D_Percent))</f>
        <v>0</v>
      </c>
      <c r="E32" s="66">
        <f t="shared" si="18"/>
        <v>6.95</v>
      </c>
      <c r="F32" s="66">
        <f t="shared" si="0"/>
        <v>0</v>
      </c>
      <c r="G32" s="66">
        <f t="shared" si="19"/>
        <v>6.95</v>
      </c>
      <c r="H32" s="93" cm="1">
        <f t="array" ref="H32">SUMPRODUCT(--(Category="Ex_Cat_1"),--(OpCo="Express"),--(Intl="Domestic"),--(SC_Name=$A32),(SC_Count))</f>
        <v>0</v>
      </c>
      <c r="I32" s="66">
        <f t="shared" si="20"/>
        <v>0</v>
      </c>
      <c r="J32" s="66">
        <f t="shared" si="1"/>
        <v>0</v>
      </c>
      <c r="K32" s="66">
        <f t="shared" si="21"/>
        <v>0</v>
      </c>
      <c r="L32" s="235" cm="1">
        <f t="array" ref="L32">SUMPRODUCT(--(D_Category="Ex_Cat_2"),--(D_EffDate="Eff_Date_1"),--(D_Product="SO"),--(D_SC_Name=$A32),(D_Percent))</f>
        <v>0</v>
      </c>
      <c r="M32" s="235" cm="1">
        <f t="array" ref="M32">SUMPRODUCT(--(D_Category="Ex_Cat_2"),--(D_EffDate="Eff_Date_2"),--(D_Product="SO"),--(D_SC_Name=$A32),(D_Percent))</f>
        <v>0</v>
      </c>
      <c r="N32" s="66">
        <f t="shared" si="22"/>
        <v>6.95</v>
      </c>
      <c r="O32" s="66">
        <f t="shared" si="2"/>
        <v>0</v>
      </c>
      <c r="P32" s="66">
        <f t="shared" si="23"/>
        <v>6.95</v>
      </c>
      <c r="Q32" s="93" cm="1">
        <f t="array" ref="Q32">SUMPRODUCT(--(Category="Ex_Cat_2"),--(OpCo="Express"),--(Intl="Domestic"),--(SC_Name=$A32),(SC_Count))</f>
        <v>0</v>
      </c>
      <c r="R32" s="66">
        <f t="shared" si="24"/>
        <v>0</v>
      </c>
      <c r="S32" s="66">
        <f t="shared" si="3"/>
        <v>0</v>
      </c>
      <c r="T32" s="66">
        <f t="shared" si="25"/>
        <v>0</v>
      </c>
      <c r="U32" s="238" cm="1">
        <f t="array" ref="U32">SUMPRODUCT(--(D_Category="Ex_Cat_3"),--(D_EffDate="Eff_Date_1"),--(D_Product="SO"),--(D_SC_Name=$A32),(D_Percent))</f>
        <v>0</v>
      </c>
      <c r="V32" s="238" cm="1">
        <f t="array" ref="V32">SUMPRODUCT(--(D_Category="Ex_Cat_3"),--(D_EffDate="Eff_Date_2"),--(D_Product="SO"),--(D_SC_Name=$A32),(D_Percent))</f>
        <v>0</v>
      </c>
      <c r="W32" s="66">
        <f t="shared" si="26"/>
        <v>6.95</v>
      </c>
      <c r="X32" s="66">
        <f t="shared" si="4"/>
        <v>0</v>
      </c>
      <c r="Y32" s="66">
        <f t="shared" si="27"/>
        <v>6.95</v>
      </c>
      <c r="Z32" s="93" cm="1">
        <f t="array" ref="Z32">SUMPRODUCT(--(Category="Ex_Cat_3"),--(OpCo="Express"),--(Intl="Domestic"),--(SC_Name=$A32),(SC_Count))</f>
        <v>0</v>
      </c>
      <c r="AA32" s="66">
        <f t="shared" si="28"/>
        <v>0</v>
      </c>
      <c r="AB32" s="66">
        <f t="shared" si="5"/>
        <v>0</v>
      </c>
      <c r="AC32" s="355">
        <f t="shared" si="29"/>
        <v>0</v>
      </c>
    </row>
    <row r="33" spans="1:29" x14ac:dyDescent="0.35">
      <c r="A33" s="70" t="s">
        <v>283</v>
      </c>
      <c r="B33" s="69"/>
      <c r="C33" s="218"/>
      <c r="D33" s="218"/>
      <c r="E33" s="68"/>
      <c r="F33" s="68"/>
      <c r="G33" s="68"/>
      <c r="H33" s="92"/>
      <c r="I33" s="68"/>
      <c r="J33" s="68"/>
      <c r="K33" s="68"/>
      <c r="L33" s="235"/>
      <c r="M33" s="235"/>
      <c r="N33" s="68"/>
      <c r="O33" s="68"/>
      <c r="P33" s="68"/>
      <c r="Q33" s="92"/>
      <c r="R33" s="68"/>
      <c r="S33" s="68"/>
      <c r="T33" s="68"/>
      <c r="U33" s="238"/>
      <c r="V33" s="238"/>
      <c r="W33" s="68"/>
      <c r="X33" s="68"/>
      <c r="Y33" s="68"/>
      <c r="Z33" s="92"/>
      <c r="AA33" s="68"/>
      <c r="AB33" s="68"/>
      <c r="AC33" s="460"/>
    </row>
    <row r="34" spans="1:29" x14ac:dyDescent="0.35">
      <c r="A34" s="73" t="s">
        <v>1003</v>
      </c>
      <c r="B34" s="69">
        <v>1.05</v>
      </c>
      <c r="C34" s="218" cm="1">
        <f t="array" ref="C34">SUMPRODUCT(--(D_Category="Ex_Cat_1"),--(D_EffDate="Eff_Date_1"),--(D_Product="SO"),--(D_SC_Name=$A34),(D_Percent))</f>
        <v>0</v>
      </c>
      <c r="D34" s="218" cm="1">
        <f t="array" ref="D34">SUMPRODUCT(--(D_Category="Ex_Cat_1"),--(D_EffDate="Eff_Date_2"),--(D_Product="SO"),--(D_SC_Name=$A34),(D_Percent))</f>
        <v>0</v>
      </c>
      <c r="E34" s="68">
        <f>ROUND(($B34*(1-C34)),2)</f>
        <v>1.05</v>
      </c>
      <c r="F34" s="68">
        <f t="shared" si="0"/>
        <v>0</v>
      </c>
      <c r="G34" s="68">
        <f>ROUND(($B34*(1-D34)),2)</f>
        <v>1.05</v>
      </c>
      <c r="H34" s="92" cm="1">
        <f t="array" ref="H34">SUMPRODUCT(--(Category="Ex_Cat_1"),--(OpCo="Express"),--(Intl="Domestic"),--(SC_Name=$A34),(SC_Count))</f>
        <v>0</v>
      </c>
      <c r="I34" s="68">
        <f>H34*E34</f>
        <v>0</v>
      </c>
      <c r="J34" s="68">
        <f t="shared" si="1"/>
        <v>0</v>
      </c>
      <c r="K34" s="68">
        <f>H34*G34</f>
        <v>0</v>
      </c>
      <c r="L34" s="235" cm="1">
        <f t="array" ref="L34">SUMPRODUCT(--(D_Category="Ex_Cat_2"),--(D_EffDate="Eff_Date_1"),--(D_Product="SO"),--(D_SC_Name=$A34),(D_Percent))</f>
        <v>0</v>
      </c>
      <c r="M34" s="235" cm="1">
        <f t="array" ref="M34">SUMPRODUCT(--(D_Category="Ex_Cat_2"),--(D_EffDate="Eff_Date_2"),--(D_Product="SO"),--(D_SC_Name=$A34),(D_Percent))</f>
        <v>0</v>
      </c>
      <c r="N34" s="68">
        <f>ROUND(($B34*(1-L34)),2)</f>
        <v>1.05</v>
      </c>
      <c r="O34" s="68">
        <f t="shared" si="2"/>
        <v>0</v>
      </c>
      <c r="P34" s="68">
        <f>ROUND(($B34*(1-M34)),2)</f>
        <v>1.05</v>
      </c>
      <c r="Q34" s="92" cm="1">
        <f t="array" ref="Q34">SUMPRODUCT(--(Category="Ex_Cat_2"),--(OpCo="Express"),--(Intl="Domestic"),--(SC_Name=$A34),(SC_Count))</f>
        <v>0</v>
      </c>
      <c r="R34" s="68">
        <f>Q34*N34</f>
        <v>0</v>
      </c>
      <c r="S34" s="68">
        <f t="shared" si="3"/>
        <v>0</v>
      </c>
      <c r="T34" s="68">
        <f>Q34*P34</f>
        <v>0</v>
      </c>
      <c r="U34" s="238" cm="1">
        <f t="array" ref="U34">SUMPRODUCT(--(D_Category="Ex_Cat_3"),--(D_EffDate="Eff_Date_1"),--(D_Product="SO"),--(D_SC_Name=$A34),(D_Percent))</f>
        <v>0</v>
      </c>
      <c r="V34" s="238" cm="1">
        <f t="array" ref="V34">SUMPRODUCT(--(D_Category="Ex_Cat_3"),--(D_EffDate="Eff_Date_2"),--(D_Product="SO"),--(D_SC_Name=$A34),(D_Percent))</f>
        <v>0</v>
      </c>
      <c r="W34" s="68">
        <f>ROUND(($B34*(1-U34)),2)</f>
        <v>1.05</v>
      </c>
      <c r="X34" s="68">
        <f t="shared" si="4"/>
        <v>0</v>
      </c>
      <c r="Y34" s="68">
        <f>ROUND(($B34*(1-V34)),2)</f>
        <v>1.05</v>
      </c>
      <c r="Z34" s="92" cm="1">
        <f t="array" ref="Z34">SUMPRODUCT(--(Category="Ex_Cat_3"),--(OpCo="Express"),--(Intl="Domestic"),--(SC_Name=$A34),(SC_Count))</f>
        <v>0</v>
      </c>
      <c r="AA34" s="68">
        <f>Z34*W34</f>
        <v>0</v>
      </c>
      <c r="AB34" s="68">
        <f t="shared" si="5"/>
        <v>0</v>
      </c>
      <c r="AC34" s="460">
        <f>Z34*Y34</f>
        <v>0</v>
      </c>
    </row>
    <row r="35" spans="1:29" x14ac:dyDescent="0.35">
      <c r="A35" s="73" t="s">
        <v>1005</v>
      </c>
      <c r="B35" s="69">
        <v>1.05</v>
      </c>
      <c r="C35" s="218" cm="1">
        <f t="array" ref="C35">SUMPRODUCT(--(D_Category="Ex_Cat_1"),--(D_EffDate="Eff_Date_1"),--(D_Product="SO"),--(D_SC_Name=$A35),(D_Percent))</f>
        <v>0</v>
      </c>
      <c r="D35" s="218" cm="1">
        <f t="array" ref="D35">SUMPRODUCT(--(D_Category="Ex_Cat_1"),--(D_EffDate="Eff_Date_2"),--(D_Product="SO"),--(D_SC_Name=$A35),(D_Percent))</f>
        <v>0</v>
      </c>
      <c r="E35" s="68">
        <f>ROUND(($B35*(1-C35)),2)</f>
        <v>1.05</v>
      </c>
      <c r="F35" s="68">
        <f t="shared" si="0"/>
        <v>0</v>
      </c>
      <c r="G35" s="68">
        <f>ROUND(($B35*(1-D35)),2)</f>
        <v>1.05</v>
      </c>
      <c r="H35" s="92" cm="1">
        <f t="array" ref="H35">SUMPRODUCT(--(Category="Ex_Cat_1"),--(OpCo="Express"),--(Intl="Domestic"),--(SC_Name=$A35),(SC_Count))</f>
        <v>0</v>
      </c>
      <c r="I35" s="68">
        <f>H35*E35</f>
        <v>0</v>
      </c>
      <c r="J35" s="68">
        <f t="shared" si="1"/>
        <v>0</v>
      </c>
      <c r="K35" s="68">
        <f>H35*G35</f>
        <v>0</v>
      </c>
      <c r="L35" s="235" cm="1">
        <f t="array" ref="L35">SUMPRODUCT(--(D_Category="Ex_Cat_2"),--(D_EffDate="Eff_Date_1"),--(D_Product="SO"),--(D_SC_Name=$A35),(D_Percent))</f>
        <v>0</v>
      </c>
      <c r="M35" s="235" cm="1">
        <f t="array" ref="M35">SUMPRODUCT(--(D_Category="Ex_Cat_2"),--(D_EffDate="Eff_Date_2"),--(D_Product="SO"),--(D_SC_Name=$A35),(D_Percent))</f>
        <v>0</v>
      </c>
      <c r="N35" s="68">
        <f>ROUND(($B35*(1-L35)),2)</f>
        <v>1.05</v>
      </c>
      <c r="O35" s="68">
        <f t="shared" si="2"/>
        <v>0</v>
      </c>
      <c r="P35" s="68">
        <f>ROUND(($B35*(1-M35)),2)</f>
        <v>1.05</v>
      </c>
      <c r="Q35" s="92" cm="1">
        <f t="array" ref="Q35">SUMPRODUCT(--(Category="Ex_Cat_2"),--(OpCo="Express"),--(Intl="Domestic"),--(SC_Name=$A35),(SC_Count))</f>
        <v>0</v>
      </c>
      <c r="R35" s="68">
        <f>Q35*N35</f>
        <v>0</v>
      </c>
      <c r="S35" s="68">
        <f t="shared" si="3"/>
        <v>0</v>
      </c>
      <c r="T35" s="68">
        <f>Q35*P35</f>
        <v>0</v>
      </c>
      <c r="U35" s="238" cm="1">
        <f t="array" ref="U35">SUMPRODUCT(--(D_Category="Ex_Cat_3"),--(D_EffDate="Eff_Date_1"),--(D_Product="SO"),--(D_SC_Name=$A35),(D_Percent))</f>
        <v>0</v>
      </c>
      <c r="V35" s="238" cm="1">
        <f t="array" ref="V35">SUMPRODUCT(--(D_Category="Ex_Cat_3"),--(D_EffDate="Eff_Date_2"),--(D_Product="SO"),--(D_SC_Name=$A35),(D_Percent))</f>
        <v>0</v>
      </c>
      <c r="W35" s="68">
        <f>ROUND(($B35*(1-U35)),2)</f>
        <v>1.05</v>
      </c>
      <c r="X35" s="68">
        <f t="shared" si="4"/>
        <v>0</v>
      </c>
      <c r="Y35" s="68">
        <f>ROUND(($B35*(1-V35)),2)</f>
        <v>1.05</v>
      </c>
      <c r="Z35" s="92" cm="1">
        <f t="array" ref="Z35">SUMPRODUCT(--(Category="Ex_Cat_3"),--(OpCo="Express"),--(Intl="Domestic"),--(SC_Name=$A35),(SC_Count))</f>
        <v>0</v>
      </c>
      <c r="AA35" s="68">
        <f>Z35*W35</f>
        <v>0</v>
      </c>
      <c r="AB35" s="68">
        <f t="shared" si="5"/>
        <v>0</v>
      </c>
      <c r="AC35" s="460">
        <f>Z35*Y35</f>
        <v>0</v>
      </c>
    </row>
    <row r="36" spans="1:29" x14ac:dyDescent="0.35">
      <c r="A36" s="71" t="s">
        <v>327</v>
      </c>
      <c r="B36" s="67">
        <v>4.25</v>
      </c>
      <c r="C36" s="218" cm="1">
        <f t="array" ref="C36">SUMPRODUCT(--(D_Category="Ex_Cat_1"),--(D_EffDate="Eff_Date_1"),--(D_Product="SO"),--(D_SC_Name=$A36),(D_Percent))</f>
        <v>0</v>
      </c>
      <c r="D36" s="218" cm="1">
        <f t="array" ref="D36">SUMPRODUCT(--(D_Category="Ex_Cat_1"),--(D_EffDate="Eff_Date_2"),--(D_Product="SO"),--(D_SC_Name=$A36),(D_Percent))</f>
        <v>0</v>
      </c>
      <c r="E36" s="66">
        <f>ROUND(($B36*(1-C36)),2)</f>
        <v>4.25</v>
      </c>
      <c r="F36" s="66">
        <f t="shared" si="0"/>
        <v>0</v>
      </c>
      <c r="G36" s="66">
        <f>ROUND(($B36*(1-D36)),2)</f>
        <v>4.25</v>
      </c>
      <c r="H36" s="93" cm="1">
        <f t="array" ref="H36">SUMPRODUCT(--(Category="Ex_Cat_1"),--(OpCo="Express"),--(Intl="Domestic"),--(SC_Name=$A36),(SC_Count))</f>
        <v>0</v>
      </c>
      <c r="I36" s="66">
        <f>H36*E36</f>
        <v>0</v>
      </c>
      <c r="J36" s="66">
        <f t="shared" si="1"/>
        <v>0</v>
      </c>
      <c r="K36" s="66">
        <f>H36*G36</f>
        <v>0</v>
      </c>
      <c r="L36" s="235" cm="1">
        <f t="array" ref="L36">SUMPRODUCT(--(D_Category="Ex_Cat_2"),--(D_EffDate="Eff_Date_1"),--(D_Product="SO"),--(D_SC_Name=$A36),(D_Percent))</f>
        <v>0</v>
      </c>
      <c r="M36" s="235" cm="1">
        <f t="array" ref="M36">SUMPRODUCT(--(D_Category="Ex_Cat_2"),--(D_EffDate="Eff_Date_2"),--(D_Product="SO"),--(D_SC_Name=$A36),(D_Percent))</f>
        <v>0</v>
      </c>
      <c r="N36" s="66">
        <f>ROUND(($B36*(1-L36)),2)</f>
        <v>4.25</v>
      </c>
      <c r="O36" s="66">
        <f t="shared" si="2"/>
        <v>0</v>
      </c>
      <c r="P36" s="66">
        <f>ROUND(($B36*(1-M36)),2)</f>
        <v>4.25</v>
      </c>
      <c r="Q36" s="93" cm="1">
        <f t="array" ref="Q36">SUMPRODUCT(--(Category="Ex_Cat_2"),--(OpCo="Express"),--(Intl="Domestic"),--(SC_Name=$A36),(SC_Count))</f>
        <v>0</v>
      </c>
      <c r="R36" s="66">
        <f>Q36*N36</f>
        <v>0</v>
      </c>
      <c r="S36" s="66">
        <f t="shared" si="3"/>
        <v>0</v>
      </c>
      <c r="T36" s="66">
        <f>Q36*P36</f>
        <v>0</v>
      </c>
      <c r="U36" s="238" cm="1">
        <f t="array" ref="U36">SUMPRODUCT(--(D_Category="Ex_Cat_3"),--(D_EffDate="Eff_Date_1"),--(D_Product="SO"),--(D_SC_Name=$A36),(D_Percent))</f>
        <v>0</v>
      </c>
      <c r="V36" s="238" cm="1">
        <f t="array" ref="V36">SUMPRODUCT(--(D_Category="Ex_Cat_3"),--(D_EffDate="Eff_Date_2"),--(D_Product="SO"),--(D_SC_Name=$A36),(D_Percent))</f>
        <v>0</v>
      </c>
      <c r="W36" s="66">
        <f>ROUND(($B36*(1-U36)),2)</f>
        <v>4.25</v>
      </c>
      <c r="X36" s="66">
        <f t="shared" si="4"/>
        <v>0</v>
      </c>
      <c r="Y36" s="66">
        <f>ROUND(($B36*(1-V36)),2)</f>
        <v>4.25</v>
      </c>
      <c r="Z36" s="93" cm="1">
        <f t="array" ref="Z36">SUMPRODUCT(--(Category="Ex_Cat_3"),--(OpCo="Express"),--(Intl="Domestic"),--(SC_Name=$A36),(SC_Count))</f>
        <v>0</v>
      </c>
      <c r="AA36" s="66">
        <f>Z36*W36</f>
        <v>0</v>
      </c>
      <c r="AB36" s="66">
        <f t="shared" si="5"/>
        <v>0</v>
      </c>
      <c r="AC36" s="355">
        <f>Z36*Y36</f>
        <v>0</v>
      </c>
    </row>
    <row r="37" spans="1:29" x14ac:dyDescent="0.35">
      <c r="A37" s="70" t="s">
        <v>46</v>
      </c>
      <c r="B37" s="69">
        <v>16</v>
      </c>
      <c r="C37" s="218" cm="1">
        <f t="array" ref="C37">SUMPRODUCT(--(D_Category="Ex_Cat_1"),--(D_EffDate="Eff_Date_1"),--(D_Product="SO"),--(D_SC_Name=$A37),(D_Percent))</f>
        <v>0</v>
      </c>
      <c r="D37" s="218" cm="1">
        <f t="array" ref="D37">SUMPRODUCT(--(D_Category="Ex_Cat_1"),--(D_EffDate="Eff_Date_2"),--(D_Product="SO"),--(D_SC_Name=$A37),(D_Percent))</f>
        <v>0</v>
      </c>
      <c r="E37" s="68">
        <f>ROUND(($B37*(1-C37)),2)</f>
        <v>16</v>
      </c>
      <c r="F37" s="68">
        <f t="shared" si="0"/>
        <v>0</v>
      </c>
      <c r="G37" s="68">
        <f>ROUND(($B37*(1-D37)),2)</f>
        <v>16</v>
      </c>
      <c r="H37" s="92" cm="1">
        <f t="array" ref="H37">SUMPRODUCT(--(Category="Ex_Cat_1"),--(OpCo="Express"),--(Intl="Domestic"),--(SC_Name=$A37),(SC_Count))</f>
        <v>0</v>
      </c>
      <c r="I37" s="68">
        <f>H37*E37</f>
        <v>0</v>
      </c>
      <c r="J37" s="68">
        <f t="shared" si="1"/>
        <v>0</v>
      </c>
      <c r="K37" s="68">
        <f>H37*G37</f>
        <v>0</v>
      </c>
      <c r="L37" s="235" cm="1">
        <f t="array" ref="L37">SUMPRODUCT(--(D_Category="Ex_Cat_2"),--(D_EffDate="Eff_Date_1"),--(D_Product="SO"),--(D_SC_Name=$A37),(D_Percent))</f>
        <v>0</v>
      </c>
      <c r="M37" s="235" cm="1">
        <f t="array" ref="M37">SUMPRODUCT(--(D_Category="Ex_Cat_2"),--(D_EffDate="Eff_Date_2"),--(D_Product="SO"),--(D_SC_Name=$A37),(D_Percent))</f>
        <v>0</v>
      </c>
      <c r="N37" s="68">
        <f>ROUND(($B37*(1-L37)),2)</f>
        <v>16</v>
      </c>
      <c r="O37" s="68">
        <f t="shared" si="2"/>
        <v>0</v>
      </c>
      <c r="P37" s="68">
        <f>ROUND(($B37*(1-M37)),2)</f>
        <v>16</v>
      </c>
      <c r="Q37" s="92" cm="1">
        <f t="array" ref="Q37">SUMPRODUCT(--(Category="Ex_Cat_2"),--(OpCo="Express"),--(Intl="Domestic"),--(SC_Name=$A37),(SC_Count))</f>
        <v>0</v>
      </c>
      <c r="R37" s="68">
        <f>Q37*N37</f>
        <v>0</v>
      </c>
      <c r="S37" s="68">
        <f t="shared" si="3"/>
        <v>0</v>
      </c>
      <c r="T37" s="68">
        <f>Q37*P37</f>
        <v>0</v>
      </c>
      <c r="U37" s="238" cm="1">
        <f t="array" ref="U37">SUMPRODUCT(--(D_Category="Ex_Cat_3"),--(D_EffDate="Eff_Date_1"),--(D_Product="SO"),--(D_SC_Name=$A37),(D_Percent))</f>
        <v>0</v>
      </c>
      <c r="V37" s="238" cm="1">
        <f t="array" ref="V37">SUMPRODUCT(--(D_Category="Ex_Cat_3"),--(D_EffDate="Eff_Date_2"),--(D_Product="SO"),--(D_SC_Name=$A37),(D_Percent))</f>
        <v>0</v>
      </c>
      <c r="W37" s="68">
        <f>ROUND(($B37*(1-U37)),2)</f>
        <v>16</v>
      </c>
      <c r="X37" s="68">
        <f t="shared" si="4"/>
        <v>0</v>
      </c>
      <c r="Y37" s="68">
        <f>ROUND(($B37*(1-V37)),2)</f>
        <v>16</v>
      </c>
      <c r="Z37" s="92" cm="1">
        <f t="array" ref="Z37">SUMPRODUCT(--(Category="Ex_Cat_3"),--(OpCo="Express"),--(Intl="Domestic"),--(SC_Name=$A37),(SC_Count))</f>
        <v>0</v>
      </c>
      <c r="AA37" s="68">
        <f>Z37*W37</f>
        <v>0</v>
      </c>
      <c r="AB37" s="68">
        <f t="shared" si="5"/>
        <v>0</v>
      </c>
      <c r="AC37" s="460">
        <f>Z37*Y37</f>
        <v>0</v>
      </c>
    </row>
    <row r="38" spans="1:29" x14ac:dyDescent="0.35">
      <c r="A38" s="71" t="s">
        <v>24</v>
      </c>
      <c r="B38" s="459">
        <v>16</v>
      </c>
      <c r="C38" s="218" cm="1">
        <f t="array" ref="C38">SUMPRODUCT(--(D_Category="Ex_Cat_1"),--(D_EffDate="Eff_Date_1"),--(D_Product="SO"),--(D_SC_Name=$A38),(D_Percent))</f>
        <v>0</v>
      </c>
      <c r="D38" s="218" cm="1">
        <f t="array" ref="D38">SUMPRODUCT(--(D_Category="Ex_Cat_1"),--(D_EffDate="Eff_Date_2"),--(D_Product="SO"),--(D_SC_Name=$A38),(D_Percent))</f>
        <v>0</v>
      </c>
      <c r="E38" s="66">
        <f>ROUND(($B38*(1-C38)),2)</f>
        <v>16</v>
      </c>
      <c r="F38" s="66">
        <f t="shared" si="0"/>
        <v>0</v>
      </c>
      <c r="G38" s="66">
        <f>ROUND(($B38*(1-D38)),2)</f>
        <v>16</v>
      </c>
      <c r="H38" s="93" cm="1">
        <f t="array" ref="H38">SUMPRODUCT(--(Category="Ex_Cat_1"),--(OpCo="Express"),--(Intl="Domestic"),--(SC_Name=$A38),(SC_Count))</f>
        <v>0</v>
      </c>
      <c r="I38" s="66">
        <f>H38*E38</f>
        <v>0</v>
      </c>
      <c r="J38" s="66">
        <f t="shared" si="1"/>
        <v>0</v>
      </c>
      <c r="K38" s="66">
        <f>H38*G38</f>
        <v>0</v>
      </c>
      <c r="L38" s="235" cm="1">
        <f t="array" ref="L38">SUMPRODUCT(--(D_Category="Ex_Cat_2"),--(D_EffDate="Eff_Date_1"),--(D_Product="SO"),--(D_SC_Name=$A38),(D_Percent))</f>
        <v>0</v>
      </c>
      <c r="M38" s="235" cm="1">
        <f t="array" ref="M38">SUMPRODUCT(--(D_Category="Ex_Cat_2"),--(D_EffDate="Eff_Date_2"),--(D_Product="SO"),--(D_SC_Name=$A38),(D_Percent))</f>
        <v>0</v>
      </c>
      <c r="N38" s="66">
        <f>ROUND(($B38*(1-L38)),2)</f>
        <v>16</v>
      </c>
      <c r="O38" s="66">
        <f t="shared" si="2"/>
        <v>0</v>
      </c>
      <c r="P38" s="66">
        <f>ROUND(($B38*(1-M38)),2)</f>
        <v>16</v>
      </c>
      <c r="Q38" s="93" cm="1">
        <f t="array" ref="Q38">SUMPRODUCT(--(Category="Ex_Cat_2"),--(OpCo="Express"),--(Intl="Domestic"),--(SC_Name=$A38),(SC_Count))</f>
        <v>0</v>
      </c>
      <c r="R38" s="66">
        <f>Q38*N38</f>
        <v>0</v>
      </c>
      <c r="S38" s="66">
        <f t="shared" si="3"/>
        <v>0</v>
      </c>
      <c r="T38" s="66">
        <f>Q38*P38</f>
        <v>0</v>
      </c>
      <c r="U38" s="238" cm="1">
        <f t="array" ref="U38">SUMPRODUCT(--(D_Category="Ex_Cat_3"),--(D_EffDate="Eff_Date_1"),--(D_Product="SO"),--(D_SC_Name=$A38),(D_Percent))</f>
        <v>0</v>
      </c>
      <c r="V38" s="238" cm="1">
        <f t="array" ref="V38">SUMPRODUCT(--(D_Category="Ex_Cat_3"),--(D_EffDate="Eff_Date_2"),--(D_Product="SO"),--(D_SC_Name=$A38),(D_Percent))</f>
        <v>0</v>
      </c>
      <c r="W38" s="66">
        <f>ROUND(($B38*(1-U38)),2)</f>
        <v>16</v>
      </c>
      <c r="X38" s="66">
        <f t="shared" si="4"/>
        <v>0</v>
      </c>
      <c r="Y38" s="66">
        <f>ROUND(($B38*(1-V38)),2)</f>
        <v>16</v>
      </c>
      <c r="Z38" s="93" cm="1">
        <f t="array" ref="Z38">SUMPRODUCT(--(Category="Ex_Cat_3"),--(OpCo="Express"),--(Intl="Domestic"),--(SC_Name=$A38),(SC_Count))</f>
        <v>0</v>
      </c>
      <c r="AA38" s="66">
        <f>Z38*W38</f>
        <v>0</v>
      </c>
      <c r="AB38" s="66">
        <f t="shared" si="5"/>
        <v>0</v>
      </c>
      <c r="AC38" s="355">
        <f>Z38*Y38</f>
        <v>0</v>
      </c>
    </row>
    <row r="39" spans="1:29" ht="15" customHeight="1" x14ac:dyDescent="0.35">
      <c r="A39" s="586" t="s">
        <v>1741</v>
      </c>
      <c r="B39" s="586"/>
      <c r="C39" s="586"/>
      <c r="D39" s="586"/>
      <c r="E39" s="586"/>
      <c r="F39" s="586"/>
      <c r="G39" s="586"/>
      <c r="H39" s="586"/>
      <c r="I39" s="586"/>
      <c r="J39" s="586"/>
      <c r="K39" s="586"/>
      <c r="L39" s="455"/>
      <c r="M39" s="455"/>
      <c r="N39" s="455"/>
      <c r="O39" s="455"/>
      <c r="P39" s="455"/>
      <c r="Q39" s="455"/>
      <c r="R39" s="455"/>
      <c r="S39" s="455"/>
      <c r="T39" s="455"/>
      <c r="U39" s="455"/>
      <c r="V39" s="455"/>
      <c r="W39" s="455"/>
      <c r="X39" s="455"/>
      <c r="Y39" s="455"/>
      <c r="Z39" s="455"/>
      <c r="AA39" s="455"/>
      <c r="AB39" s="455"/>
      <c r="AC39" s="455"/>
    </row>
    <row r="40" spans="1:29" x14ac:dyDescent="0.35">
      <c r="A40" s="587"/>
      <c r="B40" s="587"/>
      <c r="C40" s="587"/>
      <c r="D40" s="587"/>
      <c r="E40" s="587"/>
      <c r="F40" s="587"/>
      <c r="G40" s="587"/>
      <c r="H40" s="587"/>
      <c r="I40" s="587"/>
      <c r="J40" s="587"/>
      <c r="K40" s="587"/>
      <c r="L40" s="456"/>
      <c r="M40" s="456"/>
      <c r="N40" s="456"/>
      <c r="O40" s="456"/>
      <c r="P40" s="456"/>
      <c r="Q40" s="456"/>
      <c r="R40" s="456"/>
      <c r="S40" s="456"/>
      <c r="T40" s="456"/>
      <c r="U40" s="456"/>
      <c r="V40" s="456"/>
      <c r="W40" s="456"/>
      <c r="X40" s="456"/>
      <c r="Y40" s="456"/>
      <c r="Z40" s="456"/>
      <c r="AA40" s="456"/>
      <c r="AB40" s="456"/>
      <c r="AC40" s="456"/>
    </row>
    <row r="41" spans="1:29" x14ac:dyDescent="0.35">
      <c r="A41" s="587"/>
      <c r="B41" s="587"/>
      <c r="C41" s="587"/>
      <c r="D41" s="587"/>
      <c r="E41" s="587"/>
      <c r="F41" s="587"/>
      <c r="G41" s="587"/>
      <c r="H41" s="587"/>
      <c r="I41" s="587"/>
      <c r="J41" s="587"/>
      <c r="K41" s="587"/>
      <c r="L41" s="456"/>
      <c r="M41" s="456"/>
      <c r="N41" s="456"/>
      <c r="O41" s="456"/>
      <c r="P41" s="456"/>
      <c r="Q41" s="456"/>
      <c r="R41" s="456"/>
      <c r="S41" s="456"/>
      <c r="T41" s="456"/>
      <c r="U41" s="456"/>
      <c r="V41" s="456"/>
      <c r="W41" s="456"/>
      <c r="X41" s="456"/>
      <c r="Y41" s="456"/>
      <c r="Z41" s="456"/>
      <c r="AA41" s="456"/>
      <c r="AB41" s="456"/>
      <c r="AC41" s="456"/>
    </row>
    <row r="42" spans="1:29" x14ac:dyDescent="0.35">
      <c r="A42" s="587"/>
      <c r="B42" s="587"/>
      <c r="C42" s="587"/>
      <c r="D42" s="587"/>
      <c r="E42" s="587"/>
      <c r="F42" s="587"/>
      <c r="G42" s="587"/>
      <c r="H42" s="587"/>
      <c r="I42" s="587"/>
      <c r="J42" s="587"/>
      <c r="K42" s="587"/>
      <c r="L42" s="456"/>
      <c r="M42" s="456"/>
      <c r="N42" s="456"/>
      <c r="O42" s="456"/>
      <c r="P42" s="456"/>
      <c r="Q42" s="456"/>
      <c r="R42" s="456"/>
      <c r="S42" s="456"/>
      <c r="T42" s="456"/>
      <c r="U42" s="456"/>
      <c r="V42" s="456"/>
      <c r="W42" s="456"/>
      <c r="X42" s="456"/>
      <c r="Y42" s="456"/>
      <c r="Z42" s="456"/>
      <c r="AA42" s="456"/>
      <c r="AB42" s="456"/>
      <c r="AC42" s="456"/>
    </row>
    <row r="43" spans="1:29" x14ac:dyDescent="0.35">
      <c r="A43" s="587"/>
      <c r="B43" s="587"/>
      <c r="C43" s="587"/>
      <c r="D43" s="587"/>
      <c r="E43" s="587"/>
      <c r="F43" s="587"/>
      <c r="G43" s="587"/>
      <c r="H43" s="587"/>
      <c r="I43" s="587"/>
      <c r="J43" s="587"/>
      <c r="K43" s="587"/>
      <c r="L43" s="456"/>
      <c r="M43" s="456"/>
      <c r="N43" s="456"/>
      <c r="O43" s="456"/>
      <c r="P43" s="456"/>
      <c r="Q43" s="456"/>
      <c r="R43" s="456"/>
      <c r="S43" s="456"/>
      <c r="T43" s="456"/>
      <c r="U43" s="456"/>
      <c r="V43" s="456"/>
      <c r="W43" s="456"/>
      <c r="X43" s="456"/>
      <c r="Y43" s="456"/>
      <c r="Z43" s="456"/>
      <c r="AA43" s="456"/>
      <c r="AB43" s="456"/>
      <c r="AC43" s="456"/>
    </row>
    <row r="44" spans="1:29" x14ac:dyDescent="0.35">
      <c r="A44" s="587"/>
      <c r="B44" s="587"/>
      <c r="C44" s="587"/>
      <c r="D44" s="587"/>
      <c r="E44" s="587"/>
      <c r="F44" s="587"/>
      <c r="G44" s="587"/>
      <c r="H44" s="587"/>
      <c r="I44" s="587"/>
      <c r="J44" s="587"/>
      <c r="K44" s="587"/>
      <c r="L44" s="456"/>
      <c r="M44" s="456"/>
      <c r="N44" s="456"/>
      <c r="O44" s="456"/>
      <c r="P44" s="456"/>
      <c r="Q44" s="456"/>
      <c r="R44" s="456"/>
      <c r="S44" s="456"/>
      <c r="T44" s="456"/>
      <c r="U44" s="456"/>
      <c r="V44" s="456"/>
      <c r="W44" s="456"/>
      <c r="X44" s="456"/>
      <c r="Y44" s="456"/>
      <c r="Z44" s="456"/>
      <c r="AA44" s="456"/>
      <c r="AB44" s="456"/>
      <c r="AC44" s="456"/>
    </row>
    <row r="45" spans="1:29" x14ac:dyDescent="0.35">
      <c r="A45" s="587"/>
      <c r="B45" s="587"/>
      <c r="C45" s="587"/>
      <c r="D45" s="587"/>
      <c r="E45" s="587"/>
      <c r="F45" s="587"/>
      <c r="G45" s="587"/>
      <c r="H45" s="587"/>
      <c r="I45" s="587"/>
      <c r="J45" s="587"/>
      <c r="K45" s="587"/>
      <c r="L45" s="456"/>
      <c r="M45" s="456"/>
      <c r="N45" s="456"/>
      <c r="O45" s="456"/>
      <c r="P45" s="456"/>
      <c r="Q45" s="456"/>
      <c r="R45" s="456"/>
      <c r="S45" s="456"/>
      <c r="T45" s="456"/>
      <c r="U45" s="456"/>
      <c r="V45" s="456"/>
      <c r="W45" s="456"/>
      <c r="X45" s="456"/>
      <c r="Y45" s="456"/>
      <c r="Z45" s="456"/>
      <c r="AA45" s="456"/>
      <c r="AB45" s="456"/>
      <c r="AC45" s="456"/>
    </row>
    <row r="46" spans="1:29" x14ac:dyDescent="0.35">
      <c r="A46" s="587"/>
      <c r="B46" s="587"/>
      <c r="C46" s="587"/>
      <c r="D46" s="587"/>
      <c r="E46" s="587"/>
      <c r="F46" s="587"/>
      <c r="G46" s="587"/>
      <c r="H46" s="587"/>
      <c r="I46" s="587"/>
      <c r="J46" s="587"/>
      <c r="K46" s="587"/>
      <c r="L46" s="456"/>
      <c r="M46" s="456"/>
      <c r="N46" s="456"/>
      <c r="O46" s="456"/>
      <c r="P46" s="456"/>
      <c r="Q46" s="456"/>
      <c r="R46" s="456"/>
      <c r="S46" s="456"/>
      <c r="T46" s="456"/>
      <c r="U46" s="456"/>
      <c r="V46" s="456"/>
      <c r="W46" s="456"/>
      <c r="X46" s="456"/>
      <c r="Y46" s="456"/>
      <c r="Z46" s="456"/>
      <c r="AA46" s="456"/>
      <c r="AB46" s="456"/>
      <c r="AC46" s="456"/>
    </row>
    <row r="47" spans="1:29" x14ac:dyDescent="0.35">
      <c r="A47" s="587"/>
      <c r="B47" s="587"/>
      <c r="C47" s="587"/>
      <c r="D47" s="587"/>
      <c r="E47" s="587"/>
      <c r="F47" s="587"/>
      <c r="G47" s="587"/>
      <c r="H47" s="587"/>
      <c r="I47" s="587"/>
      <c r="J47" s="587"/>
      <c r="K47" s="587"/>
      <c r="L47" s="456"/>
      <c r="M47" s="456"/>
      <c r="N47" s="456"/>
      <c r="O47" s="456"/>
      <c r="P47" s="456"/>
      <c r="Q47" s="456"/>
      <c r="R47" s="456"/>
      <c r="S47" s="456"/>
      <c r="T47" s="456"/>
      <c r="U47" s="456"/>
      <c r="V47" s="456"/>
      <c r="W47" s="456"/>
      <c r="X47" s="456"/>
      <c r="Y47" s="456"/>
      <c r="Z47" s="456"/>
      <c r="AA47" s="456"/>
      <c r="AB47" s="456"/>
      <c r="AC47" s="456"/>
    </row>
    <row r="48" spans="1:29" x14ac:dyDescent="0.35">
      <c r="A48" s="587"/>
      <c r="B48" s="587"/>
      <c r="C48" s="587"/>
      <c r="D48" s="587"/>
      <c r="E48" s="587"/>
      <c r="F48" s="587"/>
      <c r="G48" s="587"/>
      <c r="H48" s="587"/>
      <c r="I48" s="587"/>
      <c r="J48" s="587"/>
      <c r="K48" s="587"/>
      <c r="L48" s="456"/>
      <c r="M48" s="456"/>
      <c r="N48" s="456"/>
      <c r="O48" s="456"/>
      <c r="P48" s="456"/>
      <c r="Q48" s="456"/>
      <c r="R48" s="456"/>
      <c r="S48" s="456"/>
      <c r="T48" s="456"/>
      <c r="U48" s="456"/>
      <c r="V48" s="456"/>
      <c r="W48" s="456"/>
      <c r="X48" s="456"/>
      <c r="Y48" s="456"/>
      <c r="Z48" s="456"/>
      <c r="AA48" s="456"/>
      <c r="AB48" s="456"/>
      <c r="AC48" s="456"/>
    </row>
    <row r="49" spans="1:29" x14ac:dyDescent="0.35">
      <c r="A49" s="587"/>
      <c r="B49" s="587"/>
      <c r="C49" s="587"/>
      <c r="D49" s="587"/>
      <c r="E49" s="587"/>
      <c r="F49" s="587"/>
      <c r="G49" s="587"/>
      <c r="H49" s="587"/>
      <c r="I49" s="587"/>
      <c r="J49" s="587"/>
      <c r="K49" s="587"/>
      <c r="L49" s="456"/>
      <c r="M49" s="456"/>
      <c r="N49" s="456"/>
      <c r="O49" s="456"/>
      <c r="P49" s="456"/>
      <c r="Q49" s="456"/>
      <c r="R49" s="456"/>
      <c r="S49" s="456"/>
      <c r="T49" s="456"/>
      <c r="U49" s="456"/>
      <c r="V49" s="456"/>
      <c r="W49" s="456"/>
      <c r="X49" s="456"/>
      <c r="Y49" s="456"/>
      <c r="Z49" s="456"/>
      <c r="AA49" s="456"/>
      <c r="AB49" s="456"/>
      <c r="AC49" s="456"/>
    </row>
    <row r="50" spans="1:29" x14ac:dyDescent="0.35">
      <c r="A50" s="587"/>
      <c r="B50" s="587"/>
      <c r="C50" s="587"/>
      <c r="D50" s="587"/>
      <c r="E50" s="587"/>
      <c r="F50" s="587"/>
      <c r="G50" s="587"/>
      <c r="H50" s="587"/>
      <c r="I50" s="587"/>
      <c r="J50" s="587"/>
      <c r="K50" s="587"/>
    </row>
  </sheetData>
  <mergeCells count="5">
    <mergeCell ref="A1:K1"/>
    <mergeCell ref="C2:K2"/>
    <mergeCell ref="U2:AC2"/>
    <mergeCell ref="L2:T2"/>
    <mergeCell ref="A39:K50"/>
  </mergeCells>
  <pageMargins left="0.25" right="0.25"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B39D-880F-4B9F-89F9-5C197412B2C7}">
  <sheetPr codeName="Sheet24">
    <tabColor theme="5" tint="-0.249977111117893"/>
  </sheetPr>
  <dimension ref="A1:BI109"/>
  <sheetViews>
    <sheetView zoomScale="80" zoomScaleNormal="80" workbookViewId="0">
      <selection activeCell="E13" sqref="E13"/>
    </sheetView>
  </sheetViews>
  <sheetFormatPr defaultRowHeight="14.5" x14ac:dyDescent="0.35"/>
  <cols>
    <col min="1" max="1" width="49.36328125" bestFit="1" customWidth="1"/>
    <col min="2" max="2" width="9.54296875" customWidth="1"/>
    <col min="5" max="5" width="9.54296875" bestFit="1" customWidth="1"/>
    <col min="6" max="6" width="9" bestFit="1" customWidth="1"/>
    <col min="7" max="7" width="9.54296875" bestFit="1" customWidth="1"/>
    <col min="8" max="8" width="11.81640625" style="3" bestFit="1" customWidth="1"/>
    <col min="9" max="9" width="13.26953125" style="3" bestFit="1" customWidth="1"/>
    <col min="10" max="10" width="12.1796875" style="3" customWidth="1"/>
    <col min="11" max="11" width="13.26953125" style="3" customWidth="1"/>
    <col min="12" max="14" width="11.1796875" hidden="1" customWidth="1"/>
    <col min="15" max="15" width="11.81640625" hidden="1" customWidth="1"/>
    <col min="16" max="16" width="11.1796875" hidden="1" customWidth="1"/>
    <col min="17" max="17" width="12.36328125" hidden="1" customWidth="1"/>
    <col min="18" max="18" width="11.1796875" hidden="1" customWidth="1"/>
    <col min="19" max="19" width="8.7265625" hidden="1" customWidth="1"/>
    <col min="20" max="21" width="10" hidden="1" customWidth="1"/>
    <col min="22" max="24" width="11.81640625" hidden="1" customWidth="1"/>
    <col min="25" max="25" width="10.26953125" hidden="1" customWidth="1"/>
    <col min="26" max="26" width="14" style="3" hidden="1" customWidth="1"/>
    <col min="27" max="27" width="13.26953125" style="3" hidden="1" customWidth="1"/>
    <col min="28" max="28" width="10.6328125" style="3" hidden="1" customWidth="1"/>
    <col min="29" max="29" width="13.6328125" style="3" hidden="1" customWidth="1"/>
    <col min="30" max="31" width="8.7265625" style="3" customWidth="1"/>
    <col min="32" max="61" width="8.7265625" style="3"/>
  </cols>
  <sheetData>
    <row r="1" spans="1:61" ht="31" x14ac:dyDescent="0.7">
      <c r="A1" s="597" t="s">
        <v>1824</v>
      </c>
      <c r="B1" s="597"/>
      <c r="C1" s="597"/>
      <c r="D1" s="597"/>
      <c r="E1" s="597"/>
      <c r="F1" s="597"/>
      <c r="G1" s="597"/>
      <c r="H1" s="597"/>
      <c r="I1" s="597"/>
      <c r="J1" s="597"/>
      <c r="K1" s="597"/>
      <c r="L1" s="597"/>
      <c r="M1" s="597"/>
      <c r="N1" s="597"/>
      <c r="O1" s="597"/>
      <c r="P1" s="597"/>
      <c r="Q1" s="597"/>
      <c r="R1" s="597"/>
      <c r="S1" s="597"/>
      <c r="T1" s="597"/>
      <c r="U1" s="597"/>
      <c r="V1" s="597"/>
      <c r="W1" s="597"/>
      <c r="X1" s="597"/>
      <c r="Y1" s="597"/>
      <c r="Z1" s="597"/>
      <c r="AA1" s="597"/>
      <c r="AB1" s="597"/>
      <c r="AC1" s="597"/>
    </row>
    <row r="2" spans="1:61" ht="62.5" customHeight="1" x14ac:dyDescent="0.5">
      <c r="A2" s="598" t="s">
        <v>1825</v>
      </c>
      <c r="B2" s="599"/>
      <c r="C2" s="599"/>
      <c r="D2" s="599"/>
      <c r="E2" s="599"/>
      <c r="F2" s="599"/>
      <c r="G2" s="599"/>
      <c r="H2" s="599"/>
      <c r="I2" s="599"/>
      <c r="J2" s="599"/>
      <c r="K2" s="599"/>
      <c r="L2" s="599"/>
      <c r="M2" s="599"/>
      <c r="N2" s="599"/>
      <c r="O2" s="599"/>
      <c r="P2" s="599"/>
      <c r="Q2" s="599"/>
      <c r="R2" s="599"/>
      <c r="S2" s="599"/>
      <c r="T2" s="599"/>
      <c r="U2" s="599"/>
      <c r="V2" s="599"/>
      <c r="W2" s="599"/>
      <c r="X2" s="599"/>
      <c r="Y2" s="599"/>
      <c r="Z2" s="599"/>
      <c r="AA2" s="599"/>
      <c r="AB2" s="599"/>
      <c r="AC2" s="599"/>
      <c r="AW2"/>
      <c r="AX2"/>
      <c r="AY2"/>
      <c r="AZ2"/>
      <c r="BA2"/>
      <c r="BB2"/>
      <c r="BC2"/>
      <c r="BD2"/>
      <c r="BE2"/>
      <c r="BF2"/>
      <c r="BG2"/>
      <c r="BH2"/>
      <c r="BI2"/>
    </row>
    <row r="3" spans="1:61" ht="23.5" x14ac:dyDescent="0.55000000000000004">
      <c r="A3" s="536"/>
      <c r="B3" s="600" t="s">
        <v>1341</v>
      </c>
      <c r="C3" s="600"/>
      <c r="D3" s="600"/>
      <c r="E3" s="600"/>
      <c r="F3" s="600"/>
      <c r="G3" s="600"/>
      <c r="H3" s="600"/>
      <c r="I3" s="600"/>
      <c r="J3" s="600"/>
      <c r="K3" s="600"/>
      <c r="L3" s="601" t="s">
        <v>1350</v>
      </c>
      <c r="M3" s="601"/>
      <c r="N3" s="601"/>
      <c r="O3" s="601"/>
      <c r="P3" s="601"/>
      <c r="Q3" s="601"/>
      <c r="R3" s="601"/>
      <c r="S3" s="601"/>
      <c r="T3" s="601"/>
      <c r="U3" s="602" t="s">
        <v>1351</v>
      </c>
      <c r="V3" s="602"/>
      <c r="W3" s="602"/>
      <c r="X3" s="602"/>
      <c r="Y3" s="602"/>
      <c r="Z3" s="602"/>
      <c r="AA3" s="602"/>
      <c r="AB3" s="602"/>
      <c r="AC3" s="602"/>
    </row>
    <row r="4" spans="1:61" s="91" customFormat="1" ht="29" x14ac:dyDescent="0.35">
      <c r="A4" s="491" t="s">
        <v>1826</v>
      </c>
      <c r="B4" s="140" t="s">
        <v>1739</v>
      </c>
      <c r="C4" s="233" t="s">
        <v>1712</v>
      </c>
      <c r="D4" s="435" t="s">
        <v>1714</v>
      </c>
      <c r="E4" s="88" t="s">
        <v>1709</v>
      </c>
      <c r="F4" s="96" t="s">
        <v>1427</v>
      </c>
      <c r="G4" s="345" t="s">
        <v>1715</v>
      </c>
      <c r="H4" s="353" t="s">
        <v>9</v>
      </c>
      <c r="I4" s="353" t="s">
        <v>1711</v>
      </c>
      <c r="J4" s="353" t="s">
        <v>1427</v>
      </c>
      <c r="K4" s="353" t="s">
        <v>1713</v>
      </c>
      <c r="L4" s="542" t="s">
        <v>1712</v>
      </c>
      <c r="M4" s="542" t="s">
        <v>1714</v>
      </c>
      <c r="N4" s="88" t="s">
        <v>1709</v>
      </c>
      <c r="O4" s="96" t="s">
        <v>1427</v>
      </c>
      <c r="P4" s="345" t="s">
        <v>1715</v>
      </c>
      <c r="Q4" s="353" t="s">
        <v>9</v>
      </c>
      <c r="R4" s="353" t="s">
        <v>1711</v>
      </c>
      <c r="S4" s="353" t="s">
        <v>1427</v>
      </c>
      <c r="T4" s="353" t="s">
        <v>1713</v>
      </c>
      <c r="U4" s="543" t="s">
        <v>1712</v>
      </c>
      <c r="V4" s="543" t="s">
        <v>1714</v>
      </c>
      <c r="W4" s="88" t="s">
        <v>1709</v>
      </c>
      <c r="X4" s="96" t="s">
        <v>1427</v>
      </c>
      <c r="Y4" s="345" t="s">
        <v>1715</v>
      </c>
      <c r="Z4" s="353" t="s">
        <v>9</v>
      </c>
      <c r="AA4" s="353" t="s">
        <v>1711</v>
      </c>
      <c r="AB4" s="353" t="s">
        <v>1427</v>
      </c>
      <c r="AC4" s="353" t="s">
        <v>1713</v>
      </c>
    </row>
    <row r="5" spans="1:61" s="91" customFormat="1" x14ac:dyDescent="0.35">
      <c r="A5" s="521" t="s">
        <v>14</v>
      </c>
      <c r="B5" s="549"/>
      <c r="C5" s="519"/>
      <c r="D5" s="519"/>
      <c r="E5" s="520"/>
      <c r="F5" s="520"/>
      <c r="G5" s="520"/>
      <c r="H5" s="520"/>
      <c r="I5" s="520"/>
      <c r="J5" s="520"/>
      <c r="K5" s="520"/>
      <c r="L5" s="557"/>
      <c r="M5" s="557"/>
      <c r="N5" s="520"/>
      <c r="O5" s="548"/>
      <c r="P5" s="548"/>
      <c r="Q5" s="520"/>
      <c r="R5" s="520"/>
      <c r="S5" s="520"/>
      <c r="T5" s="520"/>
      <c r="U5" s="558"/>
      <c r="V5" s="558"/>
      <c r="W5" s="548"/>
      <c r="X5" s="548"/>
      <c r="Y5" s="548"/>
      <c r="Z5" s="520"/>
      <c r="AA5" s="520"/>
      <c r="AB5" s="548"/>
      <c r="AC5" s="548"/>
    </row>
    <row r="6" spans="1:61" x14ac:dyDescent="0.35">
      <c r="A6" s="522" t="s">
        <v>1827</v>
      </c>
      <c r="B6" s="537">
        <v>3.5</v>
      </c>
      <c r="C6" s="235" cm="1">
        <f t="array" ref="C6">SUMPRODUCT(--(D_Category="Ex_Cat_1"),--(D_EffDate="Eff_Date_1"),--(D_Product="EE"),--(D_SC_Name=$A6),--(D_Zone="All"),(D_Percent))</f>
        <v>0</v>
      </c>
      <c r="D6" s="235" cm="1">
        <f t="array" ref="D6">SUMPRODUCT(--(D_Category="Ex_Cat_1"),--(D_EffDate="Eff_Date_2"),--(D_Product="EE"),--(D_Zone="All"),--(D_SC_Name=$A6),(D_Percent))</f>
        <v>0</v>
      </c>
      <c r="E6" s="537">
        <f>ROUND(($B6*(1-C6)),2)</f>
        <v>3.5</v>
      </c>
      <c r="F6" s="537">
        <f>G6-E6</f>
        <v>0</v>
      </c>
      <c r="G6" s="537">
        <f>ROUND(($B6*(1-D6)),2)</f>
        <v>3.5</v>
      </c>
      <c r="H6" s="551" cm="1">
        <f t="array" ref="H6">SUMPRODUCT(--(Category="Ex_Cat_1"),--(OpCo="Express"),--(Intl="International"),--(SC_Name=$A6),(SC_Count))</f>
        <v>0</v>
      </c>
      <c r="I6" s="537">
        <f>H6*E6</f>
        <v>0</v>
      </c>
      <c r="J6" s="537">
        <f>K6-I6</f>
        <v>0</v>
      </c>
      <c r="K6" s="537">
        <f>H6*G6</f>
        <v>0</v>
      </c>
      <c r="L6" s="545" cm="1">
        <f t="array" ref="L6">SUMPRODUCT(--(D_Category="Ex_Cat_2"),--(D_EffDate="Eff_Date_1"),--(D_Product="EE"),--(D_SC_Name=$A6),--(D_Zone="All"),(D_Percent))</f>
        <v>0</v>
      </c>
      <c r="M6" s="545" cm="1">
        <f t="array" ref="M6">SUMPRODUCT(--(D_Category="Ex_Cat_2"),--(D_EffDate="Eff_Date_2"),--(D_Product="EE"),--(D_Zone="All"),--(D_SC_Name=$A6),(D_Percent))</f>
        <v>0</v>
      </c>
      <c r="N6" s="537">
        <f>ROUND(($B6*(1-L6)),2)</f>
        <v>3.5</v>
      </c>
      <c r="O6" s="540">
        <f>P6-N6</f>
        <v>0</v>
      </c>
      <c r="P6" s="151">
        <f>ROUND(($B6*(1-M6)),2)</f>
        <v>3.5</v>
      </c>
      <c r="Q6" s="551" cm="1">
        <f t="array" ref="Q6">SUMPRODUCT(--(Category="Ex_Cat_2"),--(OpCo="Express"),--(Intl="International"),--(SC_Name=$A6),(SC_Count))</f>
        <v>0</v>
      </c>
      <c r="R6" s="151">
        <f>Q6*N6</f>
        <v>0</v>
      </c>
      <c r="S6" s="151">
        <f>T6-R6</f>
        <v>0</v>
      </c>
      <c r="T6" s="151">
        <f>Q6*P6</f>
        <v>0</v>
      </c>
      <c r="U6" s="546" cm="1">
        <f t="array" ref="U6">SUMPRODUCT(--(D_Category="Ex_Cat_3"),--(D_EffDate="Eff_Date_1"),--(D_Product="EE"),--(D_SC_Name=$A6),--(D_Zone="All"),(D_Percent))</f>
        <v>0</v>
      </c>
      <c r="V6" s="546" cm="1">
        <f t="array" ref="V6">SUMPRODUCT(--(D_Category="Ex_Cat_3"),--(D_EffDate="Eff_Date_2"),--(D_Product="EE"),--(D_Zone="All"),--(D_SC_Name=$A6),(D_Percent))</f>
        <v>0</v>
      </c>
      <c r="W6" s="540">
        <f>ROUND(($B6*(1-U6)),2)</f>
        <v>3.5</v>
      </c>
      <c r="X6" s="540">
        <f>Y6-W6</f>
        <v>0</v>
      </c>
      <c r="Y6" s="151">
        <f>ROUND(($B6*(1-V6)),2)</f>
        <v>3.5</v>
      </c>
      <c r="Z6" s="551" cm="1">
        <f t="array" ref="Z6">SUMPRODUCT(--(Category="Ex_Cat_3"),--(OpCo="Express"),--(Intl="International"),--(SC_Name=$A6),(SC_Count))</f>
        <v>0</v>
      </c>
      <c r="AA6" s="537">
        <f>Z6*W6</f>
        <v>0</v>
      </c>
      <c r="AB6" s="540">
        <f>AC6-AA6</f>
        <v>0</v>
      </c>
      <c r="AC6" s="540">
        <f>Z6*Y6</f>
        <v>0</v>
      </c>
    </row>
    <row r="7" spans="1:61" x14ac:dyDescent="0.35">
      <c r="A7" s="522" t="s">
        <v>1828</v>
      </c>
      <c r="B7" s="537">
        <v>0</v>
      </c>
      <c r="C7" s="235" cm="1">
        <f t="array" ref="C7">SUMPRODUCT(--(D_Category="Ex_Cat_1"),--(D_EffDate="Eff_Date_1"),--(D_Product="EE"),--(D_SC_Name=$A7),--(D_Zone="All"),(D_Percent))</f>
        <v>0</v>
      </c>
      <c r="D7" s="235" cm="1">
        <f t="array" ref="D7">SUMPRODUCT(--(D_Category="Ex_Cat_1"),--(D_EffDate="Eff_Date_2"),--(D_Product="EE"),--(D_Zone="All"),--(D_SC_Name=$A7),(D_Percent))</f>
        <v>0</v>
      </c>
      <c r="E7" s="537">
        <f t="shared" ref="E7:E20" si="0">ROUND(($B7*(1-C7)),2)</f>
        <v>0</v>
      </c>
      <c r="F7" s="537">
        <f t="shared" ref="F7:F22" si="1">G7-E7</f>
        <v>0</v>
      </c>
      <c r="G7" s="537">
        <f t="shared" ref="G7:G20" si="2">ROUND(($B7*(1-D7)),2)</f>
        <v>0</v>
      </c>
      <c r="H7" s="551" cm="1">
        <f t="array" ref="H7">SUMPRODUCT(--(Category="Ex_Cat_1"),--(OpCo="Express"),--(Intl="International"),--(SC_Name=$A7),(SC_Count))</f>
        <v>0</v>
      </c>
      <c r="I7" s="537">
        <f t="shared" ref="I7:I22" si="3">H7*E7</f>
        <v>0</v>
      </c>
      <c r="J7" s="537">
        <f t="shared" ref="J7:J22" si="4">K7-I7</f>
        <v>0</v>
      </c>
      <c r="K7" s="537">
        <f t="shared" ref="K7:K22" si="5">H7*G7</f>
        <v>0</v>
      </c>
      <c r="L7" s="545" cm="1">
        <f t="array" ref="L7">SUMPRODUCT(--(D_Category="Ex_Cat_2"),--(D_EffDate="Eff_Date_1"),--(D_Product="EE"),--(D_SC_Name=$A7),--(D_Zone="All"),(D_Percent))</f>
        <v>0</v>
      </c>
      <c r="M7" s="545" cm="1">
        <f t="array" ref="M7">SUMPRODUCT(--(D_Category="Ex_Cat_2"),--(D_EffDate="Eff_Date_2"),--(D_Product="EE"),--(D_Zone="All"),--(D_SC_Name=$A7),(D_Percent))</f>
        <v>0</v>
      </c>
      <c r="N7" s="537">
        <f t="shared" ref="N7:N22" si="6">ROUND(($B7*(1-L7)),2)</f>
        <v>0</v>
      </c>
      <c r="O7" s="540">
        <f t="shared" ref="O7:O22" si="7">P7-N7</f>
        <v>0</v>
      </c>
      <c r="P7" s="151">
        <f t="shared" ref="P7:P22" si="8">ROUND(($B7*(1-M7)),2)</f>
        <v>0</v>
      </c>
      <c r="Q7" s="551" cm="1">
        <f t="array" ref="Q7">SUMPRODUCT(--(Category="Ex_Cat_2"),--(OpCo="Express"),--(Intl="International"),--(SC_Name=$A7),(SC_Count))</f>
        <v>0</v>
      </c>
      <c r="R7" s="151">
        <f t="shared" ref="R7:R22" si="9">Q7*N7</f>
        <v>0</v>
      </c>
      <c r="S7" s="151">
        <f t="shared" ref="S7:S22" si="10">T7-R7</f>
        <v>0</v>
      </c>
      <c r="T7" s="151">
        <f t="shared" ref="T7:T22" si="11">Q7*P7</f>
        <v>0</v>
      </c>
      <c r="U7" s="546" cm="1">
        <f t="array" ref="U7">SUMPRODUCT(--(D_Category="Ex_Cat_3"),--(D_EffDate="Eff_Date_1"),--(D_Product="EE"),--(D_SC_Name=$A7),--(D_Zone="All"),(D_Percent))</f>
        <v>0</v>
      </c>
      <c r="V7" s="546" cm="1">
        <f t="array" ref="V7">SUMPRODUCT(--(D_Category="Ex_Cat_3"),--(D_EffDate="Eff_Date_2"),--(D_Product="EE"),--(D_Zone="All"),--(D_SC_Name=$A7),(D_Percent))</f>
        <v>0</v>
      </c>
      <c r="W7" s="540">
        <f t="shared" ref="W7:W22" si="12">ROUND(($B7*(1-U7)),2)</f>
        <v>0</v>
      </c>
      <c r="X7" s="540">
        <f t="shared" ref="X7:X22" si="13">Y7-W7</f>
        <v>0</v>
      </c>
      <c r="Y7" s="151">
        <f t="shared" ref="Y7:Y22" si="14">ROUND(($B7*(1-V7)),2)</f>
        <v>0</v>
      </c>
      <c r="Z7" s="551" cm="1">
        <f t="array" ref="Z7">SUMPRODUCT(--(Category="Ex_Cat_3"),--(OpCo="Express"),--(Intl="International"),--(SC_Name=$A7),(SC_Count))</f>
        <v>0</v>
      </c>
      <c r="AA7" s="537">
        <f t="shared" ref="AA7:AA22" si="15">Z7*W7</f>
        <v>0</v>
      </c>
      <c r="AB7" s="540">
        <f t="shared" ref="AB7:AB22" si="16">AC7-AA7</f>
        <v>0</v>
      </c>
      <c r="AC7" s="540">
        <f t="shared" ref="AC7:AC22" si="17">Z7*Y7</f>
        <v>0</v>
      </c>
    </row>
    <row r="8" spans="1:61" x14ac:dyDescent="0.35">
      <c r="A8" s="522" t="s">
        <v>1829</v>
      </c>
      <c r="B8" s="537">
        <v>51</v>
      </c>
      <c r="C8" s="235" cm="1">
        <f t="array" ref="C8">SUMPRODUCT(--(D_Category="Ex_Cat_1"),--(D_EffDate="Eff_Date_1"),--(D_Product="EE"),--(D_SC_Name=$A8),--(D_Zone="All"),(D_Percent))</f>
        <v>0</v>
      </c>
      <c r="D8" s="235" cm="1">
        <f t="array" ref="D8">SUMPRODUCT(--(D_Category="Ex_Cat_1"),--(D_EffDate="Eff_Date_2"),--(D_Product="EE"),--(D_Zone="All"),--(D_SC_Name=$A8),(D_Percent))</f>
        <v>0</v>
      </c>
      <c r="E8" s="537">
        <f t="shared" si="0"/>
        <v>51</v>
      </c>
      <c r="F8" s="537">
        <f t="shared" si="1"/>
        <v>0</v>
      </c>
      <c r="G8" s="537">
        <f t="shared" si="2"/>
        <v>51</v>
      </c>
      <c r="H8" s="551" cm="1">
        <f t="array" ref="H8">SUMPRODUCT(--(Category="Ex_Cat_1"),--(OpCo="Express"),--(Intl="International"),--(SC_Name=$A8),(SC_Count))</f>
        <v>0</v>
      </c>
      <c r="I8" s="537">
        <f t="shared" si="3"/>
        <v>0</v>
      </c>
      <c r="J8" s="537">
        <f t="shared" si="4"/>
        <v>0</v>
      </c>
      <c r="K8" s="537">
        <f t="shared" si="5"/>
        <v>0</v>
      </c>
      <c r="L8" s="545" cm="1">
        <f t="array" ref="L8">SUMPRODUCT(--(D_Category="Ex_Cat_2"),--(D_EffDate="Eff_Date_1"),--(D_Product="EE"),--(D_SC_Name=$A8),--(D_Zone="All"),(D_Percent))</f>
        <v>0</v>
      </c>
      <c r="M8" s="545" cm="1">
        <f t="array" ref="M8">SUMPRODUCT(--(D_Category="Ex_Cat_2"),--(D_EffDate="Eff_Date_2"),--(D_Product="EE"),--(D_Zone="All"),--(D_SC_Name=$A8),(D_Percent))</f>
        <v>0</v>
      </c>
      <c r="N8" s="537">
        <f t="shared" si="6"/>
        <v>51</v>
      </c>
      <c r="O8" s="540">
        <f t="shared" si="7"/>
        <v>0</v>
      </c>
      <c r="P8" s="151">
        <f t="shared" si="8"/>
        <v>51</v>
      </c>
      <c r="Q8" s="551" cm="1">
        <f t="array" ref="Q8">SUMPRODUCT(--(Category="Ex_Cat_2"),--(OpCo="Express"),--(Intl="International"),--(SC_Name=$A8),(SC_Count))</f>
        <v>0</v>
      </c>
      <c r="R8" s="151">
        <f t="shared" si="9"/>
        <v>0</v>
      </c>
      <c r="S8" s="151">
        <f t="shared" si="10"/>
        <v>0</v>
      </c>
      <c r="T8" s="151">
        <f t="shared" si="11"/>
        <v>0</v>
      </c>
      <c r="U8" s="546" cm="1">
        <f t="array" ref="U8">SUMPRODUCT(--(D_Category="Ex_Cat_3"),--(D_EffDate="Eff_Date_1"),--(D_Product="EE"),--(D_SC_Name=$A8),--(D_Zone="All"),(D_Percent))</f>
        <v>0</v>
      </c>
      <c r="V8" s="546" cm="1">
        <f t="array" ref="V8">SUMPRODUCT(--(D_Category="Ex_Cat_3"),--(D_EffDate="Eff_Date_2"),--(D_Product="EE"),--(D_Zone="All"),--(D_SC_Name=$A8),(D_Percent))</f>
        <v>0</v>
      </c>
      <c r="W8" s="540">
        <f t="shared" si="12"/>
        <v>51</v>
      </c>
      <c r="X8" s="540">
        <f t="shared" si="13"/>
        <v>0</v>
      </c>
      <c r="Y8" s="151">
        <f t="shared" si="14"/>
        <v>51</v>
      </c>
      <c r="Z8" s="551" cm="1">
        <f t="array" ref="Z8">SUMPRODUCT(--(Category="Ex_Cat_3"),--(OpCo="Express"),--(Intl="International"),--(SC_Name=$A8),(SC_Count))</f>
        <v>0</v>
      </c>
      <c r="AA8" s="537">
        <f t="shared" si="15"/>
        <v>0</v>
      </c>
      <c r="AB8" s="540">
        <f t="shared" si="16"/>
        <v>0</v>
      </c>
      <c r="AC8" s="540">
        <f t="shared" si="17"/>
        <v>0</v>
      </c>
    </row>
    <row r="9" spans="1:61" x14ac:dyDescent="0.35">
      <c r="A9" s="522" t="s">
        <v>1830</v>
      </c>
      <c r="B9" s="537">
        <v>90</v>
      </c>
      <c r="C9" s="235" cm="1">
        <f t="array" ref="C9">SUMPRODUCT(--(D_Category="Ex_Cat_1"),--(D_EffDate="Eff_Date_1"),--(D_Product="EE"),--(D_SC_Name=$A9),--(D_Zone="All"),(D_Percent))</f>
        <v>0</v>
      </c>
      <c r="D9" s="235" cm="1">
        <f t="array" ref="D9">SUMPRODUCT(--(D_Category="Ex_Cat_1"),--(D_EffDate="Eff_Date_2"),--(D_Product="EE"),--(D_Zone="All"),--(D_SC_Name=$A9),(D_Percent))</f>
        <v>0</v>
      </c>
      <c r="E9" s="537">
        <f t="shared" si="0"/>
        <v>90</v>
      </c>
      <c r="F9" s="537">
        <f t="shared" si="1"/>
        <v>0</v>
      </c>
      <c r="G9" s="537">
        <f t="shared" si="2"/>
        <v>90</v>
      </c>
      <c r="H9" s="551" cm="1">
        <f t="array" ref="H9">SUMPRODUCT(--(Category="Ex_Cat_1"),--(OpCo="Express"),--(Intl="International"),--(SC_Name=$A9),(SC_Count))</f>
        <v>0</v>
      </c>
      <c r="I9" s="537">
        <f t="shared" si="3"/>
        <v>0</v>
      </c>
      <c r="J9" s="537">
        <f t="shared" si="4"/>
        <v>0</v>
      </c>
      <c r="K9" s="537">
        <f t="shared" si="5"/>
        <v>0</v>
      </c>
      <c r="L9" s="545" cm="1">
        <f t="array" ref="L9">SUMPRODUCT(--(D_Category="Ex_Cat_2"),--(D_EffDate="Eff_Date_1"),--(D_Product="EE"),--(D_SC_Name=$A9),--(D_Zone="All"),(D_Percent))</f>
        <v>0</v>
      </c>
      <c r="M9" s="545" cm="1">
        <f t="array" ref="M9">SUMPRODUCT(--(D_Category="Ex_Cat_2"),--(D_EffDate="Eff_Date_2"),--(D_Product="EE"),--(D_Zone="All"),--(D_SC_Name=$A9),(D_Percent))</f>
        <v>0</v>
      </c>
      <c r="N9" s="537">
        <f t="shared" si="6"/>
        <v>90</v>
      </c>
      <c r="O9" s="540">
        <f t="shared" si="7"/>
        <v>0</v>
      </c>
      <c r="P9" s="151">
        <f t="shared" si="8"/>
        <v>90</v>
      </c>
      <c r="Q9" s="551" cm="1">
        <f t="array" ref="Q9">SUMPRODUCT(--(Category="Ex_Cat_2"),--(OpCo="Express"),--(Intl="International"),--(SC_Name=$A9),(SC_Count))</f>
        <v>0</v>
      </c>
      <c r="R9" s="151">
        <f t="shared" si="9"/>
        <v>0</v>
      </c>
      <c r="S9" s="151">
        <f t="shared" si="10"/>
        <v>0</v>
      </c>
      <c r="T9" s="151">
        <f t="shared" si="11"/>
        <v>0</v>
      </c>
      <c r="U9" s="546" cm="1">
        <f t="array" ref="U9">SUMPRODUCT(--(D_Category="Ex_Cat_3"),--(D_EffDate="Eff_Date_1"),--(D_Product="EE"),--(D_SC_Name=$A9),--(D_Zone="All"),(D_Percent))</f>
        <v>0</v>
      </c>
      <c r="V9" s="546" cm="1">
        <f t="array" ref="V9">SUMPRODUCT(--(D_Category="Ex_Cat_3"),--(D_EffDate="Eff_Date_2"),--(D_Product="EE"),--(D_Zone="All"),--(D_SC_Name=$A9),(D_Percent))</f>
        <v>0</v>
      </c>
      <c r="W9" s="540">
        <f t="shared" si="12"/>
        <v>90</v>
      </c>
      <c r="X9" s="540">
        <f t="shared" si="13"/>
        <v>0</v>
      </c>
      <c r="Y9" s="151">
        <f t="shared" si="14"/>
        <v>90</v>
      </c>
      <c r="Z9" s="551" cm="1">
        <f t="array" ref="Z9">SUMPRODUCT(--(Category="Ex_Cat_3"),--(OpCo="Express"),--(Intl="International"),--(SC_Name=$A9),(SC_Count))</f>
        <v>0</v>
      </c>
      <c r="AA9" s="537">
        <f t="shared" si="15"/>
        <v>0</v>
      </c>
      <c r="AB9" s="540">
        <f t="shared" si="16"/>
        <v>0</v>
      </c>
      <c r="AC9" s="540">
        <f t="shared" si="17"/>
        <v>0</v>
      </c>
    </row>
    <row r="10" spans="1:61" x14ac:dyDescent="0.35">
      <c r="A10" s="522" t="s">
        <v>1831</v>
      </c>
      <c r="B10" s="537"/>
      <c r="C10" s="235" cm="1">
        <f t="array" ref="C10">SUMPRODUCT(--(D_Category="Ex_Cat_1"),--(D_EffDate="Eff_Date_1"),--(D_Product="EE"),--(D_SC_Name=$A10),--(D_Zone="All"),(D_Percent))</f>
        <v>0</v>
      </c>
      <c r="D10" s="235" cm="1">
        <f t="array" ref="D10">SUMPRODUCT(--(D_Category="Ex_Cat_1"),--(D_EffDate="Eff_Date_2"),--(D_Product="EE"),--(D_Zone="All"),--(D_SC_Name=$A10),(D_Percent))</f>
        <v>0</v>
      </c>
      <c r="E10" s="537">
        <f t="shared" si="0"/>
        <v>0</v>
      </c>
      <c r="F10" s="537">
        <f t="shared" si="1"/>
        <v>0</v>
      </c>
      <c r="G10" s="537">
        <f t="shared" si="2"/>
        <v>0</v>
      </c>
      <c r="H10" s="551" cm="1">
        <f t="array" ref="H10">SUMPRODUCT(--(Category="Ex_Cat_1"),--(OpCo="Express"),--(Intl="International"),--(SC_Name=$A10),(SC_Count))</f>
        <v>0</v>
      </c>
      <c r="I10" s="537">
        <f t="shared" si="3"/>
        <v>0</v>
      </c>
      <c r="J10" s="537">
        <f t="shared" si="4"/>
        <v>0</v>
      </c>
      <c r="K10" s="537">
        <f t="shared" si="5"/>
        <v>0</v>
      </c>
      <c r="L10" s="545" cm="1">
        <f t="array" ref="L10">SUMPRODUCT(--(D_Category="Ex_Cat_2"),--(D_EffDate="Eff_Date_1"),--(D_Product="EE"),--(D_SC_Name=$A10),--(D_Zone="All"),(D_Percent))</f>
        <v>0</v>
      </c>
      <c r="M10" s="545" cm="1">
        <f t="array" ref="M10">SUMPRODUCT(--(D_Category="Ex_Cat_2"),--(D_EffDate="Eff_Date_2"),--(D_Product="EE"),--(D_Zone="All"),--(D_SC_Name=$A10),(D_Percent))</f>
        <v>0</v>
      </c>
      <c r="N10" s="537">
        <f t="shared" si="6"/>
        <v>0</v>
      </c>
      <c r="O10" s="540">
        <f t="shared" si="7"/>
        <v>0</v>
      </c>
      <c r="P10" s="151">
        <f t="shared" si="8"/>
        <v>0</v>
      </c>
      <c r="Q10" s="551" cm="1">
        <f t="array" ref="Q10">SUMPRODUCT(--(Category="Ex_Cat_2"),--(OpCo="Express"),--(Intl="International"),--(SC_Name=$A10),(SC_Count))</f>
        <v>0</v>
      </c>
      <c r="R10" s="151">
        <f t="shared" si="9"/>
        <v>0</v>
      </c>
      <c r="S10" s="151">
        <f t="shared" si="10"/>
        <v>0</v>
      </c>
      <c r="T10" s="151">
        <f t="shared" si="11"/>
        <v>0</v>
      </c>
      <c r="U10" s="546" cm="1">
        <f t="array" ref="U10">SUMPRODUCT(--(D_Category="Ex_Cat_3"),--(D_EffDate="Eff_Date_1"),--(D_Product="EE"),--(D_SC_Name=$A10),--(D_Zone="All"),(D_Percent))</f>
        <v>0</v>
      </c>
      <c r="V10" s="546" cm="1">
        <f t="array" ref="V10">SUMPRODUCT(--(D_Category="Ex_Cat_3"),--(D_EffDate="Eff_Date_2"),--(D_Product="EE"),--(D_Zone="All"),--(D_SC_Name=$A10),(D_Percent))</f>
        <v>0</v>
      </c>
      <c r="W10" s="540">
        <f t="shared" si="12"/>
        <v>0</v>
      </c>
      <c r="X10" s="540">
        <f t="shared" si="13"/>
        <v>0</v>
      </c>
      <c r="Y10" s="151">
        <f t="shared" si="14"/>
        <v>0</v>
      </c>
      <c r="Z10" s="551" cm="1">
        <f t="array" ref="Z10">SUMPRODUCT(--(Category="Ex_Cat_3"),--(OpCo="Express"),--(Intl="International"),--(SC_Name=$A10),(SC_Count))</f>
        <v>0</v>
      </c>
      <c r="AA10" s="537">
        <f t="shared" si="15"/>
        <v>0</v>
      </c>
      <c r="AB10" s="540">
        <f t="shared" si="16"/>
        <v>0</v>
      </c>
      <c r="AC10" s="540">
        <f t="shared" si="17"/>
        <v>0</v>
      </c>
    </row>
    <row r="11" spans="1:61" x14ac:dyDescent="0.35">
      <c r="A11" s="522" t="s">
        <v>1832</v>
      </c>
      <c r="B11" s="537">
        <v>2.1</v>
      </c>
      <c r="C11" s="235" cm="1">
        <f t="array" ref="C11">SUMPRODUCT(--(D_Category="Ex_Cat_1"),--(D_EffDate="Eff_Date_1"),--(D_Product="EE"),--(D_SC_Name=$A11),--(D_Zone="All"),(D_Percent))</f>
        <v>0</v>
      </c>
      <c r="D11" s="235" cm="1">
        <f t="array" ref="D11">SUMPRODUCT(--(D_Category="Ex_Cat_1"),--(D_EffDate="Eff_Date_2"),--(D_Product="EE"),--(D_Zone="All"),--(D_SC_Name=$A11),(D_Percent))</f>
        <v>0</v>
      </c>
      <c r="E11" s="537">
        <f t="shared" si="0"/>
        <v>2.1</v>
      </c>
      <c r="F11" s="537">
        <f t="shared" si="1"/>
        <v>0</v>
      </c>
      <c r="G11" s="537">
        <f t="shared" si="2"/>
        <v>2.1</v>
      </c>
      <c r="H11" s="551" cm="1">
        <f t="array" ref="H11">SUMPRODUCT(--(Category="Ex_Cat_1"),--(OpCo="Express"),--(Intl="International"),--(SC_Name=$A11),(SC_Count))</f>
        <v>0</v>
      </c>
      <c r="I11" s="537">
        <f t="shared" si="3"/>
        <v>0</v>
      </c>
      <c r="J11" s="537">
        <f t="shared" si="4"/>
        <v>0</v>
      </c>
      <c r="K11" s="537">
        <f t="shared" si="5"/>
        <v>0</v>
      </c>
      <c r="L11" s="545" cm="1">
        <f t="array" ref="L11">SUMPRODUCT(--(D_Category="Ex_Cat_2"),--(D_EffDate="Eff_Date_1"),--(D_Product="EE"),--(D_SC_Name=$A11),--(D_Zone="All"),(D_Percent))</f>
        <v>0</v>
      </c>
      <c r="M11" s="545" cm="1">
        <f t="array" ref="M11">SUMPRODUCT(--(D_Category="Ex_Cat_2"),--(D_EffDate="Eff_Date_2"),--(D_Product="EE"),--(D_Zone="All"),--(D_SC_Name=$A11),(D_Percent))</f>
        <v>0</v>
      </c>
      <c r="N11" s="537">
        <f t="shared" si="6"/>
        <v>2.1</v>
      </c>
      <c r="O11" s="540">
        <f t="shared" si="7"/>
        <v>0</v>
      </c>
      <c r="P11" s="151">
        <f t="shared" si="8"/>
        <v>2.1</v>
      </c>
      <c r="Q11" s="551" cm="1">
        <f t="array" ref="Q11">SUMPRODUCT(--(Category="Ex_Cat_2"),--(OpCo="Express"),--(Intl="International"),--(SC_Name=$A11),(SC_Count))</f>
        <v>0</v>
      </c>
      <c r="R11" s="151">
        <f t="shared" si="9"/>
        <v>0</v>
      </c>
      <c r="S11" s="151">
        <f t="shared" si="10"/>
        <v>0</v>
      </c>
      <c r="T11" s="151">
        <f t="shared" si="11"/>
        <v>0</v>
      </c>
      <c r="U11" s="546" cm="1">
        <f t="array" ref="U11">SUMPRODUCT(--(D_Category="Ex_Cat_3"),--(D_EffDate="Eff_Date_1"),--(D_Product="EE"),--(D_SC_Name=$A11),--(D_Zone="All"),(D_Percent))</f>
        <v>0</v>
      </c>
      <c r="V11" s="546" cm="1">
        <f t="array" ref="V11">SUMPRODUCT(--(D_Category="Ex_Cat_3"),--(D_EffDate="Eff_Date_2"),--(D_Product="EE"),--(D_Zone="All"),--(D_SC_Name=$A11),(D_Percent))</f>
        <v>0</v>
      </c>
      <c r="W11" s="540">
        <f t="shared" si="12"/>
        <v>2.1</v>
      </c>
      <c r="X11" s="540">
        <f t="shared" si="13"/>
        <v>0</v>
      </c>
      <c r="Y11" s="151">
        <f t="shared" si="14"/>
        <v>2.1</v>
      </c>
      <c r="Z11" s="551" cm="1">
        <f t="array" ref="Z11">SUMPRODUCT(--(Category="Ex_Cat_3"),--(OpCo="Express"),--(Intl="International"),--(SC_Name=$A11),(SC_Count))</f>
        <v>0</v>
      </c>
      <c r="AA11" s="537">
        <f t="shared" si="15"/>
        <v>0</v>
      </c>
      <c r="AB11" s="540">
        <f t="shared" si="16"/>
        <v>0</v>
      </c>
      <c r="AC11" s="540">
        <f t="shared" si="17"/>
        <v>0</v>
      </c>
    </row>
    <row r="12" spans="1:61" x14ac:dyDescent="0.35">
      <c r="A12" s="522" t="s">
        <v>1833</v>
      </c>
      <c r="B12" s="537">
        <v>53</v>
      </c>
      <c r="C12" s="235" cm="1">
        <f t="array" ref="C12">SUMPRODUCT(--(D_Category="Ex_Cat_1"),--(D_EffDate="Eff_Date_1"),--(D_Product="EE"),--(D_SC_Name=$A12),--(D_Zone="All"),(D_Percent))</f>
        <v>0</v>
      </c>
      <c r="D12" s="235" cm="1">
        <f t="array" ref="D12">SUMPRODUCT(--(D_Category="Ex_Cat_1"),--(D_EffDate="Eff_Date_2"),--(D_Product="EE"),--(D_Zone="All"),--(D_SC_Name=$A12),(D_Percent))</f>
        <v>0</v>
      </c>
      <c r="E12" s="537">
        <f t="shared" si="0"/>
        <v>53</v>
      </c>
      <c r="F12" s="537">
        <f t="shared" si="1"/>
        <v>0</v>
      </c>
      <c r="G12" s="537">
        <f t="shared" si="2"/>
        <v>53</v>
      </c>
      <c r="H12" s="551" cm="1">
        <f t="array" ref="H12">SUMPRODUCT(--(Category="Ex_Cat_1"),--(OpCo="Express"),--(Intl="International"),--(SC_Name=$A12),(SC_Count))</f>
        <v>0</v>
      </c>
      <c r="I12" s="537">
        <f t="shared" si="3"/>
        <v>0</v>
      </c>
      <c r="J12" s="537">
        <f t="shared" si="4"/>
        <v>0</v>
      </c>
      <c r="K12" s="537">
        <f t="shared" si="5"/>
        <v>0</v>
      </c>
      <c r="L12" s="545" cm="1">
        <f t="array" ref="L12">SUMPRODUCT(--(D_Category="Ex_Cat_2"),--(D_EffDate="Eff_Date_1"),--(D_Product="EE"),--(D_SC_Name=$A12),--(D_Zone="All"),(D_Percent))</f>
        <v>0</v>
      </c>
      <c r="M12" s="545" cm="1">
        <f t="array" ref="M12">SUMPRODUCT(--(D_Category="Ex_Cat_2"),--(D_EffDate="Eff_Date_2"),--(D_Product="EE"),--(D_Zone="All"),--(D_SC_Name=$A12),(D_Percent))</f>
        <v>0</v>
      </c>
      <c r="N12" s="537">
        <f t="shared" si="6"/>
        <v>53</v>
      </c>
      <c r="O12" s="540">
        <f t="shared" si="7"/>
        <v>0</v>
      </c>
      <c r="P12" s="151">
        <f t="shared" si="8"/>
        <v>53</v>
      </c>
      <c r="Q12" s="551" cm="1">
        <f t="array" ref="Q12">SUMPRODUCT(--(Category="Ex_Cat_2"),--(OpCo="Express"),--(Intl="International"),--(SC_Name=$A12),(SC_Count))</f>
        <v>0</v>
      </c>
      <c r="R12" s="151">
        <f t="shared" si="9"/>
        <v>0</v>
      </c>
      <c r="S12" s="151">
        <f t="shared" si="10"/>
        <v>0</v>
      </c>
      <c r="T12" s="151">
        <f t="shared" si="11"/>
        <v>0</v>
      </c>
      <c r="U12" s="546" cm="1">
        <f t="array" ref="U12">SUMPRODUCT(--(D_Category="Ex_Cat_3"),--(D_EffDate="Eff_Date_1"),--(D_Product="EE"),--(D_SC_Name=$A12),--(D_Zone="All"),(D_Percent))</f>
        <v>0</v>
      </c>
      <c r="V12" s="546" cm="1">
        <f t="array" ref="V12">SUMPRODUCT(--(D_Category="Ex_Cat_3"),--(D_EffDate="Eff_Date_2"),--(D_Product="EE"),--(D_Zone="All"),--(D_SC_Name=$A12),(D_Percent))</f>
        <v>0</v>
      </c>
      <c r="W12" s="540">
        <f t="shared" si="12"/>
        <v>53</v>
      </c>
      <c r="X12" s="540">
        <f t="shared" si="13"/>
        <v>0</v>
      </c>
      <c r="Y12" s="151">
        <f t="shared" si="14"/>
        <v>53</v>
      </c>
      <c r="Z12" s="551" cm="1">
        <f t="array" ref="Z12">SUMPRODUCT(--(Category="Ex_Cat_3"),--(OpCo="Express"),--(Intl="International"),--(SC_Name=$A12),(SC_Count))</f>
        <v>0</v>
      </c>
      <c r="AA12" s="537">
        <f t="shared" si="15"/>
        <v>0</v>
      </c>
      <c r="AB12" s="540">
        <f t="shared" si="16"/>
        <v>0</v>
      </c>
      <c r="AC12" s="540">
        <f t="shared" si="17"/>
        <v>0</v>
      </c>
    </row>
    <row r="13" spans="1:61" x14ac:dyDescent="0.35">
      <c r="A13" s="522" t="s">
        <v>1834</v>
      </c>
      <c r="B13" s="537">
        <v>27</v>
      </c>
      <c r="C13" s="235" cm="1">
        <f t="array" ref="C13">SUMPRODUCT(--(D_Category="Ex_Cat_1"),--(D_EffDate="Eff_Date_1"),--(D_Product="EE"),--(D_SC_Name=$A13),--(D_Zone="All"),(D_Percent))</f>
        <v>0</v>
      </c>
      <c r="D13" s="235" cm="1">
        <f t="array" ref="D13">SUMPRODUCT(--(D_Category="Ex_Cat_1"),--(D_EffDate="Eff_Date_2"),--(D_Product="EE"),--(D_Zone="All"),--(D_SC_Name=$A13),(D_Percent))</f>
        <v>0</v>
      </c>
      <c r="E13" s="537">
        <f t="shared" si="0"/>
        <v>27</v>
      </c>
      <c r="F13" s="537">
        <f t="shared" si="1"/>
        <v>0</v>
      </c>
      <c r="G13" s="537">
        <f t="shared" si="2"/>
        <v>27</v>
      </c>
      <c r="H13" s="551" cm="1">
        <f t="array" ref="H13">SUMPRODUCT(--(Category="Ex_Cat_1"),--(OpCo="Express"),--(Intl="International"),--(SC_Name=$A13),(SC_Count))</f>
        <v>0</v>
      </c>
      <c r="I13" s="537">
        <f t="shared" si="3"/>
        <v>0</v>
      </c>
      <c r="J13" s="537">
        <f t="shared" si="4"/>
        <v>0</v>
      </c>
      <c r="K13" s="537">
        <f t="shared" si="5"/>
        <v>0</v>
      </c>
      <c r="L13" s="545" cm="1">
        <f t="array" ref="L13">SUMPRODUCT(--(D_Category="Ex_Cat_2"),--(D_EffDate="Eff_Date_1"),--(D_Product="EE"),--(D_SC_Name=$A13),--(D_Zone="All"),(D_Percent))</f>
        <v>0</v>
      </c>
      <c r="M13" s="545" cm="1">
        <f t="array" ref="M13">SUMPRODUCT(--(D_Category="Ex_Cat_2"),--(D_EffDate="Eff_Date_2"),--(D_Product="EE"),--(D_Zone="All"),--(D_SC_Name=$A13),(D_Percent))</f>
        <v>0</v>
      </c>
      <c r="N13" s="537">
        <f t="shared" si="6"/>
        <v>27</v>
      </c>
      <c r="O13" s="540">
        <f t="shared" si="7"/>
        <v>0</v>
      </c>
      <c r="P13" s="151">
        <f t="shared" si="8"/>
        <v>27</v>
      </c>
      <c r="Q13" s="551" cm="1">
        <f t="array" ref="Q13">SUMPRODUCT(--(Category="Ex_Cat_2"),--(OpCo="Express"),--(Intl="International"),--(SC_Name=$A13),(SC_Count))</f>
        <v>0</v>
      </c>
      <c r="R13" s="151">
        <f t="shared" si="9"/>
        <v>0</v>
      </c>
      <c r="S13" s="151">
        <f t="shared" si="10"/>
        <v>0</v>
      </c>
      <c r="T13" s="151">
        <f t="shared" si="11"/>
        <v>0</v>
      </c>
      <c r="U13" s="546" cm="1">
        <f t="array" ref="U13">SUMPRODUCT(--(D_Category="Ex_Cat_3"),--(D_EffDate="Eff_Date_1"),--(D_Product="EE"),--(D_SC_Name=$A13),--(D_Zone="All"),(D_Percent))</f>
        <v>0</v>
      </c>
      <c r="V13" s="546" cm="1">
        <f t="array" ref="V13">SUMPRODUCT(--(D_Category="Ex_Cat_3"),--(D_EffDate="Eff_Date_2"),--(D_Product="EE"),--(D_Zone="All"),--(D_SC_Name=$A13),(D_Percent))</f>
        <v>0</v>
      </c>
      <c r="W13" s="540">
        <f t="shared" si="12"/>
        <v>27</v>
      </c>
      <c r="X13" s="540">
        <f t="shared" si="13"/>
        <v>0</v>
      </c>
      <c r="Y13" s="151">
        <f t="shared" si="14"/>
        <v>27</v>
      </c>
      <c r="Z13" s="551" cm="1">
        <f t="array" ref="Z13">SUMPRODUCT(--(Category="Ex_Cat_3"),--(OpCo="Express"),--(Intl="International"),--(SC_Name=$A13),(SC_Count))</f>
        <v>0</v>
      </c>
      <c r="AA13" s="537">
        <f t="shared" si="15"/>
        <v>0</v>
      </c>
      <c r="AB13" s="540">
        <f t="shared" si="16"/>
        <v>0</v>
      </c>
      <c r="AC13" s="540">
        <f t="shared" si="17"/>
        <v>0</v>
      </c>
    </row>
    <row r="14" spans="1:61" x14ac:dyDescent="0.35">
      <c r="A14" s="522" t="s">
        <v>1835</v>
      </c>
      <c r="B14" s="537"/>
      <c r="C14" s="235" cm="1">
        <f t="array" ref="C14">SUMPRODUCT(--(D_Category="Ex_Cat_1"),--(D_EffDate="Eff_Date_1"),--(D_Product="EE"),--(D_SC_Name=$A14),--(D_Zone="All"),(D_Percent))</f>
        <v>0</v>
      </c>
      <c r="D14" s="235" cm="1">
        <f t="array" ref="D14">SUMPRODUCT(--(D_Category="Ex_Cat_1"),--(D_EffDate="Eff_Date_2"),--(D_Product="EE"),--(D_Zone="All"),--(D_SC_Name=$A14),(D_Percent))</f>
        <v>0</v>
      </c>
      <c r="E14" s="537">
        <f t="shared" si="0"/>
        <v>0</v>
      </c>
      <c r="F14" s="537">
        <f t="shared" si="1"/>
        <v>0</v>
      </c>
      <c r="G14" s="537">
        <f t="shared" si="2"/>
        <v>0</v>
      </c>
      <c r="H14" s="551" cm="1">
        <f t="array" ref="H14">SUMPRODUCT(--(Category="Ex_Cat_1"),--(OpCo="Express"),--(Intl="International"),--(SC_Name=$A14),(SC_Count))</f>
        <v>0</v>
      </c>
      <c r="I14" s="537">
        <f t="shared" si="3"/>
        <v>0</v>
      </c>
      <c r="J14" s="537">
        <f t="shared" si="4"/>
        <v>0</v>
      </c>
      <c r="K14" s="537">
        <f t="shared" si="5"/>
        <v>0</v>
      </c>
      <c r="L14" s="545" cm="1">
        <f t="array" ref="L14">SUMPRODUCT(--(D_Category="Ex_Cat_2"),--(D_EffDate="Eff_Date_1"),--(D_Product="EE"),--(D_SC_Name=$A14),--(D_Zone="All"),(D_Percent))</f>
        <v>0</v>
      </c>
      <c r="M14" s="545" cm="1">
        <f t="array" ref="M14">SUMPRODUCT(--(D_Category="Ex_Cat_2"),--(D_EffDate="Eff_Date_2"),--(D_Product="EE"),--(D_Zone="All"),--(D_SC_Name=$A14),(D_Percent))</f>
        <v>0</v>
      </c>
      <c r="N14" s="537">
        <f t="shared" si="6"/>
        <v>0</v>
      </c>
      <c r="O14" s="540">
        <f t="shared" si="7"/>
        <v>0</v>
      </c>
      <c r="P14" s="151">
        <f t="shared" si="8"/>
        <v>0</v>
      </c>
      <c r="Q14" s="551" cm="1">
        <f t="array" ref="Q14">SUMPRODUCT(--(Category="Ex_Cat_2"),--(OpCo="Express"),--(Intl="International"),--(SC_Name=$A14),(SC_Count))</f>
        <v>0</v>
      </c>
      <c r="R14" s="151">
        <f t="shared" si="9"/>
        <v>0</v>
      </c>
      <c r="S14" s="151">
        <f t="shared" si="10"/>
        <v>0</v>
      </c>
      <c r="T14" s="151">
        <f t="shared" si="11"/>
        <v>0</v>
      </c>
      <c r="U14" s="546" cm="1">
        <f t="array" ref="U14">SUMPRODUCT(--(D_Category="Ex_Cat_3"),--(D_EffDate="Eff_Date_1"),--(D_Product="EE"),--(D_SC_Name=$A14),--(D_Zone="All"),(D_Percent))</f>
        <v>0</v>
      </c>
      <c r="V14" s="546" cm="1">
        <f t="array" ref="V14">SUMPRODUCT(--(D_Category="Ex_Cat_3"),--(D_EffDate="Eff_Date_2"),--(D_Product="EE"),--(D_Zone="All"),--(D_SC_Name=$A14),(D_Percent))</f>
        <v>0</v>
      </c>
      <c r="W14" s="540">
        <f t="shared" si="12"/>
        <v>0</v>
      </c>
      <c r="X14" s="540">
        <f t="shared" si="13"/>
        <v>0</v>
      </c>
      <c r="Y14" s="151">
        <f t="shared" si="14"/>
        <v>0</v>
      </c>
      <c r="Z14" s="551" cm="1">
        <f t="array" ref="Z14">SUMPRODUCT(--(Category="Ex_Cat_3"),--(OpCo="Express"),--(Intl="International"),--(SC_Name=$A14),(SC_Count))</f>
        <v>0</v>
      </c>
      <c r="AA14" s="537">
        <f t="shared" si="15"/>
        <v>0</v>
      </c>
      <c r="AB14" s="540">
        <f t="shared" si="16"/>
        <v>0</v>
      </c>
      <c r="AC14" s="540">
        <f t="shared" si="17"/>
        <v>0</v>
      </c>
    </row>
    <row r="15" spans="1:61" x14ac:dyDescent="0.35">
      <c r="A15" s="522" t="s">
        <v>1836</v>
      </c>
      <c r="B15" s="537">
        <v>13.5</v>
      </c>
      <c r="C15" s="235" cm="1">
        <f t="array" ref="C15">SUMPRODUCT(--(D_Category="Ex_Cat_1"),--(D_EffDate="Eff_Date_1"),--(D_Product="EE"),--(D_SC_Name=$A15),--(D_Zone="All"),(D_Percent))</f>
        <v>0</v>
      </c>
      <c r="D15" s="235" cm="1">
        <f t="array" ref="D15">SUMPRODUCT(--(D_Category="Ex_Cat_1"),--(D_EffDate="Eff_Date_2"),--(D_Product="EE"),--(D_Zone="All"),--(D_SC_Name=$A15),(D_Percent))</f>
        <v>0</v>
      </c>
      <c r="E15" s="537">
        <f t="shared" si="0"/>
        <v>13.5</v>
      </c>
      <c r="F15" s="537">
        <f t="shared" si="1"/>
        <v>0</v>
      </c>
      <c r="G15" s="537">
        <f t="shared" si="2"/>
        <v>13.5</v>
      </c>
      <c r="H15" s="551" cm="1">
        <f t="array" ref="H15">SUMPRODUCT(--(Category="Ex_Cat_1"),--(OpCo="Express"),--(Intl="International"),--(SC_Name=$A15),(SC_Count))</f>
        <v>0</v>
      </c>
      <c r="I15" s="537">
        <f t="shared" si="3"/>
        <v>0</v>
      </c>
      <c r="J15" s="537">
        <f t="shared" si="4"/>
        <v>0</v>
      </c>
      <c r="K15" s="537">
        <f t="shared" si="5"/>
        <v>0</v>
      </c>
      <c r="L15" s="545" cm="1">
        <f t="array" ref="L15">SUMPRODUCT(--(D_Category="Ex_Cat_2"),--(D_EffDate="Eff_Date_1"),--(D_Product="EE"),--(D_SC_Name=$A15),--(D_Zone="All"),(D_Percent))</f>
        <v>0</v>
      </c>
      <c r="M15" s="545" cm="1">
        <f t="array" ref="M15">SUMPRODUCT(--(D_Category="Ex_Cat_2"),--(D_EffDate="Eff_Date_2"),--(D_Product="EE"),--(D_Zone="All"),--(D_SC_Name=$A15),(D_Percent))</f>
        <v>0</v>
      </c>
      <c r="N15" s="537">
        <f t="shared" si="6"/>
        <v>13.5</v>
      </c>
      <c r="O15" s="540">
        <f t="shared" si="7"/>
        <v>0</v>
      </c>
      <c r="P15" s="151">
        <f t="shared" si="8"/>
        <v>13.5</v>
      </c>
      <c r="Q15" s="551" cm="1">
        <f t="array" ref="Q15">SUMPRODUCT(--(Category="Ex_Cat_2"),--(OpCo="Express"),--(Intl="International"),--(SC_Name=$A15),(SC_Count))</f>
        <v>0</v>
      </c>
      <c r="R15" s="151">
        <f t="shared" si="9"/>
        <v>0</v>
      </c>
      <c r="S15" s="151">
        <f t="shared" si="10"/>
        <v>0</v>
      </c>
      <c r="T15" s="151">
        <f t="shared" si="11"/>
        <v>0</v>
      </c>
      <c r="U15" s="546" cm="1">
        <f t="array" ref="U15">SUMPRODUCT(--(D_Category="Ex_Cat_3"),--(D_EffDate="Eff_Date_1"),--(D_Product="EE"),--(D_SC_Name=$A15),--(D_Zone="All"),(D_Percent))</f>
        <v>0</v>
      </c>
      <c r="V15" s="546" cm="1">
        <f t="array" ref="V15">SUMPRODUCT(--(D_Category="Ex_Cat_3"),--(D_EffDate="Eff_Date_2"),--(D_Product="EE"),--(D_Zone="All"),--(D_SC_Name=$A15),(D_Percent))</f>
        <v>0</v>
      </c>
      <c r="W15" s="540">
        <f t="shared" si="12"/>
        <v>13.5</v>
      </c>
      <c r="X15" s="540">
        <f t="shared" si="13"/>
        <v>0</v>
      </c>
      <c r="Y15" s="151">
        <f t="shared" si="14"/>
        <v>13.5</v>
      </c>
      <c r="Z15" s="551" cm="1">
        <f t="array" ref="Z15">SUMPRODUCT(--(Category="Ex_Cat_3"),--(OpCo="Express"),--(Intl="International"),--(SC_Name=$A15),(SC_Count))</f>
        <v>0</v>
      </c>
      <c r="AA15" s="537">
        <f t="shared" si="15"/>
        <v>0</v>
      </c>
      <c r="AB15" s="540">
        <f t="shared" si="16"/>
        <v>0</v>
      </c>
      <c r="AC15" s="540">
        <f t="shared" si="17"/>
        <v>0</v>
      </c>
    </row>
    <row r="16" spans="1:61" x14ac:dyDescent="0.35">
      <c r="A16" s="522" t="s">
        <v>1837</v>
      </c>
      <c r="B16" s="537"/>
      <c r="C16" s="235" cm="1">
        <f t="array" ref="C16">SUMPRODUCT(--(D_Category="Ex_Cat_1"),--(D_EffDate="Eff_Date_1"),--(D_Product="EE"),--(D_SC_Name=$A16),--(D_Zone="All"),(D_Percent))</f>
        <v>0</v>
      </c>
      <c r="D16" s="235" cm="1">
        <f t="array" ref="D16">SUMPRODUCT(--(D_Category="Ex_Cat_1"),--(D_EffDate="Eff_Date_2"),--(D_Product="EE"),--(D_Zone="All"),--(D_SC_Name=$A16),(D_Percent))</f>
        <v>0</v>
      </c>
      <c r="E16" s="537">
        <f t="shared" si="0"/>
        <v>0</v>
      </c>
      <c r="F16" s="537">
        <f t="shared" si="1"/>
        <v>0</v>
      </c>
      <c r="G16" s="537">
        <f t="shared" si="2"/>
        <v>0</v>
      </c>
      <c r="H16" s="551" cm="1">
        <f t="array" ref="H16">SUMPRODUCT(--(Category="Ex_Cat_1"),--(OpCo="Express"),--(Intl="International"),--(SC_Name=$A16),(SC_Count))</f>
        <v>0</v>
      </c>
      <c r="I16" s="537">
        <f t="shared" si="3"/>
        <v>0</v>
      </c>
      <c r="J16" s="537">
        <f t="shared" si="4"/>
        <v>0</v>
      </c>
      <c r="K16" s="537">
        <f t="shared" si="5"/>
        <v>0</v>
      </c>
      <c r="L16" s="545" cm="1">
        <f t="array" ref="L16">SUMPRODUCT(--(D_Category="Ex_Cat_2"),--(D_EffDate="Eff_Date_1"),--(D_Product="EE"),--(D_SC_Name=$A16),--(D_Zone="All"),(D_Percent))</f>
        <v>0</v>
      </c>
      <c r="M16" s="545" cm="1">
        <f t="array" ref="M16">SUMPRODUCT(--(D_Category="Ex_Cat_2"),--(D_EffDate="Eff_Date_2"),--(D_Product="EE"),--(D_Zone="All"),--(D_SC_Name=$A16),(D_Percent))</f>
        <v>0</v>
      </c>
      <c r="N16" s="537">
        <f t="shared" si="6"/>
        <v>0</v>
      </c>
      <c r="O16" s="540">
        <f t="shared" si="7"/>
        <v>0</v>
      </c>
      <c r="P16" s="151">
        <f t="shared" si="8"/>
        <v>0</v>
      </c>
      <c r="Q16" s="551" cm="1">
        <f t="array" ref="Q16">SUMPRODUCT(--(Category="Ex_Cat_2"),--(OpCo="Express"),--(Intl="International"),--(SC_Name=$A16),(SC_Count))</f>
        <v>0</v>
      </c>
      <c r="R16" s="151">
        <f t="shared" si="9"/>
        <v>0</v>
      </c>
      <c r="S16" s="151">
        <f t="shared" si="10"/>
        <v>0</v>
      </c>
      <c r="T16" s="151">
        <f t="shared" si="11"/>
        <v>0</v>
      </c>
      <c r="U16" s="546" cm="1">
        <f t="array" ref="U16">SUMPRODUCT(--(D_Category="Ex_Cat_3"),--(D_EffDate="Eff_Date_1"),--(D_Product="EE"),--(D_SC_Name=$A16),--(D_Zone="All"),(D_Percent))</f>
        <v>0</v>
      </c>
      <c r="V16" s="546" cm="1">
        <f t="array" ref="V16">SUMPRODUCT(--(D_Category="Ex_Cat_3"),--(D_EffDate="Eff_Date_2"),--(D_Product="EE"),--(D_Zone="All"),--(D_SC_Name=$A16),(D_Percent))</f>
        <v>0</v>
      </c>
      <c r="W16" s="540">
        <f t="shared" si="12"/>
        <v>0</v>
      </c>
      <c r="X16" s="540">
        <f t="shared" si="13"/>
        <v>0</v>
      </c>
      <c r="Y16" s="151">
        <f t="shared" si="14"/>
        <v>0</v>
      </c>
      <c r="Z16" s="551" cm="1">
        <f t="array" ref="Z16">SUMPRODUCT(--(Category="Ex_Cat_3"),--(OpCo="Express"),--(Intl="International"),--(SC_Name=$A16),(SC_Count))</f>
        <v>0</v>
      </c>
      <c r="AA16" s="537">
        <f t="shared" si="15"/>
        <v>0</v>
      </c>
      <c r="AB16" s="540">
        <f t="shared" si="16"/>
        <v>0</v>
      </c>
      <c r="AC16" s="540">
        <f t="shared" si="17"/>
        <v>0</v>
      </c>
    </row>
    <row r="17" spans="1:29" x14ac:dyDescent="0.35">
      <c r="A17" s="522" t="s">
        <v>1838</v>
      </c>
      <c r="B17" s="537">
        <v>150</v>
      </c>
      <c r="C17" s="235" cm="1">
        <f t="array" ref="C17">SUMPRODUCT(--(D_Category="Ex_Cat_1"),--(D_EffDate="Eff_Date_1"),--(D_Product="EE"),--(D_SC_Name=$A17),--(D_Zone="All"),(D_Percent))</f>
        <v>0</v>
      </c>
      <c r="D17" s="235" cm="1">
        <f t="array" ref="D17">SUMPRODUCT(--(D_Category="Ex_Cat_1"),--(D_EffDate="Eff_Date_2"),--(D_Product="EE"),--(D_Zone="All"),--(D_SC_Name=$A17),(D_Percent))</f>
        <v>0</v>
      </c>
      <c r="E17" s="537">
        <f t="shared" si="0"/>
        <v>150</v>
      </c>
      <c r="F17" s="537">
        <f t="shared" si="1"/>
        <v>0</v>
      </c>
      <c r="G17" s="537">
        <f t="shared" si="2"/>
        <v>150</v>
      </c>
      <c r="H17" s="551" cm="1">
        <f t="array" ref="H17">SUMPRODUCT(--(Category="Ex_Cat_1"),--(OpCo="Express"),--(Intl="International"),--(SC_Name=$A17),(SC_Count))</f>
        <v>0</v>
      </c>
      <c r="I17" s="537">
        <f t="shared" si="3"/>
        <v>0</v>
      </c>
      <c r="J17" s="537">
        <f t="shared" si="4"/>
        <v>0</v>
      </c>
      <c r="K17" s="537">
        <f t="shared" si="5"/>
        <v>0</v>
      </c>
      <c r="L17" s="545" cm="1">
        <f t="array" ref="L17">SUMPRODUCT(--(D_Category="Ex_Cat_2"),--(D_EffDate="Eff_Date_1"),--(D_Product="EE"),--(D_SC_Name=$A17),--(D_Zone="All"),(D_Percent))</f>
        <v>0</v>
      </c>
      <c r="M17" s="545" cm="1">
        <f t="array" ref="M17">SUMPRODUCT(--(D_Category="Ex_Cat_2"),--(D_EffDate="Eff_Date_2"),--(D_Product="EE"),--(D_Zone="All"),--(D_SC_Name=$A17),(D_Percent))</f>
        <v>0</v>
      </c>
      <c r="N17" s="537">
        <f t="shared" si="6"/>
        <v>150</v>
      </c>
      <c r="O17" s="540">
        <f t="shared" si="7"/>
        <v>0</v>
      </c>
      <c r="P17" s="151">
        <f t="shared" si="8"/>
        <v>150</v>
      </c>
      <c r="Q17" s="551" cm="1">
        <f t="array" ref="Q17">SUMPRODUCT(--(Category="Ex_Cat_2"),--(OpCo="Express"),--(Intl="International"),--(SC_Name=$A17),(SC_Count))</f>
        <v>0</v>
      </c>
      <c r="R17" s="151">
        <f t="shared" si="9"/>
        <v>0</v>
      </c>
      <c r="S17" s="151">
        <f t="shared" si="10"/>
        <v>0</v>
      </c>
      <c r="T17" s="151">
        <f t="shared" si="11"/>
        <v>0</v>
      </c>
      <c r="U17" s="546" cm="1">
        <f t="array" ref="U17">SUMPRODUCT(--(D_Category="Ex_Cat_3"),--(D_EffDate="Eff_Date_1"),--(D_Product="EE"),--(D_SC_Name=$A17),--(D_Zone="All"),(D_Percent))</f>
        <v>0</v>
      </c>
      <c r="V17" s="546" cm="1">
        <f t="array" ref="V17">SUMPRODUCT(--(D_Category="Ex_Cat_3"),--(D_EffDate="Eff_Date_2"),--(D_Product="EE"),--(D_Zone="All"),--(D_SC_Name=$A17),(D_Percent))</f>
        <v>0</v>
      </c>
      <c r="W17" s="540">
        <f t="shared" si="12"/>
        <v>150</v>
      </c>
      <c r="X17" s="540">
        <f t="shared" si="13"/>
        <v>0</v>
      </c>
      <c r="Y17" s="151">
        <f t="shared" si="14"/>
        <v>150</v>
      </c>
      <c r="Z17" s="551" cm="1">
        <f t="array" ref="Z17">SUMPRODUCT(--(Category="Ex_Cat_3"),--(OpCo="Express"),--(Intl="International"),--(SC_Name=$A17),(SC_Count))</f>
        <v>0</v>
      </c>
      <c r="AA17" s="537">
        <f t="shared" si="15"/>
        <v>0</v>
      </c>
      <c r="AB17" s="540">
        <f t="shared" si="16"/>
        <v>0</v>
      </c>
      <c r="AC17" s="540">
        <f t="shared" si="17"/>
        <v>0</v>
      </c>
    </row>
    <row r="18" spans="1:29" x14ac:dyDescent="0.35">
      <c r="A18" s="522" t="s">
        <v>1839</v>
      </c>
      <c r="B18" s="537">
        <v>74</v>
      </c>
      <c r="C18" s="235" cm="1">
        <f t="array" ref="C18">SUMPRODUCT(--(D_Category="Ex_Cat_1"),--(D_EffDate="Eff_Date_1"),--(D_Product="EE"),--(D_SC_Name=$A18),--(D_Zone="All"),(D_Percent))</f>
        <v>0</v>
      </c>
      <c r="D18" s="235" cm="1">
        <f t="array" ref="D18">SUMPRODUCT(--(D_Category="Ex_Cat_1"),--(D_EffDate="Eff_Date_2"),--(D_Product="EE"),--(D_Zone="All"),--(D_SC_Name=$A18),(D_Percent))</f>
        <v>0</v>
      </c>
      <c r="E18" s="537">
        <f t="shared" si="0"/>
        <v>74</v>
      </c>
      <c r="F18" s="537">
        <f t="shared" si="1"/>
        <v>0</v>
      </c>
      <c r="G18" s="537">
        <f t="shared" si="2"/>
        <v>74</v>
      </c>
      <c r="H18" s="551" cm="1">
        <f t="array" ref="H18">SUMPRODUCT(--(Category="Ex_Cat_1"),--(OpCo="Express"),--(Intl="International"),--(SC_Name=$A18),(SC_Count))</f>
        <v>0</v>
      </c>
      <c r="I18" s="537">
        <f t="shared" si="3"/>
        <v>0</v>
      </c>
      <c r="J18" s="537">
        <f t="shared" si="4"/>
        <v>0</v>
      </c>
      <c r="K18" s="537">
        <f t="shared" si="5"/>
        <v>0</v>
      </c>
      <c r="L18" s="545" cm="1">
        <f t="array" ref="L18">SUMPRODUCT(--(D_Category="Ex_Cat_2"),--(D_EffDate="Eff_Date_1"),--(D_Product="EE"),--(D_SC_Name=$A18),--(D_Zone="All"),(D_Percent))</f>
        <v>0</v>
      </c>
      <c r="M18" s="545" cm="1">
        <f t="array" ref="M18">SUMPRODUCT(--(D_Category="Ex_Cat_2"),--(D_EffDate="Eff_Date_2"),--(D_Product="EE"),--(D_Zone="All"),--(D_SC_Name=$A18),(D_Percent))</f>
        <v>0</v>
      </c>
      <c r="N18" s="537">
        <f t="shared" si="6"/>
        <v>74</v>
      </c>
      <c r="O18" s="540">
        <f t="shared" si="7"/>
        <v>0</v>
      </c>
      <c r="P18" s="151">
        <f t="shared" si="8"/>
        <v>74</v>
      </c>
      <c r="Q18" s="551" cm="1">
        <f t="array" ref="Q18">SUMPRODUCT(--(Category="Ex_Cat_2"),--(OpCo="Express"),--(Intl="International"),--(SC_Name=$A18),(SC_Count))</f>
        <v>0</v>
      </c>
      <c r="R18" s="151">
        <f t="shared" si="9"/>
        <v>0</v>
      </c>
      <c r="S18" s="151">
        <f t="shared" si="10"/>
        <v>0</v>
      </c>
      <c r="T18" s="151">
        <f t="shared" si="11"/>
        <v>0</v>
      </c>
      <c r="U18" s="546" cm="1">
        <f t="array" ref="U18">SUMPRODUCT(--(D_Category="Ex_Cat_3"),--(D_EffDate="Eff_Date_1"),--(D_Product="EE"),--(D_SC_Name=$A18),--(D_Zone="All"),(D_Percent))</f>
        <v>0</v>
      </c>
      <c r="V18" s="546" cm="1">
        <f t="array" ref="V18">SUMPRODUCT(--(D_Category="Ex_Cat_3"),--(D_EffDate="Eff_Date_2"),--(D_Product="EE"),--(D_Zone="All"),--(D_SC_Name=$A18),(D_Percent))</f>
        <v>0</v>
      </c>
      <c r="W18" s="540">
        <f t="shared" si="12"/>
        <v>74</v>
      </c>
      <c r="X18" s="540">
        <f t="shared" si="13"/>
        <v>0</v>
      </c>
      <c r="Y18" s="151">
        <f t="shared" si="14"/>
        <v>74</v>
      </c>
      <c r="Z18" s="551" cm="1">
        <f t="array" ref="Z18">SUMPRODUCT(--(Category="Ex_Cat_3"),--(OpCo="Express"),--(Intl="International"),--(SC_Name=$A18),(SC_Count))</f>
        <v>0</v>
      </c>
      <c r="AA18" s="537">
        <f t="shared" si="15"/>
        <v>0</v>
      </c>
      <c r="AB18" s="540">
        <f t="shared" si="16"/>
        <v>0</v>
      </c>
      <c r="AC18" s="540">
        <f t="shared" si="17"/>
        <v>0</v>
      </c>
    </row>
    <row r="19" spans="1:29" x14ac:dyDescent="0.35">
      <c r="A19" s="522" t="s">
        <v>1840</v>
      </c>
      <c r="B19" s="537"/>
      <c r="C19" s="235" cm="1">
        <f t="array" ref="C19">SUMPRODUCT(--(D_Category="Ex_Cat_1"),--(D_EffDate="Eff_Date_1"),--(D_Product="EE"),--(D_SC_Name=$A19),--(D_Zone="All"),(D_Percent))</f>
        <v>0</v>
      </c>
      <c r="D19" s="235" cm="1">
        <f t="array" ref="D19">SUMPRODUCT(--(D_Category="Ex_Cat_1"),--(D_EffDate="Eff_Date_2"),--(D_Product="EE"),--(D_Zone="All"),--(D_SC_Name=$A19),(D_Percent))</f>
        <v>0</v>
      </c>
      <c r="E19" s="537">
        <f t="shared" si="0"/>
        <v>0</v>
      </c>
      <c r="F19" s="537">
        <f t="shared" si="1"/>
        <v>0</v>
      </c>
      <c r="G19" s="537">
        <f t="shared" si="2"/>
        <v>0</v>
      </c>
      <c r="H19" s="551" cm="1">
        <f t="array" ref="H19">SUMPRODUCT(--(Category="Ex_Cat_1"),--(OpCo="Express"),--(Intl="International"),--(SC_Name=$A19),(SC_Count))</f>
        <v>0</v>
      </c>
      <c r="I19" s="537">
        <f t="shared" si="3"/>
        <v>0</v>
      </c>
      <c r="J19" s="537">
        <f t="shared" si="4"/>
        <v>0</v>
      </c>
      <c r="K19" s="537">
        <f t="shared" si="5"/>
        <v>0</v>
      </c>
      <c r="L19" s="545" cm="1">
        <f t="array" ref="L19">SUMPRODUCT(--(D_Category="Ex_Cat_2"),--(D_EffDate="Eff_Date_1"),--(D_Product="EE"),--(D_SC_Name=$A19),--(D_Zone="All"),(D_Percent))</f>
        <v>0</v>
      </c>
      <c r="M19" s="545" cm="1">
        <f t="array" ref="M19">SUMPRODUCT(--(D_Category="Ex_Cat_2"),--(D_EffDate="Eff_Date_2"),--(D_Product="EE"),--(D_Zone="All"),--(D_SC_Name=$A19),(D_Percent))</f>
        <v>0</v>
      </c>
      <c r="N19" s="537">
        <f t="shared" si="6"/>
        <v>0</v>
      </c>
      <c r="O19" s="540">
        <f t="shared" si="7"/>
        <v>0</v>
      </c>
      <c r="P19" s="151">
        <f t="shared" si="8"/>
        <v>0</v>
      </c>
      <c r="Q19" s="551" cm="1">
        <f t="array" ref="Q19">SUMPRODUCT(--(Category="Ex_Cat_2"),--(OpCo="Express"),--(Intl="International"),--(SC_Name=$A19),(SC_Count))</f>
        <v>0</v>
      </c>
      <c r="R19" s="151">
        <f t="shared" si="9"/>
        <v>0</v>
      </c>
      <c r="S19" s="151">
        <f t="shared" si="10"/>
        <v>0</v>
      </c>
      <c r="T19" s="151">
        <f t="shared" si="11"/>
        <v>0</v>
      </c>
      <c r="U19" s="546" cm="1">
        <f t="array" ref="U19">SUMPRODUCT(--(D_Category="Ex_Cat_3"),--(D_EffDate="Eff_Date_1"),--(D_Product="EE"),--(D_SC_Name=$A19),--(D_Zone="All"),(D_Percent))</f>
        <v>0</v>
      </c>
      <c r="V19" s="546" cm="1">
        <f t="array" ref="V19">SUMPRODUCT(--(D_Category="Ex_Cat_3"),--(D_EffDate="Eff_Date_2"),--(D_Product="EE"),--(D_Zone="All"),--(D_SC_Name=$A19),(D_Percent))</f>
        <v>0</v>
      </c>
      <c r="W19" s="540">
        <f t="shared" si="12"/>
        <v>0</v>
      </c>
      <c r="X19" s="540">
        <f t="shared" si="13"/>
        <v>0</v>
      </c>
      <c r="Y19" s="151">
        <f t="shared" si="14"/>
        <v>0</v>
      </c>
      <c r="Z19" s="551" cm="1">
        <f t="array" ref="Z19">SUMPRODUCT(--(Category="Ex_Cat_3"),--(OpCo="Express"),--(Intl="International"),--(SC_Name=$A19),(SC_Count))</f>
        <v>0</v>
      </c>
      <c r="AA19" s="537">
        <f t="shared" si="15"/>
        <v>0</v>
      </c>
      <c r="AB19" s="540">
        <f t="shared" si="16"/>
        <v>0</v>
      </c>
      <c r="AC19" s="540">
        <f t="shared" si="17"/>
        <v>0</v>
      </c>
    </row>
    <row r="20" spans="1:29" x14ac:dyDescent="0.35">
      <c r="A20" s="522" t="s">
        <v>1841</v>
      </c>
      <c r="B20" s="537">
        <v>27.5</v>
      </c>
      <c r="C20" s="235" cm="1">
        <f t="array" ref="C20">SUMPRODUCT(--(D_Category="Ex_Cat_1"),--(D_EffDate="Eff_Date_1"),--(D_Product="EE"),--(D_SC_Name=$A20),--(D_Zone="All"),(D_Percent))</f>
        <v>0</v>
      </c>
      <c r="D20" s="235" cm="1">
        <f t="array" ref="D20">SUMPRODUCT(--(D_Category="Ex_Cat_1"),--(D_EffDate="Eff_Date_2"),--(D_Product="EE"),--(D_Zone="All"),--(D_SC_Name=$A20),(D_Percent))</f>
        <v>0</v>
      </c>
      <c r="E20" s="537">
        <f t="shared" si="0"/>
        <v>27.5</v>
      </c>
      <c r="F20" s="537">
        <f t="shared" si="1"/>
        <v>0</v>
      </c>
      <c r="G20" s="537">
        <f t="shared" si="2"/>
        <v>27.5</v>
      </c>
      <c r="H20" s="551" cm="1">
        <f t="array" ref="H20">SUMPRODUCT(--(Category="Ex_Cat_1"),--(OpCo="Express"),--(Intl="International"),--(SC_Name=$A20),(SC_Count))</f>
        <v>0</v>
      </c>
      <c r="I20" s="537">
        <f t="shared" si="3"/>
        <v>0</v>
      </c>
      <c r="J20" s="537">
        <f t="shared" si="4"/>
        <v>0</v>
      </c>
      <c r="K20" s="537">
        <f t="shared" si="5"/>
        <v>0</v>
      </c>
      <c r="L20" s="545" cm="1">
        <f t="array" ref="L20">SUMPRODUCT(--(D_Category="Ex_Cat_2"),--(D_EffDate="Eff_Date_1"),--(D_Product="EE"),--(D_SC_Name=$A20),--(D_Zone="All"),(D_Percent))</f>
        <v>0</v>
      </c>
      <c r="M20" s="545" cm="1">
        <f t="array" ref="M20">SUMPRODUCT(--(D_Category="Ex_Cat_2"),--(D_EffDate="Eff_Date_2"),--(D_Product="EE"),--(D_Zone="All"),--(D_SC_Name=$A20),(D_Percent))</f>
        <v>0</v>
      </c>
      <c r="N20" s="537">
        <f t="shared" si="6"/>
        <v>27.5</v>
      </c>
      <c r="O20" s="540">
        <f t="shared" si="7"/>
        <v>0</v>
      </c>
      <c r="P20" s="151">
        <f t="shared" si="8"/>
        <v>27.5</v>
      </c>
      <c r="Q20" s="551" cm="1">
        <f t="array" ref="Q20">SUMPRODUCT(--(Category="Ex_Cat_2"),--(OpCo="Express"),--(Intl="International"),--(SC_Name=$A20),(SC_Count))</f>
        <v>0</v>
      </c>
      <c r="R20" s="151">
        <f t="shared" si="9"/>
        <v>0</v>
      </c>
      <c r="S20" s="151">
        <f t="shared" si="10"/>
        <v>0</v>
      </c>
      <c r="T20" s="151">
        <f t="shared" si="11"/>
        <v>0</v>
      </c>
      <c r="U20" s="546" cm="1">
        <f t="array" ref="U20">SUMPRODUCT(--(D_Category="Ex_Cat_3"),--(D_EffDate="Eff_Date_1"),--(D_Product="EE"),--(D_SC_Name=$A20),--(D_Zone="All"),(D_Percent))</f>
        <v>0</v>
      </c>
      <c r="V20" s="546" cm="1">
        <f t="array" ref="V20">SUMPRODUCT(--(D_Category="Ex_Cat_3"),--(D_EffDate="Eff_Date_2"),--(D_Product="EE"),--(D_Zone="All"),--(D_SC_Name=$A20),(D_Percent))</f>
        <v>0</v>
      </c>
      <c r="W20" s="540">
        <f t="shared" si="12"/>
        <v>27.5</v>
      </c>
      <c r="X20" s="540">
        <f t="shared" si="13"/>
        <v>0</v>
      </c>
      <c r="Y20" s="151">
        <f t="shared" si="14"/>
        <v>27.5</v>
      </c>
      <c r="Z20" s="551" cm="1">
        <f t="array" ref="Z20">SUMPRODUCT(--(Category="Ex_Cat_3"),--(OpCo="Express"),--(Intl="International"),--(SC_Name=$A20),(SC_Count))</f>
        <v>0</v>
      </c>
      <c r="AA20" s="537">
        <f t="shared" si="15"/>
        <v>0</v>
      </c>
      <c r="AB20" s="540">
        <f t="shared" si="16"/>
        <v>0</v>
      </c>
      <c r="AC20" s="540">
        <f t="shared" si="17"/>
        <v>0</v>
      </c>
    </row>
    <row r="21" spans="1:29" x14ac:dyDescent="0.35">
      <c r="A21" s="523" t="s">
        <v>383</v>
      </c>
      <c r="B21" s="537">
        <v>55</v>
      </c>
      <c r="C21" s="235" cm="1">
        <f t="array" ref="C21">SUMPRODUCT(--(D_Category="Ex_Cat_1"),--(D_EffDate="Eff_Date_1"),--(D_Product="EE"),--(D_SC_Name=$A21),--(D_Zone="All"),(D_Percent))</f>
        <v>0</v>
      </c>
      <c r="D21" s="235" cm="1">
        <f t="array" ref="D21">SUMPRODUCT(--(D_Category="Ex_Cat_1"),--(D_EffDate="Eff_Date_2"),--(D_Product="EE"),--(D_Zone="All"),--(D_SC_Name=$A21),(D_Percent))</f>
        <v>0</v>
      </c>
      <c r="E21" s="537">
        <f>ROUND(($B21*(1-C21)),2)</f>
        <v>55</v>
      </c>
      <c r="F21" s="537">
        <f>G21-E21</f>
        <v>0</v>
      </c>
      <c r="G21" s="537">
        <f>ROUND(($B21*(1-D21)),2)</f>
        <v>55</v>
      </c>
      <c r="H21" s="551" cm="1">
        <f t="array" ref="H21">SUMPRODUCT(--(Category="Ex_Cat_1"),--(OpCo="Express"),--(Intl="International"),--(SC_Name=$A21),(SC_Count))</f>
        <v>0</v>
      </c>
      <c r="I21" s="537">
        <f t="shared" si="3"/>
        <v>0</v>
      </c>
      <c r="J21" s="537">
        <f t="shared" si="4"/>
        <v>0</v>
      </c>
      <c r="K21" s="537">
        <f t="shared" si="5"/>
        <v>0</v>
      </c>
      <c r="L21" s="545" cm="1">
        <f t="array" ref="L21">SUMPRODUCT(--(D_Category="Ex_Cat_2"),--(D_EffDate="Eff_Date_1"),--(D_Product="EE"),--(D_SC_Name=$A21),--(D_Zone="All"),(D_Percent))</f>
        <v>0</v>
      </c>
      <c r="M21" s="545" cm="1">
        <f t="array" ref="M21">SUMPRODUCT(--(D_Category="Ex_Cat_2"),--(D_EffDate="Eff_Date_2"),--(D_Product="EE"),--(D_Zone="All"),--(D_SC_Name=$A21),(D_Percent))</f>
        <v>0</v>
      </c>
      <c r="N21" s="537">
        <f t="shared" si="6"/>
        <v>55</v>
      </c>
      <c r="O21" s="540">
        <f t="shared" si="7"/>
        <v>0</v>
      </c>
      <c r="P21" s="151">
        <f t="shared" si="8"/>
        <v>55</v>
      </c>
      <c r="Q21" s="551" cm="1">
        <f t="array" ref="Q21">SUMPRODUCT(--(Category="Ex_Cat_2"),--(OpCo="Express"),--(Intl="International"),--(SC_Name=$A21),(SC_Count))</f>
        <v>0</v>
      </c>
      <c r="R21" s="151">
        <f t="shared" si="9"/>
        <v>0</v>
      </c>
      <c r="S21" s="151">
        <f t="shared" si="10"/>
        <v>0</v>
      </c>
      <c r="T21" s="151">
        <f t="shared" si="11"/>
        <v>0</v>
      </c>
      <c r="U21" s="546" cm="1">
        <f t="array" ref="U21">SUMPRODUCT(--(D_Category="Ex_Cat_3"),--(D_EffDate="Eff_Date_1"),--(D_Product="EE"),--(D_SC_Name=$A21),--(D_Zone="All"),(D_Percent))</f>
        <v>0</v>
      </c>
      <c r="V21" s="546" cm="1">
        <f t="array" ref="V21">SUMPRODUCT(--(D_Category="Ex_Cat_3"),--(D_EffDate="Eff_Date_2"),--(D_Product="EE"),--(D_Zone="All"),--(D_SC_Name=$A21),(D_Percent))</f>
        <v>0</v>
      </c>
      <c r="W21" s="540">
        <f t="shared" si="12"/>
        <v>55</v>
      </c>
      <c r="X21" s="540">
        <f t="shared" si="13"/>
        <v>0</v>
      </c>
      <c r="Y21" s="151">
        <f t="shared" si="14"/>
        <v>55</v>
      </c>
      <c r="Z21" s="551" cm="1">
        <f t="array" ref="Z21">SUMPRODUCT(--(Category="Ex_Cat_3"),--(OpCo="Express"),--(Intl="International"),--(SC_Name=$A21),(SC_Count))</f>
        <v>0</v>
      </c>
      <c r="AA21" s="537">
        <f t="shared" si="15"/>
        <v>0</v>
      </c>
      <c r="AB21" s="540">
        <f t="shared" si="16"/>
        <v>0</v>
      </c>
      <c r="AC21" s="540">
        <f t="shared" si="17"/>
        <v>0</v>
      </c>
    </row>
    <row r="22" spans="1:29" x14ac:dyDescent="0.35">
      <c r="A22" s="523" t="s">
        <v>53</v>
      </c>
      <c r="B22" s="537">
        <v>13</v>
      </c>
      <c r="C22" s="235" cm="1">
        <f t="array" ref="C22">SUMPRODUCT(--(D_Category="Ex_Cat_1"),--(D_EffDate="Eff_Date_1"),--(D_Product="All"),--(D_SC_Name="EDI EEI Request"),--(D_Zone="All"),(D_Percent))</f>
        <v>0</v>
      </c>
      <c r="D22" s="235" cm="1">
        <f t="array" ref="D22">SUMPRODUCT(--(D_Category="Ex_Cat_1"),--(D_EffDate="Eff_Date_2"),--(D_Product="All"),--(D_Zone="All"),--(D_SC_Name="EDI EEI Request"),(D_Percent))</f>
        <v>0</v>
      </c>
      <c r="E22" s="537">
        <f t="shared" ref="E22" si="18">ROUND(($B22*(1-C22)),2)</f>
        <v>13</v>
      </c>
      <c r="F22" s="537">
        <f t="shared" si="1"/>
        <v>0</v>
      </c>
      <c r="G22" s="537">
        <f t="shared" ref="G22" si="19">ROUND(($B22*(1-D22)),2)</f>
        <v>13</v>
      </c>
      <c r="H22" s="551" cm="1">
        <f t="array" ref="H22">SUMPRODUCT(--(Category="Ex_Cat_1"),--(OpCo="Express"),--(Intl="Domestic"),--((SC_Name="EDI EEI Request")+(SC_Name="EEI Reports")+(SC_Name="Internet EEI Request")+(SC_Name="Manual EEI Request")),(SC_Count))</f>
        <v>0</v>
      </c>
      <c r="I22" s="537">
        <f t="shared" si="3"/>
        <v>0</v>
      </c>
      <c r="J22" s="537">
        <f t="shared" si="4"/>
        <v>0</v>
      </c>
      <c r="K22" s="537">
        <f t="shared" si="5"/>
        <v>0</v>
      </c>
      <c r="L22" s="545" cm="1">
        <f t="array" ref="L22">SUMPRODUCT(--(D_Category="Ex_Cat_2"),--(D_EffDate="Eff_Date_1"),--(D_Product="All"),--(D_SC_Name="EDI EEI Request"),--(D_Zone="All"),(D_Percent))</f>
        <v>0</v>
      </c>
      <c r="M22" s="545" cm="1">
        <f t="array" ref="M22">SUMPRODUCT(--(D_Category="Ex_Cat_2"),--(D_EffDate="Eff_Date_2"),--(D_Product="All"),--(D_Zone="All"),--(D_SC_Name="EDI EEI Request"),(D_Percent))</f>
        <v>0</v>
      </c>
      <c r="N22" s="537">
        <f t="shared" si="6"/>
        <v>13</v>
      </c>
      <c r="O22" s="540">
        <f t="shared" si="7"/>
        <v>0</v>
      </c>
      <c r="P22" s="151">
        <f t="shared" si="8"/>
        <v>13</v>
      </c>
      <c r="Q22" s="551" cm="1">
        <f t="array" ref="Q22">SUMPRODUCT(--(Category="Ex_Cat_2"),--(OpCo="Express"),--(Intl="Domestic"),--((SC_Name="EDI EEI Request")+(SC_Name="EEI Reports")+(SC_Name="Internet EEI Request")+(SC_Name="Manual EEI Request")),(SC_Count))</f>
        <v>0</v>
      </c>
      <c r="R22" s="151">
        <f t="shared" si="9"/>
        <v>0</v>
      </c>
      <c r="S22" s="151">
        <f t="shared" si="10"/>
        <v>0</v>
      </c>
      <c r="T22" s="151">
        <f t="shared" si="11"/>
        <v>0</v>
      </c>
      <c r="U22" s="546" cm="1">
        <f t="array" ref="U22">SUMPRODUCT(--(D_Category="Ex_Cat_3"),--(D_EffDate="Eff_Date_1"),--(D_Product="All"),--(D_SC_Name="EDI EEI Request"),--(D_Zone="All"),(D_Percent))</f>
        <v>0</v>
      </c>
      <c r="V22" s="546" cm="1">
        <f t="array" ref="V22">SUMPRODUCT(--(D_Category="Ex_Cat_3"),--(D_EffDate="Eff_Date_2"),--(D_Product="All"),--(D_Zone="All"),--(D_SC_Name="EDI EEI Request"),(D_Percent))</f>
        <v>0</v>
      </c>
      <c r="W22" s="540">
        <f t="shared" si="12"/>
        <v>13</v>
      </c>
      <c r="X22" s="540">
        <f t="shared" si="13"/>
        <v>0</v>
      </c>
      <c r="Y22" s="151">
        <f t="shared" si="14"/>
        <v>13</v>
      </c>
      <c r="Z22" s="551" cm="1">
        <f t="array" ref="Z22">SUMPRODUCT(--(Category="Ex_Cat_3"),--(OpCo="Express"),--(Intl="Domestic"),--((SC_Name="EDI EEI Request")+(SC_Name="EEI Reports")+(SC_Name="Internet EEI Request")+(SC_Name="Manual EEI Request")),(SC_Count))</f>
        <v>0</v>
      </c>
      <c r="AA22" s="537">
        <f t="shared" si="15"/>
        <v>0</v>
      </c>
      <c r="AB22" s="540">
        <f t="shared" si="16"/>
        <v>0</v>
      </c>
      <c r="AC22" s="540">
        <f t="shared" si="17"/>
        <v>0</v>
      </c>
    </row>
    <row r="23" spans="1:29" x14ac:dyDescent="0.35">
      <c r="A23" s="523"/>
      <c r="B23" s="537"/>
      <c r="C23" s="235"/>
      <c r="D23" s="235"/>
      <c r="E23" s="537"/>
      <c r="F23" s="537"/>
      <c r="G23" s="537"/>
      <c r="H23" s="551"/>
      <c r="I23" s="537"/>
      <c r="J23" s="537"/>
      <c r="K23" s="537"/>
      <c r="L23" s="545"/>
      <c r="M23" s="545"/>
      <c r="N23" s="537"/>
      <c r="O23" s="540"/>
      <c r="P23" s="540"/>
      <c r="Q23" s="551"/>
      <c r="R23" s="537"/>
      <c r="S23" s="537"/>
      <c r="T23" s="537"/>
      <c r="U23" s="546"/>
      <c r="V23" s="546"/>
      <c r="W23" s="540"/>
      <c r="X23" s="540"/>
      <c r="Y23" s="540"/>
      <c r="Z23" s="551"/>
      <c r="AA23" s="537"/>
      <c r="AB23" s="540"/>
      <c r="AC23" s="540"/>
    </row>
    <row r="24" spans="1:29" x14ac:dyDescent="0.35">
      <c r="A24" s="524" t="s">
        <v>1842</v>
      </c>
      <c r="B24" s="538"/>
      <c r="C24" s="235"/>
      <c r="D24" s="235"/>
      <c r="E24" s="537"/>
      <c r="F24" s="537"/>
      <c r="G24" s="537"/>
      <c r="H24" s="551"/>
      <c r="I24" s="537"/>
      <c r="J24" s="537"/>
      <c r="K24" s="537"/>
      <c r="L24" s="545"/>
      <c r="M24" s="545"/>
      <c r="N24" s="537"/>
      <c r="O24" s="540"/>
      <c r="P24" s="540"/>
      <c r="Q24" s="551"/>
      <c r="R24" s="537"/>
      <c r="S24" s="537"/>
      <c r="T24" s="537"/>
      <c r="U24" s="546"/>
      <c r="V24" s="546"/>
      <c r="W24" s="540"/>
      <c r="X24" s="540"/>
      <c r="Y24" s="540"/>
      <c r="Z24" s="551"/>
      <c r="AA24" s="537"/>
      <c r="AB24" s="540"/>
      <c r="AC24" s="540"/>
    </row>
    <row r="25" spans="1:29" x14ac:dyDescent="0.35">
      <c r="A25" s="522" t="s">
        <v>1843</v>
      </c>
      <c r="B25" s="537">
        <v>3.5</v>
      </c>
      <c r="C25" s="235" cm="1">
        <f t="array" ref="C25">SUMPRODUCT(--(D_Category="Gr_Cat_1"),--(D_EffDate="Eff_Date_1"),--(D_Product="IG"),--(D_Zone="ALL"),--(D_SC_Name=$A25),(D_Percent))</f>
        <v>0</v>
      </c>
      <c r="D25" s="235" cm="1">
        <f t="array" ref="D25">SUMPRODUCT(--(D_Category="Gr_Cat_1"),--(D_EffDate="Eff_Date_2"),--(D_Product="IG"),--(D_Zone="ALL"),--(D_SC_Name= $A25),(D_Percent))</f>
        <v>0</v>
      </c>
      <c r="E25" s="537">
        <f t="shared" ref="E25" si="20">ROUND(($B25*(1-C25)),2)</f>
        <v>3.5</v>
      </c>
      <c r="F25" s="537">
        <f t="shared" ref="F25:F34" si="21">G25-E25</f>
        <v>0</v>
      </c>
      <c r="G25" s="537">
        <f t="shared" ref="G25" si="22">ROUND(($B25*(1-D25)),2)</f>
        <v>3.5</v>
      </c>
      <c r="H25" s="551" cm="1">
        <f t="array" ref="H25">SUMPRODUCT(--(Category="Gr_Cat_1"),--(OpCo="Ground"),--(Intl="International"),--(SC_Name=$A25),(SC_Count))</f>
        <v>0</v>
      </c>
      <c r="I25" s="537">
        <f t="shared" ref="I25" si="23">H25*E25</f>
        <v>0</v>
      </c>
      <c r="J25" s="537">
        <f t="shared" ref="J25:J34" si="24">K25-I25</f>
        <v>0</v>
      </c>
      <c r="K25" s="537">
        <f t="shared" ref="K25" si="25">H25*G25</f>
        <v>0</v>
      </c>
      <c r="L25" s="545" cm="1">
        <f t="array" ref="L25">SUMPRODUCT(--(D_Category="Gr_Cat_2"),--(D_EffDate="Eff_Date_1"),--(D_Product="IG"),--(D_Zone="ALL"),--(D_SC_Name=$A25),(D_Percent))</f>
        <v>0</v>
      </c>
      <c r="M25" s="545" cm="1">
        <f t="array" ref="M25">SUMPRODUCT(--(D_Category="Gr_Cat_2"),--(D_EffDate="Eff_Date_2"),--(D_Product="IG"),--(D_Zone="ALL"),--(D_SC_Name= $A25),(D_Percent))</f>
        <v>0</v>
      </c>
      <c r="N25" s="537">
        <f t="shared" ref="N25" si="26">ROUND(($B25*(1-L25)),2)</f>
        <v>3.5</v>
      </c>
      <c r="O25" s="540">
        <f t="shared" ref="O25:O34" si="27">P25-N25</f>
        <v>0</v>
      </c>
      <c r="P25" s="151">
        <f t="shared" ref="P25" si="28">ROUND(($B25*(1-M25)),2)</f>
        <v>3.5</v>
      </c>
      <c r="Q25" s="551" cm="1">
        <f t="array" ref="Q25">SUMPRODUCT(--(Category="Gr_Cat_2"),--(OpCo="Ground"),--(Intl="International"),--(SC_Name=$A25),(SC_Count))</f>
        <v>0</v>
      </c>
      <c r="R25" s="151">
        <f t="shared" ref="R25" si="29">Q25*N25</f>
        <v>0</v>
      </c>
      <c r="S25" s="151">
        <f t="shared" ref="S25:S34" si="30">T25-R25</f>
        <v>0</v>
      </c>
      <c r="T25" s="151">
        <f t="shared" ref="T25" si="31">Q25*P25</f>
        <v>0</v>
      </c>
      <c r="U25" s="546" cm="1">
        <f t="array" ref="U25">SUMPRODUCT(--(D_Category="Gr_Cat_3"),--(D_EffDate="Eff_Date_1"),--(D_Product="IG"),--(D_Zone="ALL"),--(D_SC_Name=$A25),(D_Percent))</f>
        <v>0</v>
      </c>
      <c r="V25" s="546" cm="1">
        <f t="array" ref="V25">SUMPRODUCT(--(D_Category="Gr_Cat_3"),--(D_EffDate="Eff_Date_2"),--(D_Product="IG"),--(D_Zone="ALL"),--(D_SC_Name= $A25),(D_Percent))</f>
        <v>0</v>
      </c>
      <c r="W25" s="540">
        <f t="shared" ref="W25" si="32">ROUND(($B25*(1-U25)),2)</f>
        <v>3.5</v>
      </c>
      <c r="X25" s="540">
        <f t="shared" ref="X25:X34" si="33">Y25-W25</f>
        <v>0</v>
      </c>
      <c r="Y25" s="151">
        <f t="shared" ref="Y25" si="34">ROUND(($B25*(1-V25)),2)</f>
        <v>3.5</v>
      </c>
      <c r="Z25" s="551" cm="1">
        <f t="array" ref="Z25">SUMPRODUCT(--(Category="Gr_Cat_3"),--(OpCo="Ground"),--(Intl="International"),--(SC_Name=$A25),(SC_Count))</f>
        <v>0</v>
      </c>
      <c r="AA25" s="537">
        <f t="shared" ref="AA25" si="35">Z25*W25</f>
        <v>0</v>
      </c>
      <c r="AB25" s="540">
        <f t="shared" ref="AB25:AB34" si="36">AC25-AA25</f>
        <v>0</v>
      </c>
      <c r="AC25" s="540">
        <f t="shared" ref="AC25" si="37">Z25*Y25</f>
        <v>0</v>
      </c>
    </row>
    <row r="26" spans="1:29" x14ac:dyDescent="0.35">
      <c r="A26" s="522" t="s">
        <v>1844</v>
      </c>
      <c r="B26" s="537"/>
      <c r="C26" s="235" cm="1">
        <f t="array" ref="C26">SUMPRODUCT(--(D_Category="Gr_Cat_1"),--(D_EffDate="Eff_Date_1"),--(D_Product="IG"),--(D_Zone="ALL"),--(D_SC_Name=$A26),(D_Percent))</f>
        <v>0</v>
      </c>
      <c r="D26" s="235" cm="1">
        <f t="array" ref="D26">SUMPRODUCT(--(D_Category="Gr_Cat_1"),--(D_EffDate="Eff_Date_2"),--(D_Product="IG"),--(D_Zone="ALL"),--(D_SC_Name= $A26),(D_Percent))</f>
        <v>0</v>
      </c>
      <c r="E26" s="537">
        <f t="shared" ref="E26:E34" si="38">ROUND(($B26*(1-C26)),2)</f>
        <v>0</v>
      </c>
      <c r="F26" s="537">
        <f t="shared" si="21"/>
        <v>0</v>
      </c>
      <c r="G26" s="537">
        <f t="shared" ref="G26:G34" si="39">ROUND(($B26*(1-D26)),2)</f>
        <v>0</v>
      </c>
      <c r="H26" s="551" cm="1">
        <f t="array" ref="H26">SUMPRODUCT(--(Category="Gr_Cat_1"),--(OpCo="Ground"),--(Intl="International"),--(SC_Name=$A26),(SC_Count))</f>
        <v>0</v>
      </c>
      <c r="I26" s="537">
        <f t="shared" ref="I26:I34" si="40">H26*E26</f>
        <v>0</v>
      </c>
      <c r="J26" s="537">
        <f t="shared" si="24"/>
        <v>0</v>
      </c>
      <c r="K26" s="537">
        <f t="shared" ref="K26:K34" si="41">H26*G26</f>
        <v>0</v>
      </c>
      <c r="L26" s="545" cm="1">
        <f t="array" ref="L26">SUMPRODUCT(--(D_Category="Gr_Cat_2"),--(D_EffDate="Eff_Date_1"),--(D_Product="IG"),--(D_Zone="ALL"),--(D_SC_Name=$A26),(D_Percent))</f>
        <v>0</v>
      </c>
      <c r="M26" s="545" cm="1">
        <f t="array" ref="M26">SUMPRODUCT(--(D_Category="Gr_Cat_2"),--(D_EffDate="Eff_Date_2"),--(D_Product="IG"),--(D_Zone="ALL"),--(D_SC_Name= $A26),(D_Percent))</f>
        <v>0</v>
      </c>
      <c r="N26" s="537">
        <f t="shared" ref="N26:N34" si="42">ROUND(($B26*(1-L26)),2)</f>
        <v>0</v>
      </c>
      <c r="O26" s="540">
        <f t="shared" si="27"/>
        <v>0</v>
      </c>
      <c r="P26" s="151">
        <f t="shared" ref="P26:P34" si="43">ROUND(($B26*(1-M26)),2)</f>
        <v>0</v>
      </c>
      <c r="Q26" s="551" cm="1">
        <f t="array" ref="Q26">SUMPRODUCT(--(Category="Gr_Cat_2"),--(OpCo="Ground"),--(Intl="International"),--(SC_Name=$A26),(SC_Count))</f>
        <v>0</v>
      </c>
      <c r="R26" s="151">
        <f t="shared" ref="R26:R34" si="44">Q26*N26</f>
        <v>0</v>
      </c>
      <c r="S26" s="151">
        <f t="shared" si="30"/>
        <v>0</v>
      </c>
      <c r="T26" s="151">
        <f t="shared" ref="T26:T34" si="45">Q26*P26</f>
        <v>0</v>
      </c>
      <c r="U26" s="546" cm="1">
        <f t="array" ref="U26">SUMPRODUCT(--(D_Category="Gr_Cat_3"),--(D_EffDate="Eff_Date_1"),--(D_Product="IG"),--(D_Zone="ALL"),--(D_SC_Name=$A26),(D_Percent))</f>
        <v>0</v>
      </c>
      <c r="V26" s="546" cm="1">
        <f t="array" ref="V26">SUMPRODUCT(--(D_Category="Gr_Cat_3"),--(D_EffDate="Eff_Date_2"),--(D_Product="IG"),--(D_Zone="ALL"),--(D_SC_Name= $A26),(D_Percent))</f>
        <v>0</v>
      </c>
      <c r="W26" s="540">
        <f t="shared" ref="W26:W34" si="46">ROUND(($B26*(1-U26)),2)</f>
        <v>0</v>
      </c>
      <c r="X26" s="540">
        <f t="shared" si="33"/>
        <v>0</v>
      </c>
      <c r="Y26" s="151">
        <f t="shared" ref="Y26:Y34" si="47">ROUND(($B26*(1-V26)),2)</f>
        <v>0</v>
      </c>
      <c r="Z26" s="551" cm="1">
        <f t="array" ref="Z26">SUMPRODUCT(--(Category="Gr_Cat_3"),--(OpCo="Ground"),--(Intl="International"),--(SC_Name=$A26),(SC_Count))</f>
        <v>0</v>
      </c>
      <c r="AA26" s="537">
        <f t="shared" ref="AA26:AA34" si="48">Z26*W26</f>
        <v>0</v>
      </c>
      <c r="AB26" s="540">
        <f t="shared" si="36"/>
        <v>0</v>
      </c>
      <c r="AC26" s="540">
        <f t="shared" ref="AC26:AC34" si="49">Z26*Y26</f>
        <v>0</v>
      </c>
    </row>
    <row r="27" spans="1:29" x14ac:dyDescent="0.35">
      <c r="A27" s="522" t="s">
        <v>1845</v>
      </c>
      <c r="B27" s="537"/>
      <c r="C27" s="235" cm="1">
        <f t="array" ref="C27">SUMPRODUCT(--(D_Category="Gr_Cat_1"),--(D_EffDate="Eff_Date_1"),--(D_Product="IG"),--(D_Zone="ALL"),--(D_SC_Name=$A27),(D_Percent))</f>
        <v>0</v>
      </c>
      <c r="D27" s="235" cm="1">
        <f t="array" ref="D27">SUMPRODUCT(--(D_Category="Gr_Cat_1"),--(D_EffDate="Eff_Date_2"),--(D_Product="IG"),--(D_Zone="ALL"),--(D_SC_Name= $A27),(D_Percent))</f>
        <v>0</v>
      </c>
      <c r="E27" s="537">
        <f t="shared" si="38"/>
        <v>0</v>
      </c>
      <c r="F27" s="537">
        <f t="shared" si="21"/>
        <v>0</v>
      </c>
      <c r="G27" s="537">
        <f t="shared" si="39"/>
        <v>0</v>
      </c>
      <c r="H27" s="551" cm="1">
        <f t="array" ref="H27">SUMPRODUCT(--(Category="Gr_Cat_1"),--(OpCo="Ground"),--(Intl="International"),--(SC_Name=$A27),(SC_Count))</f>
        <v>0</v>
      </c>
      <c r="I27" s="537">
        <f t="shared" si="40"/>
        <v>0</v>
      </c>
      <c r="J27" s="537">
        <f t="shared" si="24"/>
        <v>0</v>
      </c>
      <c r="K27" s="537">
        <f t="shared" si="41"/>
        <v>0</v>
      </c>
      <c r="L27" s="545" cm="1">
        <f t="array" ref="L27">SUMPRODUCT(--(D_Category="Gr_Cat_2"),--(D_EffDate="Eff_Date_1"),--(D_Product="IG"),--(D_Zone="ALL"),--(D_SC_Name=$A27),(D_Percent))</f>
        <v>0</v>
      </c>
      <c r="M27" s="545" cm="1">
        <f t="array" ref="M27">SUMPRODUCT(--(D_Category="Gr_Cat_2"),--(D_EffDate="Eff_Date_2"),--(D_Product="IG"),--(D_Zone="ALL"),--(D_SC_Name= $A27),(D_Percent))</f>
        <v>0</v>
      </c>
      <c r="N27" s="537">
        <f t="shared" si="42"/>
        <v>0</v>
      </c>
      <c r="O27" s="540">
        <f t="shared" si="27"/>
        <v>0</v>
      </c>
      <c r="P27" s="151">
        <f t="shared" si="43"/>
        <v>0</v>
      </c>
      <c r="Q27" s="551" cm="1">
        <f t="array" ref="Q27">SUMPRODUCT(--(Category="Gr_Cat_2"),--(OpCo="Ground"),--(Intl="International"),--(SC_Name=$A27),(SC_Count))</f>
        <v>0</v>
      </c>
      <c r="R27" s="151">
        <f t="shared" si="44"/>
        <v>0</v>
      </c>
      <c r="S27" s="151">
        <f t="shared" si="30"/>
        <v>0</v>
      </c>
      <c r="T27" s="151">
        <f t="shared" si="45"/>
        <v>0</v>
      </c>
      <c r="U27" s="546" cm="1">
        <f t="array" ref="U27">SUMPRODUCT(--(D_Category="Gr_Cat_3"),--(D_EffDate="Eff_Date_1"),--(D_Product="IG"),--(D_Zone="ALL"),--(D_SC_Name=$A27),(D_Percent))</f>
        <v>0</v>
      </c>
      <c r="V27" s="546" cm="1">
        <f t="array" ref="V27">SUMPRODUCT(--(D_Category="Gr_Cat_3"),--(D_EffDate="Eff_Date_2"),--(D_Product="IG"),--(D_Zone="ALL"),--(D_SC_Name= $A27),(D_Percent))</f>
        <v>0</v>
      </c>
      <c r="W27" s="540">
        <f t="shared" si="46"/>
        <v>0</v>
      </c>
      <c r="X27" s="540">
        <f t="shared" si="33"/>
        <v>0</v>
      </c>
      <c r="Y27" s="151">
        <f t="shared" si="47"/>
        <v>0</v>
      </c>
      <c r="Z27" s="551" cm="1">
        <f t="array" ref="Z27">SUMPRODUCT(--(Category="Gr_Cat_3"),--(OpCo="Ground"),--(Intl="International"),--(SC_Name=$A27),(SC_Count))</f>
        <v>0</v>
      </c>
      <c r="AA27" s="537">
        <f t="shared" si="48"/>
        <v>0</v>
      </c>
      <c r="AB27" s="540">
        <f t="shared" si="36"/>
        <v>0</v>
      </c>
      <c r="AC27" s="540">
        <f t="shared" si="49"/>
        <v>0</v>
      </c>
    </row>
    <row r="28" spans="1:29" x14ac:dyDescent="0.35">
      <c r="A28" s="522" t="s">
        <v>1846</v>
      </c>
      <c r="B28" s="537">
        <v>2</v>
      </c>
      <c r="C28" s="235" cm="1">
        <f t="array" ref="C28">SUMPRODUCT(--(D_Category="Gr_Cat_1"),--(D_EffDate="Eff_Date_1"),--(D_Product="IG"),--(D_Zone="ALL"),--(D_SC_Name=$A28),(D_Percent))</f>
        <v>0</v>
      </c>
      <c r="D28" s="235" cm="1">
        <f t="array" ref="D28">SUMPRODUCT(--(D_Category="Gr_Cat_1"),--(D_EffDate="Eff_Date_2"),--(D_Product="IG"),--(D_Zone="ALL"),--(D_SC_Name= $A28),(D_Percent))</f>
        <v>0</v>
      </c>
      <c r="E28" s="537">
        <f t="shared" si="38"/>
        <v>2</v>
      </c>
      <c r="F28" s="537">
        <f t="shared" si="21"/>
        <v>0</v>
      </c>
      <c r="G28" s="537">
        <f t="shared" si="39"/>
        <v>2</v>
      </c>
      <c r="H28" s="551" cm="1">
        <f t="array" ref="H28">SUMPRODUCT(--(Category="Gr_Cat_1"),--(OpCo="Ground"),--(Intl="International"),--(SC_Name=$A28),(SC_Count))</f>
        <v>0</v>
      </c>
      <c r="I28" s="537">
        <f t="shared" si="40"/>
        <v>0</v>
      </c>
      <c r="J28" s="537">
        <f t="shared" si="24"/>
        <v>0</v>
      </c>
      <c r="K28" s="537">
        <f t="shared" si="41"/>
        <v>0</v>
      </c>
      <c r="L28" s="545" cm="1">
        <f t="array" ref="L28">SUMPRODUCT(--(D_Category="Gr_Cat_2"),--(D_EffDate="Eff_Date_1"),--(D_Product="IG"),--(D_Zone="ALL"),--(D_SC_Name=$A28),(D_Percent))</f>
        <v>0</v>
      </c>
      <c r="M28" s="545" cm="1">
        <f t="array" ref="M28">SUMPRODUCT(--(D_Category="Gr_Cat_2"),--(D_EffDate="Eff_Date_2"),--(D_Product="IG"),--(D_Zone="ALL"),--(D_SC_Name= $A28),(D_Percent))</f>
        <v>0</v>
      </c>
      <c r="N28" s="537">
        <f t="shared" si="42"/>
        <v>2</v>
      </c>
      <c r="O28" s="540">
        <f t="shared" si="27"/>
        <v>0</v>
      </c>
      <c r="P28" s="151">
        <f t="shared" si="43"/>
        <v>2</v>
      </c>
      <c r="Q28" s="551" cm="1">
        <f t="array" ref="Q28">SUMPRODUCT(--(Category="Gr_Cat_2"),--(OpCo="Ground"),--(Intl="International"),--(SC_Name=$A28),(SC_Count))</f>
        <v>0</v>
      </c>
      <c r="R28" s="151">
        <f t="shared" si="44"/>
        <v>0</v>
      </c>
      <c r="S28" s="151">
        <f t="shared" si="30"/>
        <v>0</v>
      </c>
      <c r="T28" s="151">
        <f t="shared" si="45"/>
        <v>0</v>
      </c>
      <c r="U28" s="546" cm="1">
        <f t="array" ref="U28">SUMPRODUCT(--(D_Category="Gr_Cat_3"),--(D_EffDate="Eff_Date_1"),--(D_Product="IG"),--(D_Zone="ALL"),--(D_SC_Name=$A28),(D_Percent))</f>
        <v>0</v>
      </c>
      <c r="V28" s="546" cm="1">
        <f t="array" ref="V28">SUMPRODUCT(--(D_Category="Gr_Cat_3"),--(D_EffDate="Eff_Date_2"),--(D_Product="IG"),--(D_Zone="ALL"),--(D_SC_Name= $A28),(D_Percent))</f>
        <v>0</v>
      </c>
      <c r="W28" s="540">
        <f t="shared" si="46"/>
        <v>2</v>
      </c>
      <c r="X28" s="540">
        <f t="shared" si="33"/>
        <v>0</v>
      </c>
      <c r="Y28" s="151">
        <f t="shared" si="47"/>
        <v>2</v>
      </c>
      <c r="Z28" s="551" cm="1">
        <f t="array" ref="Z28">SUMPRODUCT(--(Category="Gr_Cat_3"),--(OpCo="Ground"),--(Intl="International"),--(SC_Name=$A28),(SC_Count))</f>
        <v>0</v>
      </c>
      <c r="AA28" s="537">
        <f t="shared" si="48"/>
        <v>0</v>
      </c>
      <c r="AB28" s="540">
        <f t="shared" si="36"/>
        <v>0</v>
      </c>
      <c r="AC28" s="540">
        <f t="shared" si="49"/>
        <v>0</v>
      </c>
    </row>
    <row r="29" spans="1:29" x14ac:dyDescent="0.35">
      <c r="A29" s="522" t="s">
        <v>1847</v>
      </c>
      <c r="B29" s="537"/>
      <c r="C29" s="235" cm="1">
        <f t="array" ref="C29">SUMPRODUCT(--(D_Category="Gr_Cat_1"),--(D_EffDate="Eff_Date_1"),--(D_Product="IG"),--(D_Zone="ALL"),--(D_SC_Name=$A29),(D_Percent))</f>
        <v>0</v>
      </c>
      <c r="D29" s="235" cm="1">
        <f t="array" ref="D29">SUMPRODUCT(--(D_Category="Gr_Cat_1"),--(D_EffDate="Eff_Date_2"),--(D_Product="IG"),--(D_Zone="ALL"),--(D_SC_Name= $A29),(D_Percent))</f>
        <v>0</v>
      </c>
      <c r="E29" s="537">
        <f t="shared" si="38"/>
        <v>0</v>
      </c>
      <c r="F29" s="537">
        <f t="shared" si="21"/>
        <v>0</v>
      </c>
      <c r="G29" s="537">
        <f t="shared" si="39"/>
        <v>0</v>
      </c>
      <c r="H29" s="551" cm="1">
        <f t="array" ref="H29">SUMPRODUCT(--(Category="Gr_Cat_1"),--(OpCo="Ground"),--(Intl="International"),--(SC_Name=$A29),(SC_Count))</f>
        <v>0</v>
      </c>
      <c r="I29" s="537">
        <f t="shared" si="40"/>
        <v>0</v>
      </c>
      <c r="J29" s="537">
        <f t="shared" si="24"/>
        <v>0</v>
      </c>
      <c r="K29" s="537">
        <f t="shared" si="41"/>
        <v>0</v>
      </c>
      <c r="L29" s="545" cm="1">
        <f t="array" ref="L29">SUMPRODUCT(--(D_Category="Gr_Cat_2"),--(D_EffDate="Eff_Date_1"),--(D_Product="IG"),--(D_Zone="ALL"),--(D_SC_Name=$A29),(D_Percent))</f>
        <v>0</v>
      </c>
      <c r="M29" s="545" cm="1">
        <f t="array" ref="M29">SUMPRODUCT(--(D_Category="Gr_Cat_2"),--(D_EffDate="Eff_Date_2"),--(D_Product="IG"),--(D_Zone="ALL"),--(D_SC_Name= $A29),(D_Percent))</f>
        <v>0</v>
      </c>
      <c r="N29" s="537">
        <f t="shared" si="42"/>
        <v>0</v>
      </c>
      <c r="O29" s="540">
        <f t="shared" si="27"/>
        <v>0</v>
      </c>
      <c r="P29" s="151">
        <f t="shared" si="43"/>
        <v>0</v>
      </c>
      <c r="Q29" s="551" cm="1">
        <f t="array" ref="Q29">SUMPRODUCT(--(Category="Gr_Cat_2"),--(OpCo="Ground"),--(Intl="International"),--(SC_Name=$A29),(SC_Count))</f>
        <v>0</v>
      </c>
      <c r="R29" s="151">
        <f t="shared" si="44"/>
        <v>0</v>
      </c>
      <c r="S29" s="151">
        <f t="shared" si="30"/>
        <v>0</v>
      </c>
      <c r="T29" s="151">
        <f t="shared" si="45"/>
        <v>0</v>
      </c>
      <c r="U29" s="546" cm="1">
        <f t="array" ref="U29">SUMPRODUCT(--(D_Category="Gr_Cat_3"),--(D_EffDate="Eff_Date_1"),--(D_Product="IG"),--(D_Zone="ALL"),--(D_SC_Name=$A29),(D_Percent))</f>
        <v>0</v>
      </c>
      <c r="V29" s="546" cm="1">
        <f t="array" ref="V29">SUMPRODUCT(--(D_Category="Gr_Cat_3"),--(D_EffDate="Eff_Date_2"),--(D_Product="IG"),--(D_Zone="ALL"),--(D_SC_Name= $A29),(D_Percent))</f>
        <v>0</v>
      </c>
      <c r="W29" s="540">
        <f t="shared" si="46"/>
        <v>0</v>
      </c>
      <c r="X29" s="540">
        <f t="shared" si="33"/>
        <v>0</v>
      </c>
      <c r="Y29" s="151">
        <f t="shared" si="47"/>
        <v>0</v>
      </c>
      <c r="Z29" s="551" cm="1">
        <f t="array" ref="Z29">SUMPRODUCT(--(Category="Gr_Cat_3"),--(OpCo="Ground"),--(Intl="International"),--(SC_Name=$A29),(SC_Count))</f>
        <v>0</v>
      </c>
      <c r="AA29" s="537">
        <f t="shared" si="48"/>
        <v>0</v>
      </c>
      <c r="AB29" s="540">
        <f t="shared" si="36"/>
        <v>0</v>
      </c>
      <c r="AC29" s="540">
        <f t="shared" si="49"/>
        <v>0</v>
      </c>
    </row>
    <row r="30" spans="1:29" x14ac:dyDescent="0.35">
      <c r="A30" s="522" t="s">
        <v>1848</v>
      </c>
      <c r="B30" s="537">
        <v>27.5</v>
      </c>
      <c r="C30" s="235" cm="1">
        <f t="array" ref="C30">SUMPRODUCT(--(D_Category="Gr_Cat_1"),--(D_EffDate="Eff_Date_1"),--(D_Product="IG"),--(D_Zone="ALL"),--(D_SC_Name=$A30),(D_Percent))</f>
        <v>0</v>
      </c>
      <c r="D30" s="235" cm="1">
        <f t="array" ref="D30">SUMPRODUCT(--(D_Category="Gr_Cat_1"),--(D_EffDate="Eff_Date_2"),--(D_Product="IG"),--(D_Zone="ALL"),--(D_SC_Name= $A30),(D_Percent))</f>
        <v>0</v>
      </c>
      <c r="E30" s="537">
        <f t="shared" si="38"/>
        <v>27.5</v>
      </c>
      <c r="F30" s="537">
        <f t="shared" si="21"/>
        <v>0</v>
      </c>
      <c r="G30" s="537">
        <f t="shared" si="39"/>
        <v>27.5</v>
      </c>
      <c r="H30" s="551" cm="1">
        <f t="array" ref="H30">SUMPRODUCT(--(Category="Gr_Cat_1"),--(OpCo="Ground"),--(Intl="International"),--(SC_Name=$A30),(SC_Count))</f>
        <v>0</v>
      </c>
      <c r="I30" s="537">
        <f t="shared" si="40"/>
        <v>0</v>
      </c>
      <c r="J30" s="537">
        <f t="shared" si="24"/>
        <v>0</v>
      </c>
      <c r="K30" s="537">
        <f t="shared" si="41"/>
        <v>0</v>
      </c>
      <c r="L30" s="545" cm="1">
        <f t="array" ref="L30">SUMPRODUCT(--(D_Category="Gr_Cat_2"),--(D_EffDate="Eff_Date_1"),--(D_Product="IG"),--(D_Zone="ALL"),--(D_SC_Name=$A30),(D_Percent))</f>
        <v>0</v>
      </c>
      <c r="M30" s="545" cm="1">
        <f t="array" ref="M30">SUMPRODUCT(--(D_Category="Gr_Cat_2"),--(D_EffDate="Eff_Date_2"),--(D_Product="IG"),--(D_Zone="ALL"),--(D_SC_Name= $A30),(D_Percent))</f>
        <v>0</v>
      </c>
      <c r="N30" s="537">
        <f t="shared" si="42"/>
        <v>27.5</v>
      </c>
      <c r="O30" s="540">
        <f t="shared" si="27"/>
        <v>0</v>
      </c>
      <c r="P30" s="151">
        <f t="shared" si="43"/>
        <v>27.5</v>
      </c>
      <c r="Q30" s="551" cm="1">
        <f t="array" ref="Q30">SUMPRODUCT(--(Category="Gr_Cat_2"),--(OpCo="Ground"),--(Intl="International"),--(SC_Name=$A30),(SC_Count))</f>
        <v>0</v>
      </c>
      <c r="R30" s="151">
        <f t="shared" si="44"/>
        <v>0</v>
      </c>
      <c r="S30" s="151">
        <f t="shared" si="30"/>
        <v>0</v>
      </c>
      <c r="T30" s="151">
        <f t="shared" si="45"/>
        <v>0</v>
      </c>
      <c r="U30" s="546" cm="1">
        <f t="array" ref="U30">SUMPRODUCT(--(D_Category="Gr_Cat_3"),--(D_EffDate="Eff_Date_1"),--(D_Product="IG"),--(D_Zone="ALL"),--(D_SC_Name=$A30),(D_Percent))</f>
        <v>0</v>
      </c>
      <c r="V30" s="546" cm="1">
        <f t="array" ref="V30">SUMPRODUCT(--(D_Category="Gr_Cat_3"),--(D_EffDate="Eff_Date_2"),--(D_Product="IG"),--(D_Zone="ALL"),--(D_SC_Name= $A30),(D_Percent))</f>
        <v>0</v>
      </c>
      <c r="W30" s="540">
        <f t="shared" si="46"/>
        <v>27.5</v>
      </c>
      <c r="X30" s="540">
        <f t="shared" si="33"/>
        <v>0</v>
      </c>
      <c r="Y30" s="151">
        <f t="shared" si="47"/>
        <v>27.5</v>
      </c>
      <c r="Z30" s="551" cm="1">
        <f t="array" ref="Z30">SUMPRODUCT(--(Category="Gr_Cat_3"),--(OpCo="Ground"),--(Intl="International"),--(SC_Name=$A30),(SC_Count))</f>
        <v>0</v>
      </c>
      <c r="AA30" s="537">
        <f t="shared" si="48"/>
        <v>0</v>
      </c>
      <c r="AB30" s="540">
        <f t="shared" si="36"/>
        <v>0</v>
      </c>
      <c r="AC30" s="540">
        <f t="shared" si="49"/>
        <v>0</v>
      </c>
    </row>
    <row r="31" spans="1:29" x14ac:dyDescent="0.35">
      <c r="A31" s="522" t="s">
        <v>1849</v>
      </c>
      <c r="B31" s="537">
        <v>20</v>
      </c>
      <c r="C31" s="235" cm="1">
        <f t="array" ref="C31">SUMPRODUCT(--(D_Category="Gr_Cat_1"),--(D_EffDate="Eff_Date_1"),--(D_Product="IG"),--(D_Zone="ALL"),--(D_SC_Name=$A31),(D_Percent))</f>
        <v>0</v>
      </c>
      <c r="D31" s="235" cm="1">
        <f t="array" ref="D31">SUMPRODUCT(--(D_Category="Gr_Cat_1"),--(D_EffDate="Eff_Date_2"),--(D_Product="IG"),--(D_Zone="ALL"),--(D_SC_Name= $A31),(D_Percent))</f>
        <v>0</v>
      </c>
      <c r="E31" s="537">
        <f t="shared" si="38"/>
        <v>20</v>
      </c>
      <c r="F31" s="537">
        <f t="shared" si="21"/>
        <v>0</v>
      </c>
      <c r="G31" s="537">
        <f t="shared" si="39"/>
        <v>20</v>
      </c>
      <c r="H31" s="551" cm="1">
        <f t="array" ref="H31">SUMPRODUCT(--(Category="Gr_Cat_1"),--(OpCo="Ground"),--(Intl="International"),--(SC_Name=$A31),(SC_Count))</f>
        <v>0</v>
      </c>
      <c r="I31" s="537">
        <f t="shared" si="40"/>
        <v>0</v>
      </c>
      <c r="J31" s="537">
        <f t="shared" si="24"/>
        <v>0</v>
      </c>
      <c r="K31" s="537">
        <f t="shared" si="41"/>
        <v>0</v>
      </c>
      <c r="L31" s="545" cm="1">
        <f t="array" ref="L31">SUMPRODUCT(--(D_Category="Gr_Cat_2"),--(D_EffDate="Eff_Date_1"),--(D_Product="IG"),--(D_Zone="ALL"),--(D_SC_Name=$A31),(D_Percent))</f>
        <v>0</v>
      </c>
      <c r="M31" s="545" cm="1">
        <f t="array" ref="M31">SUMPRODUCT(--(D_Category="Gr_Cat_2"),--(D_EffDate="Eff_Date_2"),--(D_Product="IG"),--(D_Zone="ALL"),--(D_SC_Name= $A31),(D_Percent))</f>
        <v>0</v>
      </c>
      <c r="N31" s="537">
        <f t="shared" si="42"/>
        <v>20</v>
      </c>
      <c r="O31" s="540">
        <f t="shared" si="27"/>
        <v>0</v>
      </c>
      <c r="P31" s="151">
        <f t="shared" si="43"/>
        <v>20</v>
      </c>
      <c r="Q31" s="551" cm="1">
        <f t="array" ref="Q31">SUMPRODUCT(--(Category="Gr_Cat_2"),--(OpCo="Ground"),--(Intl="International"),--(SC_Name=$A31),(SC_Count))</f>
        <v>0</v>
      </c>
      <c r="R31" s="151">
        <f t="shared" si="44"/>
        <v>0</v>
      </c>
      <c r="S31" s="151">
        <f t="shared" si="30"/>
        <v>0</v>
      </c>
      <c r="T31" s="151">
        <f t="shared" si="45"/>
        <v>0</v>
      </c>
      <c r="U31" s="546" cm="1">
        <f t="array" ref="U31">SUMPRODUCT(--(D_Category="Gr_Cat_3"),--(D_EffDate="Eff_Date_1"),--(D_Product="IG"),--(D_Zone="ALL"),--(D_SC_Name=$A31),(D_Percent))</f>
        <v>0</v>
      </c>
      <c r="V31" s="546" cm="1">
        <f t="array" ref="V31">SUMPRODUCT(--(D_Category="Gr_Cat_3"),--(D_EffDate="Eff_Date_2"),--(D_Product="IG"),--(D_Zone="ALL"),--(D_SC_Name= $A31),(D_Percent))</f>
        <v>0</v>
      </c>
      <c r="W31" s="540">
        <f t="shared" si="46"/>
        <v>20</v>
      </c>
      <c r="X31" s="540">
        <f t="shared" si="33"/>
        <v>0</v>
      </c>
      <c r="Y31" s="151">
        <f t="shared" si="47"/>
        <v>20</v>
      </c>
      <c r="Z31" s="551" cm="1">
        <f t="array" ref="Z31">SUMPRODUCT(--(Category="Gr_Cat_3"),--(OpCo="Ground"),--(Intl="International"),--(SC_Name=$A31),(SC_Count))</f>
        <v>0</v>
      </c>
      <c r="AA31" s="537">
        <f t="shared" si="48"/>
        <v>0</v>
      </c>
      <c r="AB31" s="540">
        <f t="shared" si="36"/>
        <v>0</v>
      </c>
      <c r="AC31" s="540">
        <f t="shared" si="49"/>
        <v>0</v>
      </c>
    </row>
    <row r="32" spans="1:29" x14ac:dyDescent="0.35">
      <c r="A32" s="522" t="s">
        <v>1850</v>
      </c>
      <c r="B32" s="537"/>
      <c r="C32" s="235" cm="1">
        <f t="array" ref="C32">SUMPRODUCT(--(D_Category="Gr_Cat_1"),--(D_EffDate="Eff_Date_1"),--(D_Product="IG"),--(D_Zone="ALL"),--(D_SC_Name=$A32),(D_Percent))</f>
        <v>0</v>
      </c>
      <c r="D32" s="235" cm="1">
        <f t="array" ref="D32">SUMPRODUCT(--(D_Category="Gr_Cat_1"),--(D_EffDate="Eff_Date_2"),--(D_Product="IG"),--(D_Zone="ALL"),--(D_SC_Name= $A32),(D_Percent))</f>
        <v>0</v>
      </c>
      <c r="E32" s="537">
        <f t="shared" si="38"/>
        <v>0</v>
      </c>
      <c r="F32" s="537">
        <f t="shared" si="21"/>
        <v>0</v>
      </c>
      <c r="G32" s="537">
        <f t="shared" si="39"/>
        <v>0</v>
      </c>
      <c r="H32" s="551" cm="1">
        <f t="array" ref="H32">SUMPRODUCT(--(Category="Gr_Cat_1"),--(OpCo="Ground"),--(Intl="International"),--(SC_Name=$A32),(SC_Count))</f>
        <v>0</v>
      </c>
      <c r="I32" s="537">
        <f t="shared" si="40"/>
        <v>0</v>
      </c>
      <c r="J32" s="537">
        <f t="shared" si="24"/>
        <v>0</v>
      </c>
      <c r="K32" s="537">
        <f t="shared" si="41"/>
        <v>0</v>
      </c>
      <c r="L32" s="545" cm="1">
        <f t="array" ref="L32">SUMPRODUCT(--(D_Category="Gr_Cat_2"),--(D_EffDate="Eff_Date_1"),--(D_Product="IG"),--(D_Zone="ALL"),--(D_SC_Name=$A32),(D_Percent))</f>
        <v>0</v>
      </c>
      <c r="M32" s="545" cm="1">
        <f t="array" ref="M32">SUMPRODUCT(--(D_Category="Gr_Cat_2"),--(D_EffDate="Eff_Date_2"),--(D_Product="IG"),--(D_Zone="ALL"),--(D_SC_Name= $A32),(D_Percent))</f>
        <v>0</v>
      </c>
      <c r="N32" s="537">
        <f t="shared" si="42"/>
        <v>0</v>
      </c>
      <c r="O32" s="540">
        <f t="shared" si="27"/>
        <v>0</v>
      </c>
      <c r="P32" s="151">
        <f t="shared" si="43"/>
        <v>0</v>
      </c>
      <c r="Q32" s="551" cm="1">
        <f t="array" ref="Q32">SUMPRODUCT(--(Category="Gr_Cat_2"),--(OpCo="Ground"),--(Intl="International"),--(SC_Name=$A32),(SC_Count))</f>
        <v>0</v>
      </c>
      <c r="R32" s="151">
        <f t="shared" si="44"/>
        <v>0</v>
      </c>
      <c r="S32" s="151">
        <f t="shared" si="30"/>
        <v>0</v>
      </c>
      <c r="T32" s="151">
        <f t="shared" si="45"/>
        <v>0</v>
      </c>
      <c r="U32" s="546" cm="1">
        <f t="array" ref="U32">SUMPRODUCT(--(D_Category="Gr_Cat_3"),--(D_EffDate="Eff_Date_1"),--(D_Product="IG"),--(D_Zone="ALL"),--(D_SC_Name=$A32),(D_Percent))</f>
        <v>0</v>
      </c>
      <c r="V32" s="546" cm="1">
        <f t="array" ref="V32">SUMPRODUCT(--(D_Category="Gr_Cat_3"),--(D_EffDate="Eff_Date_2"),--(D_Product="IG"),--(D_Zone="ALL"),--(D_SC_Name= $A32),(D_Percent))</f>
        <v>0</v>
      </c>
      <c r="W32" s="540">
        <f t="shared" si="46"/>
        <v>0</v>
      </c>
      <c r="X32" s="540">
        <f t="shared" si="33"/>
        <v>0</v>
      </c>
      <c r="Y32" s="151">
        <f t="shared" si="47"/>
        <v>0</v>
      </c>
      <c r="Z32" s="551" cm="1">
        <f t="array" ref="Z32">SUMPRODUCT(--(Category="Gr_Cat_3"),--(OpCo="Ground"),--(Intl="International"),--(SC_Name=$A32),(SC_Count))</f>
        <v>0</v>
      </c>
      <c r="AA32" s="537">
        <f t="shared" si="48"/>
        <v>0</v>
      </c>
      <c r="AB32" s="540">
        <f t="shared" si="36"/>
        <v>0</v>
      </c>
      <c r="AC32" s="540">
        <f t="shared" si="49"/>
        <v>0</v>
      </c>
    </row>
    <row r="33" spans="1:29" x14ac:dyDescent="0.35">
      <c r="A33" s="522" t="s">
        <v>1851</v>
      </c>
      <c r="B33" s="537"/>
      <c r="C33" s="235" cm="1">
        <f t="array" ref="C33">SUMPRODUCT(--(D_Category="Gr_Cat_1"),--(D_EffDate="Eff_Date_1"),--(D_Product="IG"),--(D_Zone="ALL"),--(D_SC_Name=$A33),(D_Percent))</f>
        <v>0</v>
      </c>
      <c r="D33" s="235" cm="1">
        <f t="array" ref="D33">SUMPRODUCT(--(D_Category="Gr_Cat_1"),--(D_EffDate="Eff_Date_2"),--(D_Product="IG"),--(D_Zone="ALL"),--(D_SC_Name= $A33),(D_Percent))</f>
        <v>0</v>
      </c>
      <c r="E33" s="537">
        <f t="shared" si="38"/>
        <v>0</v>
      </c>
      <c r="F33" s="537">
        <f t="shared" si="21"/>
        <v>0</v>
      </c>
      <c r="G33" s="537">
        <f t="shared" si="39"/>
        <v>0</v>
      </c>
      <c r="H33" s="551" cm="1">
        <f t="array" ref="H33">SUMPRODUCT(--(Category="Gr_Cat_1"),--(OpCo="Ground"),--(Intl="International"),--(SC_Name=$A33),(SC_Count))</f>
        <v>0</v>
      </c>
      <c r="I33" s="537">
        <f t="shared" si="40"/>
        <v>0</v>
      </c>
      <c r="J33" s="537">
        <f t="shared" si="24"/>
        <v>0</v>
      </c>
      <c r="K33" s="537">
        <f t="shared" si="41"/>
        <v>0</v>
      </c>
      <c r="L33" s="545" cm="1">
        <f t="array" ref="L33">SUMPRODUCT(--(D_Category="Gr_Cat_2"),--(D_EffDate="Eff_Date_1"),--(D_Product="IG"),--(D_Zone="ALL"),--(D_SC_Name=$A33),(D_Percent))</f>
        <v>0</v>
      </c>
      <c r="M33" s="545" cm="1">
        <f t="array" ref="M33">SUMPRODUCT(--(D_Category="Gr_Cat_2"),--(D_EffDate="Eff_Date_2"),--(D_Product="IG"),--(D_Zone="ALL"),--(D_SC_Name= $A33),(D_Percent))</f>
        <v>0</v>
      </c>
      <c r="N33" s="537">
        <f t="shared" si="42"/>
        <v>0</v>
      </c>
      <c r="O33" s="540">
        <f t="shared" si="27"/>
        <v>0</v>
      </c>
      <c r="P33" s="151">
        <f t="shared" si="43"/>
        <v>0</v>
      </c>
      <c r="Q33" s="551" cm="1">
        <f t="array" ref="Q33">SUMPRODUCT(--(Category="Gr_Cat_2"),--(OpCo="Ground"),--(Intl="International"),--(SC_Name=$A33),(SC_Count))</f>
        <v>0</v>
      </c>
      <c r="R33" s="151">
        <f t="shared" si="44"/>
        <v>0</v>
      </c>
      <c r="S33" s="151">
        <f t="shared" si="30"/>
        <v>0</v>
      </c>
      <c r="T33" s="151">
        <f t="shared" si="45"/>
        <v>0</v>
      </c>
      <c r="U33" s="546" cm="1">
        <f t="array" ref="U33">SUMPRODUCT(--(D_Category="Gr_Cat_3"),--(D_EffDate="Eff_Date_1"),--(D_Product="IG"),--(D_Zone="ALL"),--(D_SC_Name=$A33),(D_Percent))</f>
        <v>0</v>
      </c>
      <c r="V33" s="546" cm="1">
        <f t="array" ref="V33">SUMPRODUCT(--(D_Category="Gr_Cat_3"),--(D_EffDate="Eff_Date_2"),--(D_Product="IG"),--(D_Zone="ALL"),--(D_SC_Name= $A33),(D_Percent))</f>
        <v>0</v>
      </c>
      <c r="W33" s="540">
        <f t="shared" si="46"/>
        <v>0</v>
      </c>
      <c r="X33" s="540">
        <f t="shared" si="33"/>
        <v>0</v>
      </c>
      <c r="Y33" s="151">
        <f t="shared" si="47"/>
        <v>0</v>
      </c>
      <c r="Z33" s="551" cm="1">
        <f t="array" ref="Z33">SUMPRODUCT(--(Category="Gr_Cat_3"),--(OpCo="Ground"),--(Intl="International"),--(SC_Name=$A33),(SC_Count))</f>
        <v>0</v>
      </c>
      <c r="AA33" s="537">
        <f t="shared" si="48"/>
        <v>0</v>
      </c>
      <c r="AB33" s="540">
        <f t="shared" si="36"/>
        <v>0</v>
      </c>
      <c r="AC33" s="540">
        <f t="shared" si="49"/>
        <v>0</v>
      </c>
    </row>
    <row r="34" spans="1:29" x14ac:dyDescent="0.35">
      <c r="A34" s="522" t="s">
        <v>1852</v>
      </c>
      <c r="B34" s="537"/>
      <c r="C34" s="235" cm="1">
        <f t="array" ref="C34">SUMPRODUCT(--(D_Category="Gr_Cat_1"),--(D_EffDate="Eff_Date_1"),--(D_Product="IG"),--(D_Zone="ALL"),--(D_SC_Name=$A34),(D_Percent))</f>
        <v>0</v>
      </c>
      <c r="D34" s="235" cm="1">
        <f t="array" ref="D34">SUMPRODUCT(--(D_Category="Gr_Cat_1"),--(D_EffDate="Eff_Date_2"),--(D_Product="IG"),--(D_Zone="ALL"),--(D_SC_Name= $A34),(D_Percent))</f>
        <v>0</v>
      </c>
      <c r="E34" s="537">
        <f t="shared" si="38"/>
        <v>0</v>
      </c>
      <c r="F34" s="537">
        <f t="shared" si="21"/>
        <v>0</v>
      </c>
      <c r="G34" s="537">
        <f t="shared" si="39"/>
        <v>0</v>
      </c>
      <c r="H34" s="551" cm="1">
        <f t="array" ref="H34">SUMPRODUCT(--(Category="Gr_Cat_1"),--(OpCo="Ground"),--(Intl="International"),--(SC_Name=$A34),(SC_Count))</f>
        <v>0</v>
      </c>
      <c r="I34" s="537">
        <f t="shared" si="40"/>
        <v>0</v>
      </c>
      <c r="J34" s="537">
        <f t="shared" si="24"/>
        <v>0</v>
      </c>
      <c r="K34" s="537">
        <f t="shared" si="41"/>
        <v>0</v>
      </c>
      <c r="L34" s="545" cm="1">
        <f t="array" ref="L34">SUMPRODUCT(--(D_Category="Gr_Cat_2"),--(D_EffDate="Eff_Date_1"),--(D_Product="IG"),--(D_Zone="ALL"),--(D_SC_Name=$A34),(D_Percent))</f>
        <v>0</v>
      </c>
      <c r="M34" s="545" cm="1">
        <f t="array" ref="M34">SUMPRODUCT(--(D_Category="Gr_Cat_2"),--(D_EffDate="Eff_Date_2"),--(D_Product="IG"),--(D_Zone="ALL"),--(D_SC_Name= $A34),(D_Percent))</f>
        <v>0</v>
      </c>
      <c r="N34" s="537">
        <f t="shared" si="42"/>
        <v>0</v>
      </c>
      <c r="O34" s="540">
        <f t="shared" si="27"/>
        <v>0</v>
      </c>
      <c r="P34" s="151">
        <f t="shared" si="43"/>
        <v>0</v>
      </c>
      <c r="Q34" s="551" cm="1">
        <f t="array" ref="Q34">SUMPRODUCT(--(Category="Gr_Cat_2"),--(OpCo="Ground"),--(Intl="International"),--(SC_Name=$A34),(SC_Count))</f>
        <v>0</v>
      </c>
      <c r="R34" s="151">
        <f t="shared" si="44"/>
        <v>0</v>
      </c>
      <c r="S34" s="151">
        <f t="shared" si="30"/>
        <v>0</v>
      </c>
      <c r="T34" s="151">
        <f t="shared" si="45"/>
        <v>0</v>
      </c>
      <c r="U34" s="546" cm="1">
        <f t="array" ref="U34">SUMPRODUCT(--(D_Category="Gr_Cat_3"),--(D_EffDate="Eff_Date_1"),--(D_Product="IG"),--(D_Zone="ALL"),--(D_SC_Name=$A34),(D_Percent))</f>
        <v>0</v>
      </c>
      <c r="V34" s="546" cm="1">
        <f t="array" ref="V34">SUMPRODUCT(--(D_Category="Gr_Cat_3"),--(D_EffDate="Eff_Date_2"),--(D_Product="IG"),--(D_Zone="ALL"),--(D_SC_Name= $A34),(D_Percent))</f>
        <v>0</v>
      </c>
      <c r="W34" s="540">
        <f t="shared" si="46"/>
        <v>0</v>
      </c>
      <c r="X34" s="540">
        <f t="shared" si="33"/>
        <v>0</v>
      </c>
      <c r="Y34" s="151">
        <f t="shared" si="47"/>
        <v>0</v>
      </c>
      <c r="Z34" s="551" cm="1">
        <f t="array" ref="Z34">SUMPRODUCT(--(Category="Gr_Cat_3"),--(OpCo="Ground"),--(Intl="International"),--(SC_Name=$A34),(SC_Count))</f>
        <v>0</v>
      </c>
      <c r="AA34" s="537">
        <f t="shared" si="48"/>
        <v>0</v>
      </c>
      <c r="AB34" s="540">
        <f t="shared" si="36"/>
        <v>0</v>
      </c>
      <c r="AC34" s="540">
        <f t="shared" si="49"/>
        <v>0</v>
      </c>
    </row>
    <row r="35" spans="1:29" x14ac:dyDescent="0.35">
      <c r="A35" s="525"/>
      <c r="B35" s="537"/>
      <c r="C35" s="235"/>
      <c r="D35" s="235"/>
      <c r="E35" s="537"/>
      <c r="F35" s="537"/>
      <c r="G35" s="537"/>
      <c r="H35" s="551"/>
      <c r="I35" s="537"/>
      <c r="J35" s="537"/>
      <c r="K35" s="537"/>
      <c r="L35" s="545"/>
      <c r="M35" s="545"/>
      <c r="N35" s="537"/>
      <c r="O35" s="540"/>
      <c r="P35" s="540"/>
      <c r="Q35" s="551"/>
      <c r="R35" s="537"/>
      <c r="S35" s="537"/>
      <c r="T35" s="537"/>
      <c r="U35" s="546"/>
      <c r="V35" s="546"/>
      <c r="W35" s="540"/>
      <c r="X35" s="540"/>
      <c r="Y35" s="540"/>
      <c r="Z35" s="551"/>
      <c r="AA35" s="537"/>
      <c r="AB35" s="540"/>
      <c r="AC35" s="540"/>
    </row>
    <row r="36" spans="1:29" x14ac:dyDescent="0.35">
      <c r="A36" s="526" t="s">
        <v>1853</v>
      </c>
      <c r="B36" s="538"/>
      <c r="C36" s="235"/>
      <c r="D36" s="235"/>
      <c r="E36" s="537"/>
      <c r="F36" s="537"/>
      <c r="G36" s="537"/>
      <c r="H36" s="551"/>
      <c r="I36" s="537"/>
      <c r="J36" s="537"/>
      <c r="K36" s="537"/>
      <c r="L36" s="545"/>
      <c r="M36" s="545"/>
      <c r="N36" s="537"/>
      <c r="O36" s="540"/>
      <c r="P36" s="540"/>
      <c r="Q36" s="551"/>
      <c r="R36" s="537"/>
      <c r="S36" s="537"/>
      <c r="T36" s="537"/>
      <c r="U36" s="546"/>
      <c r="V36" s="546"/>
      <c r="W36" s="540"/>
      <c r="X36" s="540"/>
      <c r="Y36" s="540"/>
      <c r="Z36" s="551"/>
      <c r="AA36" s="537"/>
      <c r="AB36" s="540"/>
      <c r="AC36" s="540"/>
    </row>
    <row r="37" spans="1:29" x14ac:dyDescent="0.35">
      <c r="A37" s="525" t="s">
        <v>1854</v>
      </c>
      <c r="B37" s="537">
        <v>5.3</v>
      </c>
      <c r="C37" s="235" cm="1">
        <f t="array" ref="C37">SUMPRODUCT(--(D_Category="Gr_Cat_1"),--(D_EffDate="Eff_Date_1"),--(D_Product="IG"),--(D_Zone="ALL"),--(D_SC_Name=$A37),(D_Percent))</f>
        <v>0</v>
      </c>
      <c r="D37" s="235" cm="1">
        <f t="array" ref="D37">SUMPRODUCT(--(D_Category="Gr_Cat_1"),--(D_EffDate="Eff_Date_2"),--(D_Product="IG"),--(D_Zone="ALL"),--(D_SC_Name= $A37),(D_Percent))</f>
        <v>0</v>
      </c>
      <c r="E37" s="537">
        <f t="shared" ref="E37" si="50">ROUND(($B37*(1-C37)),2)</f>
        <v>5.3</v>
      </c>
      <c r="F37" s="537">
        <f t="shared" ref="F37:F42" si="51">G37-E37</f>
        <v>0</v>
      </c>
      <c r="G37" s="537">
        <f t="shared" ref="G37" si="52">ROUND(($B37*(1-D37)),2)</f>
        <v>5.3</v>
      </c>
      <c r="H37" s="551" cm="1">
        <f t="array" ref="H37">SUMPRODUCT(--(Category="Gr_Cat_1"),--(OpCo="Ground"),--(Intl="International"),--(SC_Name=$A37),(SC_Count))</f>
        <v>0</v>
      </c>
      <c r="I37" s="537">
        <f t="shared" ref="I37" si="53">H37*E37</f>
        <v>0</v>
      </c>
      <c r="J37" s="537">
        <f t="shared" ref="J37:J42" si="54">K37-I37</f>
        <v>0</v>
      </c>
      <c r="K37" s="537">
        <f t="shared" ref="K37" si="55">H37*G37</f>
        <v>0</v>
      </c>
      <c r="L37" s="545" cm="1">
        <f t="array" ref="L37">SUMPRODUCT(--(D_Category="Gr_Cat_2"),--(D_EffDate="Eff_Date_1"),--(D_Product="IG"),--(D_Zone="ALL"),--(D_SC_Name=$A37),(D_Percent))</f>
        <v>0</v>
      </c>
      <c r="M37" s="545" cm="1">
        <f t="array" ref="M37">SUMPRODUCT(--(D_Category="Gr_Cat_2"),--(D_EffDate="Eff_Date_2"),--(D_Product="IG"),--(D_Zone="ALL"),--(D_SC_Name= $A37),(D_Percent))</f>
        <v>0</v>
      </c>
      <c r="N37" s="537">
        <f t="shared" ref="N37" si="56">ROUND(($B37*(1-L37)),2)</f>
        <v>5.3</v>
      </c>
      <c r="O37" s="540">
        <f t="shared" ref="O37:O42" si="57">P37-N37</f>
        <v>0</v>
      </c>
      <c r="P37" s="151">
        <f t="shared" ref="P37" si="58">ROUND(($B37*(1-M37)),2)</f>
        <v>5.3</v>
      </c>
      <c r="Q37" s="551" cm="1">
        <f t="array" ref="Q37">SUMPRODUCT(--(Category="Gr_Cat_2"),--(OpCo="Ground"),--(Intl="International"),--(SC_Name=$A37),(SC_Count))</f>
        <v>0</v>
      </c>
      <c r="R37" s="151">
        <f t="shared" ref="R37" si="59">Q37*N37</f>
        <v>0</v>
      </c>
      <c r="S37" s="151">
        <f t="shared" ref="S37:S42" si="60">T37-R37</f>
        <v>0</v>
      </c>
      <c r="T37" s="151">
        <f t="shared" ref="T37" si="61">Q37*P37</f>
        <v>0</v>
      </c>
      <c r="U37" s="546" cm="1">
        <f t="array" ref="U37">SUMPRODUCT(--(D_Category="Gr_Cat_3"),--(D_EffDate="Eff_Date_1"),--(D_Product="IG"),--(D_Zone="ALL"),--(D_SC_Name=$A37),(D_Percent))</f>
        <v>0</v>
      </c>
      <c r="V37" s="546" cm="1">
        <f t="array" ref="V37">SUMPRODUCT(--(D_Category="Gr_Cat_3"),--(D_EffDate="Eff_Date_2"),--(D_Product="IG"),--(D_Zone="ALL"),--(D_SC_Name= $A37),(D_Percent))</f>
        <v>0</v>
      </c>
      <c r="W37" s="540">
        <f t="shared" ref="W37" si="62">ROUND(($B37*(1-U37)),2)</f>
        <v>5.3</v>
      </c>
      <c r="X37" s="540">
        <f t="shared" ref="X37:X42" si="63">Y37-W37</f>
        <v>0</v>
      </c>
      <c r="Y37" s="151">
        <f t="shared" ref="Y37" si="64">ROUND(($B37*(1-V37)),2)</f>
        <v>5.3</v>
      </c>
      <c r="Z37" s="551" cm="1">
        <f t="array" ref="Z37">SUMPRODUCT(--(Category="Gr_Cat_3"),--(OpCo="Ground"),--(Intl="International"),--(SC_Name=$A37),(SC_Count))</f>
        <v>0</v>
      </c>
      <c r="AA37" s="537">
        <f t="shared" ref="AA37" si="65">Z37*W37</f>
        <v>0</v>
      </c>
      <c r="AB37" s="540">
        <f t="shared" ref="AB37:AB42" si="66">AC37-AA37</f>
        <v>0</v>
      </c>
      <c r="AC37" s="540">
        <f t="shared" ref="AC37" si="67">Z37*Y37</f>
        <v>0</v>
      </c>
    </row>
    <row r="38" spans="1:29" x14ac:dyDescent="0.35">
      <c r="A38" s="525" t="s">
        <v>1855</v>
      </c>
      <c r="B38" s="537"/>
      <c r="C38" s="235" cm="1">
        <f t="array" ref="C38">SUMPRODUCT(--(D_Category="Gr_Cat_1"),--(D_EffDate="Eff_Date_1"),--(D_Product="IG"),--(D_Zone="ALL"),--(D_SC_Name=$A38),(D_Percent))</f>
        <v>0</v>
      </c>
      <c r="D38" s="235" cm="1">
        <f t="array" ref="D38">SUMPRODUCT(--(D_Category="Gr_Cat_1"),--(D_EffDate="Eff_Date_2"),--(D_Product="IG"),--(D_Zone="ALL"),--(D_SC_Name= $A38),(D_Percent))</f>
        <v>0</v>
      </c>
      <c r="E38" s="537">
        <f t="shared" ref="E38:E42" si="68">ROUND(($B38*(1-C38)),2)</f>
        <v>0</v>
      </c>
      <c r="F38" s="537">
        <f t="shared" si="51"/>
        <v>0</v>
      </c>
      <c r="G38" s="537">
        <f t="shared" ref="G38:G42" si="69">ROUND(($B38*(1-D38)),2)</f>
        <v>0</v>
      </c>
      <c r="H38" s="551" cm="1">
        <f t="array" ref="H38">SUMPRODUCT(--(Category="Gr_Cat_1"),--(OpCo="Ground"),--(Intl="International"),--(SC_Name=$A38),(SC_Count))</f>
        <v>0</v>
      </c>
      <c r="I38" s="537">
        <f t="shared" ref="I38:I42" si="70">H38*E38</f>
        <v>0</v>
      </c>
      <c r="J38" s="537">
        <f t="shared" si="54"/>
        <v>0</v>
      </c>
      <c r="K38" s="537">
        <f t="shared" ref="K38:K42" si="71">H38*G38</f>
        <v>0</v>
      </c>
      <c r="L38" s="545" cm="1">
        <f t="array" ref="L38">SUMPRODUCT(--(D_Category="Gr_Cat_2"),--(D_EffDate="Eff_Date_1"),--(D_Product="IG"),--(D_Zone="ALL"),--(D_SC_Name=$A38),(D_Percent))</f>
        <v>0</v>
      </c>
      <c r="M38" s="545" cm="1">
        <f t="array" ref="M38">SUMPRODUCT(--(D_Category="Gr_Cat_2"),--(D_EffDate="Eff_Date_2"),--(D_Product="IG"),--(D_Zone="ALL"),--(D_SC_Name= $A38),(D_Percent))</f>
        <v>0</v>
      </c>
      <c r="N38" s="537">
        <f t="shared" ref="N38:N42" si="72">ROUND(($B38*(1-L38)),2)</f>
        <v>0</v>
      </c>
      <c r="O38" s="540">
        <f t="shared" si="57"/>
        <v>0</v>
      </c>
      <c r="P38" s="151">
        <f t="shared" ref="P38:P42" si="73">ROUND(($B38*(1-M38)),2)</f>
        <v>0</v>
      </c>
      <c r="Q38" s="551" cm="1">
        <f t="array" ref="Q38">SUMPRODUCT(--(Category="Gr_Cat_2"),--(OpCo="Ground"),--(Intl="International"),--(SC_Name=$A38),(SC_Count))</f>
        <v>0</v>
      </c>
      <c r="R38" s="151">
        <f t="shared" ref="R38:R42" si="74">Q38*N38</f>
        <v>0</v>
      </c>
      <c r="S38" s="151">
        <f t="shared" si="60"/>
        <v>0</v>
      </c>
      <c r="T38" s="151">
        <f t="shared" ref="T38:T42" si="75">Q38*P38</f>
        <v>0</v>
      </c>
      <c r="U38" s="546" cm="1">
        <f t="array" ref="U38">SUMPRODUCT(--(D_Category="Gr_Cat_3"),--(D_EffDate="Eff_Date_1"),--(D_Product="IG"),--(D_Zone="ALL"),--(D_SC_Name=$A38),(D_Percent))</f>
        <v>0</v>
      </c>
      <c r="V38" s="546" cm="1">
        <f t="array" ref="V38">SUMPRODUCT(--(D_Category="Gr_Cat_3"),--(D_EffDate="Eff_Date_2"),--(D_Product="IG"),--(D_Zone="ALL"),--(D_SC_Name= $A38),(D_Percent))</f>
        <v>0</v>
      </c>
      <c r="W38" s="540">
        <f t="shared" ref="W38:W42" si="76">ROUND(($B38*(1-U38)),2)</f>
        <v>0</v>
      </c>
      <c r="X38" s="540">
        <f t="shared" si="63"/>
        <v>0</v>
      </c>
      <c r="Y38" s="151">
        <f t="shared" ref="Y38:Y42" si="77">ROUND(($B38*(1-V38)),2)</f>
        <v>0</v>
      </c>
      <c r="Z38" s="551" cm="1">
        <f t="array" ref="Z38">SUMPRODUCT(--(Category="Gr_Cat_3"),--(OpCo="Ground"),--(Intl="International"),--(SC_Name=$A38),(SC_Count))</f>
        <v>0</v>
      </c>
      <c r="AA38" s="537">
        <f t="shared" ref="AA38:AA42" si="78">Z38*W38</f>
        <v>0</v>
      </c>
      <c r="AB38" s="540">
        <f t="shared" si="66"/>
        <v>0</v>
      </c>
      <c r="AC38" s="540">
        <f t="shared" ref="AC38:AC42" si="79">Z38*Y38</f>
        <v>0</v>
      </c>
    </row>
    <row r="39" spans="1:29" x14ac:dyDescent="0.35">
      <c r="A39" s="525" t="s">
        <v>1856</v>
      </c>
      <c r="B39" s="537"/>
      <c r="C39" s="235" cm="1">
        <f t="array" ref="C39">SUMPRODUCT(--(D_Category="Gr_Cat_1"),--(D_EffDate="Eff_Date_1"),--(D_Product="IG"),--(D_Zone="ALL"),--(D_SC_Name=$A39),(D_Percent))</f>
        <v>0</v>
      </c>
      <c r="D39" s="235" cm="1">
        <f t="array" ref="D39">SUMPRODUCT(--(D_Category="Gr_Cat_1"),--(D_EffDate="Eff_Date_2"),--(D_Product="IG"),--(D_Zone="ALL"),--(D_SC_Name= $A39),(D_Percent))</f>
        <v>0</v>
      </c>
      <c r="E39" s="537">
        <f t="shared" si="68"/>
        <v>0</v>
      </c>
      <c r="F39" s="537">
        <f t="shared" si="51"/>
        <v>0</v>
      </c>
      <c r="G39" s="537">
        <f t="shared" si="69"/>
        <v>0</v>
      </c>
      <c r="H39" s="551" cm="1">
        <f t="array" ref="H39">SUMPRODUCT(--(Category="Gr_Cat_1"),--(OpCo="Ground"),--(Intl="International"),--(SC_Name=$A39),(SC_Count))</f>
        <v>0</v>
      </c>
      <c r="I39" s="537">
        <f t="shared" si="70"/>
        <v>0</v>
      </c>
      <c r="J39" s="537">
        <f t="shared" si="54"/>
        <v>0</v>
      </c>
      <c r="K39" s="537">
        <f t="shared" si="71"/>
        <v>0</v>
      </c>
      <c r="L39" s="545" cm="1">
        <f t="array" ref="L39">SUMPRODUCT(--(D_Category="Gr_Cat_2"),--(D_EffDate="Eff_Date_1"),--(D_Product="IG"),--(D_Zone="ALL"),--(D_SC_Name=$A39),(D_Percent))</f>
        <v>0</v>
      </c>
      <c r="M39" s="545" cm="1">
        <f t="array" ref="M39">SUMPRODUCT(--(D_Category="Gr_Cat_2"),--(D_EffDate="Eff_Date_2"),--(D_Product="IG"),--(D_Zone="ALL"),--(D_SC_Name= $A39),(D_Percent))</f>
        <v>0</v>
      </c>
      <c r="N39" s="537">
        <f t="shared" si="72"/>
        <v>0</v>
      </c>
      <c r="O39" s="540">
        <f t="shared" si="57"/>
        <v>0</v>
      </c>
      <c r="P39" s="151">
        <f t="shared" si="73"/>
        <v>0</v>
      </c>
      <c r="Q39" s="551" cm="1">
        <f t="array" ref="Q39">SUMPRODUCT(--(Category="Gr_Cat_2"),--(OpCo="Ground"),--(Intl="International"),--(SC_Name=$A39),(SC_Count))</f>
        <v>0</v>
      </c>
      <c r="R39" s="151">
        <f t="shared" si="74"/>
        <v>0</v>
      </c>
      <c r="S39" s="151">
        <f t="shared" si="60"/>
        <v>0</v>
      </c>
      <c r="T39" s="151">
        <f t="shared" si="75"/>
        <v>0</v>
      </c>
      <c r="U39" s="546" cm="1">
        <f t="array" ref="U39">SUMPRODUCT(--(D_Category="Gr_Cat_3"),--(D_EffDate="Eff_Date_1"),--(D_Product="IG"),--(D_Zone="ALL"),--(D_SC_Name=$A39),(D_Percent))</f>
        <v>0</v>
      </c>
      <c r="V39" s="546" cm="1">
        <f t="array" ref="V39">SUMPRODUCT(--(D_Category="Gr_Cat_3"),--(D_EffDate="Eff_Date_2"),--(D_Product="IG"),--(D_Zone="ALL"),--(D_SC_Name= $A39),(D_Percent))</f>
        <v>0</v>
      </c>
      <c r="W39" s="540">
        <f t="shared" si="76"/>
        <v>0</v>
      </c>
      <c r="X39" s="540">
        <f t="shared" si="63"/>
        <v>0</v>
      </c>
      <c r="Y39" s="151">
        <f t="shared" si="77"/>
        <v>0</v>
      </c>
      <c r="Z39" s="551" cm="1">
        <f t="array" ref="Z39">SUMPRODUCT(--(Category="Gr_Cat_3"),--(OpCo="Ground"),--(Intl="International"),--(SC_Name=$A39),(SC_Count))</f>
        <v>0</v>
      </c>
      <c r="AA39" s="537">
        <f t="shared" si="78"/>
        <v>0</v>
      </c>
      <c r="AB39" s="540">
        <f t="shared" si="66"/>
        <v>0</v>
      </c>
      <c r="AC39" s="540">
        <f t="shared" si="79"/>
        <v>0</v>
      </c>
    </row>
    <row r="40" spans="1:29" x14ac:dyDescent="0.35">
      <c r="A40" s="525" t="s">
        <v>1857</v>
      </c>
      <c r="B40" s="537">
        <v>120</v>
      </c>
      <c r="C40" s="235" cm="1">
        <f t="array" ref="C40">SUMPRODUCT(--(D_Category="Gr_Cat_1"),--(D_EffDate="Eff_Date_1"),--(D_Product="IG"),--(D_Zone="ALL"),--(D_SC_Name=$A40),(D_Percent))</f>
        <v>0</v>
      </c>
      <c r="D40" s="235" cm="1">
        <f t="array" ref="D40">SUMPRODUCT(--(D_Category="Gr_Cat_1"),--(D_EffDate="Eff_Date_2"),--(D_Product="IG"),--(D_Zone="ALL"),--(D_SC_Name= $A40),(D_Percent))</f>
        <v>0</v>
      </c>
      <c r="E40" s="537">
        <f t="shared" si="68"/>
        <v>120</v>
      </c>
      <c r="F40" s="537">
        <f t="shared" si="51"/>
        <v>0</v>
      </c>
      <c r="G40" s="537">
        <f t="shared" si="69"/>
        <v>120</v>
      </c>
      <c r="H40" s="551" cm="1">
        <f t="array" ref="H40">SUMPRODUCT(--(Category="Gr_Cat_1"),--(OpCo="Ground"),--(Intl="International"),--(SC_Name=$A40),(SC_Count))</f>
        <v>0</v>
      </c>
      <c r="I40" s="537">
        <f t="shared" si="70"/>
        <v>0</v>
      </c>
      <c r="J40" s="537">
        <f t="shared" si="54"/>
        <v>0</v>
      </c>
      <c r="K40" s="537">
        <f t="shared" si="71"/>
        <v>0</v>
      </c>
      <c r="L40" s="545" cm="1">
        <f t="array" ref="L40">SUMPRODUCT(--(D_Category="Gr_Cat_2"),--(D_EffDate="Eff_Date_1"),--(D_Product="IG"),--(D_Zone="ALL"),--(D_SC_Name=$A40),(D_Percent))</f>
        <v>0</v>
      </c>
      <c r="M40" s="545" cm="1">
        <f t="array" ref="M40">SUMPRODUCT(--(D_Category="Gr_Cat_2"),--(D_EffDate="Eff_Date_2"),--(D_Product="IG"),--(D_Zone="ALL"),--(D_SC_Name= $A40),(D_Percent))</f>
        <v>0</v>
      </c>
      <c r="N40" s="537">
        <f t="shared" si="72"/>
        <v>120</v>
      </c>
      <c r="O40" s="540">
        <f t="shared" si="57"/>
        <v>0</v>
      </c>
      <c r="P40" s="151">
        <f t="shared" si="73"/>
        <v>120</v>
      </c>
      <c r="Q40" s="551" cm="1">
        <f t="array" ref="Q40">SUMPRODUCT(--(Category="Gr_Cat_2"),--(OpCo="Ground"),--(Intl="International"),--(SC_Name=$A40),(SC_Count))</f>
        <v>0</v>
      </c>
      <c r="R40" s="151">
        <f t="shared" si="74"/>
        <v>0</v>
      </c>
      <c r="S40" s="151">
        <f t="shared" si="60"/>
        <v>0</v>
      </c>
      <c r="T40" s="151">
        <f t="shared" si="75"/>
        <v>0</v>
      </c>
      <c r="U40" s="546" cm="1">
        <f t="array" ref="U40">SUMPRODUCT(--(D_Category="Gr_Cat_3"),--(D_EffDate="Eff_Date_1"),--(D_Product="IG"),--(D_Zone="ALL"),--(D_SC_Name=$A40),(D_Percent))</f>
        <v>0</v>
      </c>
      <c r="V40" s="546" cm="1">
        <f t="array" ref="V40">SUMPRODUCT(--(D_Category="Gr_Cat_3"),--(D_EffDate="Eff_Date_2"),--(D_Product="IG"),--(D_Zone="ALL"),--(D_SC_Name= $A40),(D_Percent))</f>
        <v>0</v>
      </c>
      <c r="W40" s="540">
        <f t="shared" si="76"/>
        <v>120</v>
      </c>
      <c r="X40" s="540">
        <f t="shared" si="63"/>
        <v>0</v>
      </c>
      <c r="Y40" s="151">
        <f t="shared" si="77"/>
        <v>120</v>
      </c>
      <c r="Z40" s="551" cm="1">
        <f t="array" ref="Z40">SUMPRODUCT(--(Category="Gr_Cat_3"),--(OpCo="Ground"),--(Intl="International"),--(SC_Name=$A40),(SC_Count))</f>
        <v>0</v>
      </c>
      <c r="AA40" s="537">
        <f t="shared" si="78"/>
        <v>0</v>
      </c>
      <c r="AB40" s="540">
        <f t="shared" si="66"/>
        <v>0</v>
      </c>
      <c r="AC40" s="540">
        <f t="shared" si="79"/>
        <v>0</v>
      </c>
    </row>
    <row r="41" spans="1:29" x14ac:dyDescent="0.35">
      <c r="A41" s="525" t="s">
        <v>1858</v>
      </c>
      <c r="B41" s="537">
        <v>16.5</v>
      </c>
      <c r="C41" s="235" cm="1">
        <f t="array" ref="C41">SUMPRODUCT(--(D_Category="Gr_Cat_1"),--(D_EffDate="Eff_Date_1"),--(D_Product="IG"),--(D_Zone="ALL"),--(D_SC_Name=$A41),(D_Percent))</f>
        <v>0</v>
      </c>
      <c r="D41" s="235" cm="1">
        <f t="array" ref="D41">SUMPRODUCT(--(D_Category="Gr_Cat_1"),--(D_EffDate="Eff_Date_2"),--(D_Product="IG"),--(D_Zone="ALL"),--(D_SC_Name= $A41),(D_Percent))</f>
        <v>0</v>
      </c>
      <c r="E41" s="537">
        <f t="shared" si="68"/>
        <v>16.5</v>
      </c>
      <c r="F41" s="537">
        <f t="shared" si="51"/>
        <v>0</v>
      </c>
      <c r="G41" s="537">
        <f t="shared" si="69"/>
        <v>16.5</v>
      </c>
      <c r="H41" s="551" cm="1">
        <f t="array" ref="H41">SUMPRODUCT(--(Category="Gr_Cat_1"),--(OpCo="Ground"),--(Intl="International"),--(SC_Name=$A41),(SC_Count))</f>
        <v>0</v>
      </c>
      <c r="I41" s="537">
        <f t="shared" si="70"/>
        <v>0</v>
      </c>
      <c r="J41" s="537">
        <f t="shared" si="54"/>
        <v>0</v>
      </c>
      <c r="K41" s="537">
        <f t="shared" si="71"/>
        <v>0</v>
      </c>
      <c r="L41" s="545" cm="1">
        <f t="array" ref="L41">SUMPRODUCT(--(D_Category="Gr_Cat_2"),--(D_EffDate="Eff_Date_1"),--(D_Product="IG"),--(D_Zone="ALL"),--(D_SC_Name=$A41),(D_Percent))</f>
        <v>0</v>
      </c>
      <c r="M41" s="545" cm="1">
        <f t="array" ref="M41">SUMPRODUCT(--(D_Category="Gr_Cat_2"),--(D_EffDate="Eff_Date_2"),--(D_Product="IG"),--(D_Zone="ALL"),--(D_SC_Name= $A41),(D_Percent))</f>
        <v>0</v>
      </c>
      <c r="N41" s="537">
        <f t="shared" si="72"/>
        <v>16.5</v>
      </c>
      <c r="O41" s="540">
        <f t="shared" si="57"/>
        <v>0</v>
      </c>
      <c r="P41" s="151">
        <f t="shared" si="73"/>
        <v>16.5</v>
      </c>
      <c r="Q41" s="551" cm="1">
        <f t="array" ref="Q41">SUMPRODUCT(--(Category="Gr_Cat_2"),--(OpCo="Ground"),--(Intl="International"),--(SC_Name=$A41),(SC_Count))</f>
        <v>0</v>
      </c>
      <c r="R41" s="151">
        <f t="shared" si="74"/>
        <v>0</v>
      </c>
      <c r="S41" s="151">
        <f t="shared" si="60"/>
        <v>0</v>
      </c>
      <c r="T41" s="151">
        <f t="shared" si="75"/>
        <v>0</v>
      </c>
      <c r="U41" s="546" cm="1">
        <f t="array" ref="U41">SUMPRODUCT(--(D_Category="Gr_Cat_3"),--(D_EffDate="Eff_Date_1"),--(D_Product="IG"),--(D_Zone="ALL"),--(D_SC_Name=$A41),(D_Percent))</f>
        <v>0</v>
      </c>
      <c r="V41" s="546" cm="1">
        <f t="array" ref="V41">SUMPRODUCT(--(D_Category="Gr_Cat_3"),--(D_EffDate="Eff_Date_2"),--(D_Product="IG"),--(D_Zone="ALL"),--(D_SC_Name= $A41),(D_Percent))</f>
        <v>0</v>
      </c>
      <c r="W41" s="540">
        <f t="shared" si="76"/>
        <v>16.5</v>
      </c>
      <c r="X41" s="540">
        <f t="shared" si="63"/>
        <v>0</v>
      </c>
      <c r="Y41" s="151">
        <f t="shared" si="77"/>
        <v>16.5</v>
      </c>
      <c r="Z41" s="551" cm="1">
        <f t="array" ref="Z41">SUMPRODUCT(--(Category="Gr_Cat_3"),--(OpCo="Ground"),--(Intl="International"),--(SC_Name=$A41),(SC_Count))</f>
        <v>0</v>
      </c>
      <c r="AA41" s="537">
        <f t="shared" si="78"/>
        <v>0</v>
      </c>
      <c r="AB41" s="540">
        <f t="shared" si="66"/>
        <v>0</v>
      </c>
      <c r="AC41" s="540">
        <f t="shared" si="79"/>
        <v>0</v>
      </c>
    </row>
    <row r="42" spans="1:29" x14ac:dyDescent="0.35">
      <c r="A42" s="525" t="s">
        <v>1859</v>
      </c>
      <c r="B42" s="537">
        <v>0</v>
      </c>
      <c r="C42" s="235" cm="1">
        <f t="array" ref="C42">SUMPRODUCT(--(D_Category="Gr_Cat_1"),--(D_EffDate="Eff_Date_1"),--(D_Product="IG"),--(D_Zone="ALL"),--(D_SC_Name=$A42),(D_Percent))</f>
        <v>0</v>
      </c>
      <c r="D42" s="235" cm="1">
        <f t="array" ref="D42">SUMPRODUCT(--(D_Category="Gr_Cat_1"),--(D_EffDate="Eff_Date_2"),--(D_Product="IG"),--(D_Zone="ALL"),--(D_SC_Name= $A42),(D_Percent))</f>
        <v>0</v>
      </c>
      <c r="E42" s="537">
        <f t="shared" si="68"/>
        <v>0</v>
      </c>
      <c r="F42" s="537">
        <f t="shared" si="51"/>
        <v>0</v>
      </c>
      <c r="G42" s="537">
        <f t="shared" si="69"/>
        <v>0</v>
      </c>
      <c r="H42" s="551" cm="1">
        <f t="array" ref="H42">SUMPRODUCT(--(Category="Gr_Cat_1"),--(OpCo="Ground"),--(Intl="International"),--(SC_Name=$A42),(SC_Count))</f>
        <v>0</v>
      </c>
      <c r="I42" s="537">
        <f t="shared" si="70"/>
        <v>0</v>
      </c>
      <c r="J42" s="537">
        <f t="shared" si="54"/>
        <v>0</v>
      </c>
      <c r="K42" s="537">
        <f t="shared" si="71"/>
        <v>0</v>
      </c>
      <c r="L42" s="545" cm="1">
        <f t="array" ref="L42">SUMPRODUCT(--(D_Category="Gr_Cat_2"),--(D_EffDate="Eff_Date_1"),--(D_Product="IG"),--(D_Zone="ALL"),--(D_SC_Name=$A42),(D_Percent))</f>
        <v>0</v>
      </c>
      <c r="M42" s="545" cm="1">
        <f t="array" ref="M42">SUMPRODUCT(--(D_Category="Gr_Cat_2"),--(D_EffDate="Eff_Date_2"),--(D_Product="IG"),--(D_Zone="ALL"),--(D_SC_Name= $A42),(D_Percent))</f>
        <v>0</v>
      </c>
      <c r="N42" s="537">
        <f t="shared" si="72"/>
        <v>0</v>
      </c>
      <c r="O42" s="540">
        <f t="shared" si="57"/>
        <v>0</v>
      </c>
      <c r="P42" s="151">
        <f t="shared" si="73"/>
        <v>0</v>
      </c>
      <c r="Q42" s="551" cm="1">
        <f t="array" ref="Q42">SUMPRODUCT(--(Category="Gr_Cat_2"),--(OpCo="Ground"),--(Intl="International"),--(SC_Name=$A42),(SC_Count))</f>
        <v>0</v>
      </c>
      <c r="R42" s="151">
        <f t="shared" si="74"/>
        <v>0</v>
      </c>
      <c r="S42" s="151">
        <f t="shared" si="60"/>
        <v>0</v>
      </c>
      <c r="T42" s="151">
        <f t="shared" si="75"/>
        <v>0</v>
      </c>
      <c r="U42" s="546" cm="1">
        <f t="array" ref="U42">SUMPRODUCT(--(D_Category="Gr_Cat_3"),--(D_EffDate="Eff_Date_1"),--(D_Product="IG"),--(D_Zone="ALL"),--(D_SC_Name=$A42),(D_Percent))</f>
        <v>0</v>
      </c>
      <c r="V42" s="546" cm="1">
        <f t="array" ref="V42">SUMPRODUCT(--(D_Category="Gr_Cat_3"),--(D_EffDate="Eff_Date_2"),--(D_Product="IG"),--(D_Zone="ALL"),--(D_SC_Name= $A42),(D_Percent))</f>
        <v>0</v>
      </c>
      <c r="W42" s="540">
        <f t="shared" si="76"/>
        <v>0</v>
      </c>
      <c r="X42" s="540">
        <f t="shared" si="63"/>
        <v>0</v>
      </c>
      <c r="Y42" s="151">
        <f t="shared" si="77"/>
        <v>0</v>
      </c>
      <c r="Z42" s="551" cm="1">
        <f t="array" ref="Z42">SUMPRODUCT(--(Category="Gr_Cat_3"),--(OpCo="Ground"),--(Intl="International"),--(SC_Name=$A42),(SC_Count))</f>
        <v>0</v>
      </c>
      <c r="AA42" s="537">
        <f t="shared" si="78"/>
        <v>0</v>
      </c>
      <c r="AB42" s="540">
        <f t="shared" si="66"/>
        <v>0</v>
      </c>
      <c r="AC42" s="540">
        <f t="shared" si="79"/>
        <v>0</v>
      </c>
    </row>
    <row r="43" spans="1:29" x14ac:dyDescent="0.35">
      <c r="A43" s="541"/>
      <c r="B43" s="550"/>
      <c r="C43" s="544"/>
      <c r="D43" s="544"/>
      <c r="E43" s="550"/>
      <c r="F43" s="550"/>
      <c r="G43" s="550"/>
      <c r="H43" s="552"/>
      <c r="I43" s="550"/>
      <c r="J43" s="550"/>
      <c r="K43" s="550"/>
      <c r="L43" s="553"/>
      <c r="M43" s="553"/>
      <c r="N43" s="550"/>
      <c r="O43" s="539"/>
      <c r="P43" s="539"/>
      <c r="Q43" s="552"/>
      <c r="R43" s="550"/>
      <c r="S43" s="550"/>
      <c r="T43" s="550"/>
      <c r="U43" s="547"/>
      <c r="V43" s="547"/>
      <c r="W43" s="539"/>
      <c r="X43" s="539"/>
      <c r="Y43" s="539"/>
      <c r="Z43" s="552"/>
      <c r="AA43" s="550"/>
      <c r="AB43" s="539"/>
      <c r="AC43" s="539"/>
    </row>
    <row r="44" spans="1:29" ht="15" customHeight="1" x14ac:dyDescent="0.35">
      <c r="A44" s="586" t="s">
        <v>1860</v>
      </c>
      <c r="B44" s="586"/>
      <c r="C44" s="586"/>
      <c r="D44" s="586"/>
      <c r="E44" s="586"/>
      <c r="F44" s="586"/>
      <c r="G44" s="586"/>
      <c r="H44" s="586"/>
      <c r="I44" s="586"/>
      <c r="J44" s="586"/>
      <c r="K44" s="586"/>
      <c r="L44" s="586"/>
      <c r="M44" s="456"/>
      <c r="N44" s="456"/>
      <c r="O44" s="456"/>
      <c r="P44" s="456"/>
      <c r="Q44" s="456"/>
      <c r="R44" s="456"/>
      <c r="S44" s="456"/>
      <c r="T44" s="456"/>
      <c r="U44" s="456"/>
      <c r="V44" s="456"/>
      <c r="W44" s="456"/>
      <c r="X44" s="456"/>
      <c r="Y44" s="456"/>
    </row>
    <row r="45" spans="1:29" x14ac:dyDescent="0.35">
      <c r="A45" s="587"/>
      <c r="B45" s="587"/>
      <c r="C45" s="587"/>
      <c r="D45" s="587"/>
      <c r="E45" s="587"/>
      <c r="F45" s="587"/>
      <c r="G45" s="587"/>
      <c r="H45" s="587"/>
      <c r="I45" s="587"/>
      <c r="J45" s="587"/>
      <c r="K45" s="587"/>
      <c r="L45" s="587"/>
      <c r="M45" s="456"/>
      <c r="N45" s="456"/>
      <c r="O45" s="456"/>
      <c r="P45" s="456"/>
      <c r="Q45" s="456"/>
      <c r="R45" s="456"/>
      <c r="S45" s="456"/>
      <c r="T45" s="456"/>
      <c r="U45" s="456"/>
      <c r="V45" s="456"/>
      <c r="W45" s="456"/>
      <c r="X45" s="456"/>
      <c r="Y45" s="456"/>
    </row>
    <row r="46" spans="1:29" x14ac:dyDescent="0.35">
      <c r="A46" s="587"/>
      <c r="B46" s="587"/>
      <c r="C46" s="587"/>
      <c r="D46" s="587"/>
      <c r="E46" s="587"/>
      <c r="F46" s="587"/>
      <c r="G46" s="587"/>
      <c r="H46" s="587"/>
      <c r="I46" s="587"/>
      <c r="J46" s="587"/>
      <c r="K46" s="587"/>
      <c r="L46" s="587"/>
      <c r="M46" s="456"/>
      <c r="N46" s="456"/>
      <c r="O46" s="456"/>
      <c r="P46" s="456"/>
      <c r="Q46" s="456"/>
      <c r="R46" s="456"/>
      <c r="S46" s="456"/>
      <c r="T46" s="456"/>
      <c r="U46" s="456"/>
      <c r="V46" s="456"/>
      <c r="W46" s="456"/>
      <c r="X46" s="456"/>
      <c r="Y46" s="456"/>
    </row>
    <row r="47" spans="1:29" x14ac:dyDescent="0.35">
      <c r="A47" s="587"/>
      <c r="B47" s="587"/>
      <c r="C47" s="587"/>
      <c r="D47" s="587"/>
      <c r="E47" s="587"/>
      <c r="F47" s="587"/>
      <c r="G47" s="587"/>
      <c r="H47" s="587"/>
      <c r="I47" s="587"/>
      <c r="J47" s="587"/>
      <c r="K47" s="587"/>
      <c r="L47" s="587"/>
      <c r="M47" s="456"/>
      <c r="N47" s="456"/>
      <c r="O47" s="456"/>
      <c r="P47" s="456"/>
      <c r="Q47" s="456"/>
      <c r="R47" s="456"/>
      <c r="S47" s="456"/>
      <c r="T47" s="456"/>
      <c r="U47" s="456"/>
      <c r="V47" s="456"/>
      <c r="W47" s="456"/>
      <c r="X47" s="456"/>
      <c r="Y47" s="456"/>
    </row>
    <row r="48" spans="1:29" x14ac:dyDescent="0.35">
      <c r="A48" s="587"/>
      <c r="B48" s="587"/>
      <c r="C48" s="587"/>
      <c r="D48" s="587"/>
      <c r="E48" s="587"/>
      <c r="F48" s="587"/>
      <c r="G48" s="587"/>
      <c r="H48" s="587"/>
      <c r="I48" s="587"/>
      <c r="J48" s="587"/>
      <c r="K48" s="587"/>
      <c r="L48" s="587"/>
      <c r="M48" s="456"/>
      <c r="N48" s="456"/>
      <c r="O48" s="456"/>
      <c r="P48" s="456"/>
      <c r="Q48" s="456"/>
      <c r="R48" s="456"/>
      <c r="S48" s="456"/>
      <c r="T48" s="456"/>
      <c r="U48" s="456"/>
      <c r="V48" s="456"/>
      <c r="W48" s="456"/>
      <c r="X48" s="456"/>
      <c r="Y48" s="456"/>
    </row>
    <row r="49" spans="1:25" x14ac:dyDescent="0.35">
      <c r="A49" s="587"/>
      <c r="B49" s="587"/>
      <c r="C49" s="587"/>
      <c r="D49" s="587"/>
      <c r="E49" s="587"/>
      <c r="F49" s="587"/>
      <c r="G49" s="587"/>
      <c r="H49" s="587"/>
      <c r="I49" s="587"/>
      <c r="J49" s="587"/>
      <c r="K49" s="587"/>
      <c r="L49" s="587"/>
      <c r="M49" s="456"/>
      <c r="N49" s="456"/>
      <c r="O49" s="456"/>
      <c r="P49" s="456"/>
      <c r="Q49" s="456"/>
      <c r="R49" s="456"/>
      <c r="S49" s="456"/>
      <c r="T49" s="456"/>
      <c r="U49" s="456"/>
      <c r="V49" s="456"/>
      <c r="W49" s="456"/>
      <c r="X49" s="456"/>
      <c r="Y49" s="456"/>
    </row>
    <row r="50" spans="1:25" x14ac:dyDescent="0.35">
      <c r="A50" s="587"/>
      <c r="B50" s="587"/>
      <c r="C50" s="587"/>
      <c r="D50" s="587"/>
      <c r="E50" s="587"/>
      <c r="F50" s="587"/>
      <c r="G50" s="587"/>
      <c r="H50" s="587"/>
      <c r="I50" s="587"/>
      <c r="J50" s="587"/>
      <c r="K50" s="587"/>
      <c r="L50" s="587"/>
      <c r="M50" s="456"/>
      <c r="N50" s="456"/>
      <c r="O50" s="456"/>
      <c r="P50" s="456"/>
      <c r="Q50" s="456"/>
      <c r="R50" s="456"/>
      <c r="S50" s="456"/>
      <c r="T50" s="456"/>
      <c r="U50" s="456"/>
      <c r="V50" s="456"/>
      <c r="W50" s="456"/>
      <c r="X50" s="456"/>
      <c r="Y50" s="456"/>
    </row>
    <row r="51" spans="1:25" x14ac:dyDescent="0.35">
      <c r="A51" s="587"/>
      <c r="B51" s="587"/>
      <c r="C51" s="587"/>
      <c r="D51" s="587"/>
      <c r="E51" s="587"/>
      <c r="F51" s="587"/>
      <c r="G51" s="587"/>
      <c r="H51" s="587"/>
      <c r="I51" s="587"/>
      <c r="J51" s="587"/>
      <c r="K51" s="587"/>
      <c r="L51" s="587"/>
      <c r="M51" s="456"/>
      <c r="N51" s="456"/>
      <c r="O51" s="456"/>
      <c r="P51" s="456"/>
      <c r="Q51" s="456"/>
      <c r="R51" s="456"/>
      <c r="S51" s="456"/>
      <c r="T51" s="456"/>
      <c r="U51" s="456"/>
      <c r="V51" s="456"/>
      <c r="W51" s="456"/>
      <c r="X51" s="456"/>
      <c r="Y51" s="456"/>
    </row>
    <row r="52" spans="1:25" x14ac:dyDescent="0.35">
      <c r="A52" s="587"/>
      <c r="B52" s="587"/>
      <c r="C52" s="587"/>
      <c r="D52" s="587"/>
      <c r="E52" s="587"/>
      <c r="F52" s="587"/>
      <c r="G52" s="587"/>
      <c r="H52" s="587"/>
      <c r="I52" s="587"/>
      <c r="J52" s="587"/>
      <c r="K52" s="587"/>
      <c r="L52" s="587"/>
      <c r="M52" s="456"/>
      <c r="N52" s="456"/>
      <c r="O52" s="456"/>
      <c r="P52" s="456"/>
      <c r="Q52" s="456"/>
      <c r="R52" s="456"/>
      <c r="S52" s="456"/>
      <c r="T52" s="456"/>
      <c r="U52" s="456"/>
      <c r="V52" s="456"/>
      <c r="W52" s="456"/>
      <c r="X52" s="456"/>
      <c r="Y52" s="456"/>
    </row>
    <row r="53" spans="1:25" x14ac:dyDescent="0.35">
      <c r="A53" s="587"/>
      <c r="B53" s="587"/>
      <c r="C53" s="587"/>
      <c r="D53" s="587"/>
      <c r="E53" s="587"/>
      <c r="F53" s="587"/>
      <c r="G53" s="587"/>
      <c r="H53" s="587"/>
      <c r="I53" s="587"/>
      <c r="J53" s="587"/>
      <c r="K53" s="587"/>
      <c r="L53" s="587"/>
      <c r="M53" s="456"/>
      <c r="N53" s="456"/>
      <c r="O53" s="456"/>
      <c r="P53" s="456"/>
      <c r="Q53" s="456"/>
      <c r="R53" s="456"/>
      <c r="S53" s="456"/>
      <c r="T53" s="456"/>
      <c r="U53" s="456"/>
      <c r="V53" s="456"/>
      <c r="W53" s="456"/>
      <c r="X53" s="456"/>
      <c r="Y53" s="456"/>
    </row>
    <row r="54" spans="1:25" x14ac:dyDescent="0.35">
      <c r="A54" s="587"/>
      <c r="B54" s="587"/>
      <c r="C54" s="587"/>
      <c r="D54" s="587"/>
      <c r="E54" s="587"/>
      <c r="F54" s="587"/>
      <c r="G54" s="587"/>
      <c r="H54" s="587"/>
      <c r="I54" s="587"/>
      <c r="J54" s="587"/>
      <c r="K54" s="587"/>
      <c r="L54" s="587"/>
      <c r="M54" s="456"/>
      <c r="N54" s="456"/>
      <c r="O54" s="456"/>
      <c r="P54" s="456"/>
      <c r="Q54" s="456"/>
      <c r="R54" s="456"/>
      <c r="S54" s="456"/>
      <c r="T54" s="456"/>
      <c r="U54" s="456"/>
      <c r="V54" s="456"/>
      <c r="W54" s="456"/>
      <c r="X54" s="456"/>
      <c r="Y54" s="456"/>
    </row>
    <row r="55" spans="1:25" x14ac:dyDescent="0.35">
      <c r="A55" s="42" t="s">
        <v>1861</v>
      </c>
    </row>
    <row r="56" spans="1:25" x14ac:dyDescent="0.35">
      <c r="A56" s="527" t="s">
        <v>1403</v>
      </c>
    </row>
    <row r="57" spans="1:25" x14ac:dyDescent="0.35">
      <c r="A57" s="528" t="s">
        <v>1862</v>
      </c>
      <c r="B57" s="603" t="s">
        <v>1863</v>
      </c>
      <c r="C57" s="604"/>
      <c r="D57" s="604"/>
      <c r="E57" s="604"/>
      <c r="F57" s="605"/>
    </row>
    <row r="58" spans="1:25" x14ac:dyDescent="0.35">
      <c r="A58" s="529" t="s">
        <v>1864</v>
      </c>
      <c r="B58" s="606" t="s">
        <v>1865</v>
      </c>
      <c r="C58" s="607"/>
      <c r="D58" s="607"/>
      <c r="E58" s="607"/>
      <c r="F58" s="608"/>
    </row>
    <row r="59" spans="1:25" ht="29" x14ac:dyDescent="0.35">
      <c r="A59" s="529" t="s">
        <v>1866</v>
      </c>
      <c r="B59" s="606" t="s">
        <v>1867</v>
      </c>
      <c r="C59" s="607"/>
      <c r="D59" s="607"/>
      <c r="E59" s="607"/>
      <c r="F59" s="608"/>
    </row>
    <row r="60" spans="1:25" x14ac:dyDescent="0.35">
      <c r="A60" s="529" t="s">
        <v>1868</v>
      </c>
      <c r="B60" s="606" t="s">
        <v>1869</v>
      </c>
      <c r="C60" s="607"/>
      <c r="D60" s="607"/>
      <c r="E60" s="607"/>
      <c r="F60" s="608"/>
    </row>
    <row r="61" spans="1:25" x14ac:dyDescent="0.35">
      <c r="A61" s="529" t="s">
        <v>1870</v>
      </c>
      <c r="B61" s="606" t="s">
        <v>1871</v>
      </c>
      <c r="C61" s="607"/>
      <c r="D61" s="607"/>
      <c r="E61" s="607"/>
      <c r="F61" s="608"/>
    </row>
    <row r="62" spans="1:25" x14ac:dyDescent="0.35">
      <c r="A62" s="529" t="s">
        <v>1872</v>
      </c>
      <c r="B62" s="606" t="s">
        <v>1873</v>
      </c>
      <c r="C62" s="607"/>
      <c r="D62" s="607"/>
      <c r="E62" s="607"/>
      <c r="F62" s="608"/>
    </row>
    <row r="63" spans="1:25" x14ac:dyDescent="0.35">
      <c r="A63" s="529" t="s">
        <v>1874</v>
      </c>
      <c r="B63" s="606" t="s">
        <v>1875</v>
      </c>
      <c r="C63" s="607"/>
      <c r="D63" s="607"/>
      <c r="E63" s="607"/>
      <c r="F63" s="608"/>
    </row>
    <row r="64" spans="1:25" ht="29" x14ac:dyDescent="0.35">
      <c r="A64" s="529" t="s">
        <v>1876</v>
      </c>
      <c r="B64" s="606" t="s">
        <v>1877</v>
      </c>
      <c r="C64" s="607"/>
      <c r="D64" s="607"/>
      <c r="E64" s="607"/>
      <c r="F64" s="608"/>
    </row>
    <row r="65" spans="1:6" x14ac:dyDescent="0.35">
      <c r="A65" s="529" t="s">
        <v>1878</v>
      </c>
      <c r="B65" s="606" t="s">
        <v>1879</v>
      </c>
      <c r="C65" s="607"/>
      <c r="D65" s="607"/>
      <c r="E65" s="607"/>
      <c r="F65" s="608"/>
    </row>
    <row r="66" spans="1:6" x14ac:dyDescent="0.35">
      <c r="A66" s="529" t="s">
        <v>1880</v>
      </c>
      <c r="B66" s="606" t="s">
        <v>1881</v>
      </c>
      <c r="C66" s="607"/>
      <c r="D66" s="607"/>
      <c r="E66" s="607"/>
      <c r="F66" s="608"/>
    </row>
    <row r="67" spans="1:6" x14ac:dyDescent="0.35">
      <c r="A67" s="529" t="s">
        <v>1882</v>
      </c>
      <c r="B67" s="606" t="s">
        <v>1883</v>
      </c>
      <c r="C67" s="607"/>
      <c r="D67" s="607"/>
      <c r="E67" s="607"/>
      <c r="F67" s="608"/>
    </row>
    <row r="68" spans="1:6" x14ac:dyDescent="0.35">
      <c r="A68" s="529" t="s">
        <v>1884</v>
      </c>
      <c r="B68" s="606" t="s">
        <v>1885</v>
      </c>
      <c r="C68" s="607"/>
      <c r="D68" s="607"/>
      <c r="E68" s="607"/>
      <c r="F68" s="608"/>
    </row>
    <row r="69" spans="1:6" x14ac:dyDescent="0.35">
      <c r="A69" s="529" t="s">
        <v>1886</v>
      </c>
      <c r="B69" s="606" t="s">
        <v>1887</v>
      </c>
      <c r="C69" s="607"/>
      <c r="D69" s="607"/>
      <c r="E69" s="607"/>
      <c r="F69" s="608"/>
    </row>
    <row r="70" spans="1:6" ht="29" x14ac:dyDescent="0.35">
      <c r="A70" s="529" t="s">
        <v>1888</v>
      </c>
      <c r="B70" s="606" t="s">
        <v>1889</v>
      </c>
      <c r="C70" s="607"/>
      <c r="D70" s="607"/>
      <c r="E70" s="607"/>
      <c r="F70" s="608"/>
    </row>
    <row r="71" spans="1:6" x14ac:dyDescent="0.35">
      <c r="A71" s="529" t="s">
        <v>1890</v>
      </c>
      <c r="B71" s="606" t="s">
        <v>1891</v>
      </c>
      <c r="C71" s="607"/>
      <c r="D71" s="607"/>
      <c r="E71" s="607"/>
      <c r="F71" s="608"/>
    </row>
    <row r="72" spans="1:6" x14ac:dyDescent="0.35">
      <c r="A72" s="529" t="s">
        <v>1892</v>
      </c>
      <c r="B72" s="606" t="s">
        <v>1893</v>
      </c>
      <c r="C72" s="607"/>
      <c r="D72" s="607"/>
      <c r="E72" s="607"/>
      <c r="F72" s="608"/>
    </row>
    <row r="73" spans="1:6" x14ac:dyDescent="0.35">
      <c r="A73" s="533" t="s">
        <v>1894</v>
      </c>
      <c r="B73" s="609"/>
      <c r="C73" s="610"/>
      <c r="D73" s="610"/>
      <c r="E73" s="610"/>
      <c r="F73" s="611"/>
    </row>
    <row r="74" spans="1:6" x14ac:dyDescent="0.35">
      <c r="A74" s="529" t="s">
        <v>1864</v>
      </c>
      <c r="B74" s="606" t="s">
        <v>1865</v>
      </c>
      <c r="C74" s="607"/>
      <c r="D74" s="607"/>
      <c r="E74" s="607"/>
      <c r="F74" s="608"/>
    </row>
    <row r="75" spans="1:6" x14ac:dyDescent="0.35">
      <c r="A75" s="529" t="s">
        <v>1402</v>
      </c>
      <c r="B75" s="606" t="s">
        <v>1895</v>
      </c>
      <c r="C75" s="607"/>
      <c r="D75" s="607"/>
      <c r="E75" s="607"/>
      <c r="F75" s="608"/>
    </row>
    <row r="76" spans="1:6" x14ac:dyDescent="0.35">
      <c r="A76" s="529" t="s">
        <v>1872</v>
      </c>
      <c r="B76" s="606" t="s">
        <v>1896</v>
      </c>
      <c r="C76" s="607"/>
      <c r="D76" s="607"/>
      <c r="E76" s="607"/>
      <c r="F76" s="608"/>
    </row>
    <row r="77" spans="1:6" x14ac:dyDescent="0.35">
      <c r="A77" s="529" t="s">
        <v>1897</v>
      </c>
      <c r="B77" s="606" t="s">
        <v>1898</v>
      </c>
      <c r="C77" s="607"/>
      <c r="D77" s="607"/>
      <c r="E77" s="607"/>
      <c r="F77" s="608"/>
    </row>
    <row r="78" spans="1:6" x14ac:dyDescent="0.35">
      <c r="A78" s="529" t="s">
        <v>1890</v>
      </c>
      <c r="B78" s="606" t="s">
        <v>1899</v>
      </c>
      <c r="C78" s="607"/>
      <c r="D78" s="607"/>
      <c r="E78" s="607"/>
      <c r="F78" s="608"/>
    </row>
    <row r="79" spans="1:6" x14ac:dyDescent="0.35">
      <c r="A79" s="529" t="s">
        <v>1892</v>
      </c>
      <c r="B79" s="606" t="s">
        <v>1900</v>
      </c>
      <c r="C79" s="607"/>
      <c r="D79" s="607"/>
      <c r="E79" s="607"/>
      <c r="F79" s="608"/>
    </row>
    <row r="80" spans="1:6" x14ac:dyDescent="0.35">
      <c r="A80" s="529" t="s">
        <v>1878</v>
      </c>
      <c r="B80" s="606" t="s">
        <v>1901</v>
      </c>
      <c r="C80" s="607"/>
      <c r="D80" s="607"/>
      <c r="E80" s="607"/>
      <c r="F80" s="608"/>
    </row>
    <row r="81" spans="1:6" x14ac:dyDescent="0.35">
      <c r="A81" s="529" t="s">
        <v>1902</v>
      </c>
      <c r="B81" s="606" t="s">
        <v>1903</v>
      </c>
      <c r="C81" s="607"/>
      <c r="D81" s="607"/>
      <c r="E81" s="607"/>
      <c r="F81" s="608"/>
    </row>
    <row r="82" spans="1:6" x14ac:dyDescent="0.35">
      <c r="A82" s="529" t="s">
        <v>1904</v>
      </c>
      <c r="B82" s="606" t="s">
        <v>1881</v>
      </c>
      <c r="C82" s="607"/>
      <c r="D82" s="607"/>
      <c r="E82" s="607"/>
      <c r="F82" s="608"/>
    </row>
    <row r="83" spans="1:6" x14ac:dyDescent="0.35">
      <c r="A83" s="534"/>
      <c r="B83" s="609"/>
      <c r="C83" s="610"/>
      <c r="D83" s="610"/>
      <c r="E83" s="610"/>
      <c r="F83" s="611"/>
    </row>
    <row r="84" spans="1:6" x14ac:dyDescent="0.35">
      <c r="A84" s="533" t="s">
        <v>1905</v>
      </c>
      <c r="B84" s="609"/>
      <c r="C84" s="610"/>
      <c r="D84" s="610"/>
      <c r="E84" s="610"/>
      <c r="F84" s="611"/>
    </row>
    <row r="85" spans="1:6" x14ac:dyDescent="0.35">
      <c r="A85" s="535" t="s">
        <v>1906</v>
      </c>
      <c r="B85" s="612" t="s">
        <v>1907</v>
      </c>
      <c r="C85" s="613"/>
      <c r="D85" s="613"/>
      <c r="E85" s="613"/>
      <c r="F85" s="614"/>
    </row>
    <row r="86" spans="1:6" x14ac:dyDescent="0.35">
      <c r="A86" s="529" t="s">
        <v>1908</v>
      </c>
      <c r="B86" s="606" t="s">
        <v>1909</v>
      </c>
      <c r="C86" s="607"/>
      <c r="D86" s="607"/>
      <c r="E86" s="607"/>
      <c r="F86" s="608"/>
    </row>
    <row r="87" spans="1:6" x14ac:dyDescent="0.35">
      <c r="A87" s="529" t="s">
        <v>1910</v>
      </c>
      <c r="B87" s="606" t="s">
        <v>1911</v>
      </c>
      <c r="C87" s="607"/>
      <c r="D87" s="607"/>
      <c r="E87" s="607"/>
      <c r="F87" s="608"/>
    </row>
    <row r="88" spans="1:6" x14ac:dyDescent="0.35">
      <c r="A88" s="529" t="s">
        <v>1912</v>
      </c>
      <c r="B88" s="606" t="s">
        <v>1913</v>
      </c>
      <c r="C88" s="607"/>
      <c r="D88" s="607"/>
      <c r="E88" s="607"/>
      <c r="F88" s="608"/>
    </row>
    <row r="89" spans="1:6" x14ac:dyDescent="0.35">
      <c r="A89" s="529" t="s">
        <v>1914</v>
      </c>
      <c r="B89" s="606" t="s">
        <v>1915</v>
      </c>
      <c r="C89" s="607"/>
      <c r="D89" s="607"/>
      <c r="E89" s="607"/>
      <c r="F89" s="608"/>
    </row>
    <row r="90" spans="1:6" x14ac:dyDescent="0.35">
      <c r="A90" s="529" t="s">
        <v>1916</v>
      </c>
      <c r="B90" s="606" t="s">
        <v>1917</v>
      </c>
      <c r="C90" s="607"/>
      <c r="D90" s="607"/>
      <c r="E90" s="607"/>
      <c r="F90" s="608"/>
    </row>
    <row r="91" spans="1:6" x14ac:dyDescent="0.35">
      <c r="A91" s="529"/>
      <c r="B91" s="530"/>
      <c r="C91" s="531"/>
      <c r="D91" s="531"/>
      <c r="E91" s="531"/>
      <c r="F91" s="532"/>
    </row>
    <row r="92" spans="1:6" x14ac:dyDescent="0.35">
      <c r="A92" s="533" t="s">
        <v>1918</v>
      </c>
      <c r="B92" s="609"/>
      <c r="C92" s="610"/>
      <c r="D92" s="610"/>
      <c r="E92" s="610"/>
      <c r="F92" s="611"/>
    </row>
    <row r="93" spans="1:6" x14ac:dyDescent="0.35">
      <c r="A93" s="529" t="s">
        <v>1919</v>
      </c>
      <c r="B93" s="606" t="s">
        <v>1920</v>
      </c>
      <c r="C93" s="607"/>
      <c r="D93" s="607"/>
      <c r="E93" s="607"/>
      <c r="F93" s="608"/>
    </row>
    <row r="94" spans="1:6" ht="29" x14ac:dyDescent="0.35">
      <c r="A94" s="529" t="s">
        <v>1866</v>
      </c>
      <c r="B94" s="606" t="s">
        <v>1921</v>
      </c>
      <c r="C94" s="607"/>
      <c r="D94" s="607"/>
      <c r="E94" s="607"/>
      <c r="F94" s="608"/>
    </row>
    <row r="95" spans="1:6" x14ac:dyDescent="0.35">
      <c r="A95" s="529" t="s">
        <v>1922</v>
      </c>
      <c r="B95" s="606" t="s">
        <v>1923</v>
      </c>
      <c r="C95" s="607"/>
      <c r="D95" s="607"/>
      <c r="E95" s="607"/>
      <c r="F95" s="608"/>
    </row>
    <row r="96" spans="1:6" x14ac:dyDescent="0.35">
      <c r="A96" s="529" t="s">
        <v>1924</v>
      </c>
      <c r="B96" s="606" t="s">
        <v>1925</v>
      </c>
      <c r="C96" s="607"/>
      <c r="D96" s="607"/>
      <c r="E96" s="607"/>
      <c r="F96" s="608"/>
    </row>
    <row r="97" spans="1:6" x14ac:dyDescent="0.35">
      <c r="A97" s="529" t="s">
        <v>1902</v>
      </c>
      <c r="B97" s="606" t="s">
        <v>1926</v>
      </c>
      <c r="C97" s="607"/>
      <c r="D97" s="607"/>
      <c r="E97" s="607"/>
      <c r="F97" s="608"/>
    </row>
    <row r="98" spans="1:6" x14ac:dyDescent="0.35">
      <c r="A98" s="533" t="s">
        <v>1927</v>
      </c>
      <c r="B98" s="609"/>
      <c r="C98" s="610"/>
      <c r="D98" s="610"/>
      <c r="E98" s="610"/>
      <c r="F98" s="611"/>
    </row>
    <row r="99" spans="1:6" x14ac:dyDescent="0.35">
      <c r="A99" s="535" t="s">
        <v>1928</v>
      </c>
      <c r="B99" s="612" t="s">
        <v>1929</v>
      </c>
      <c r="C99" s="613"/>
      <c r="D99" s="613"/>
      <c r="E99" s="613"/>
      <c r="F99" s="614"/>
    </row>
    <row r="100" spans="1:6" x14ac:dyDescent="0.35">
      <c r="A100" s="529" t="s">
        <v>1930</v>
      </c>
      <c r="B100" s="606" t="s">
        <v>1931</v>
      </c>
      <c r="C100" s="607"/>
      <c r="D100" s="607"/>
      <c r="E100" s="607"/>
      <c r="F100" s="608"/>
    </row>
    <row r="101" spans="1:6" x14ac:dyDescent="0.35">
      <c r="A101" s="529" t="s">
        <v>1932</v>
      </c>
      <c r="B101" s="606" t="s">
        <v>1933</v>
      </c>
      <c r="C101" s="607"/>
      <c r="D101" s="607"/>
      <c r="E101" s="607"/>
      <c r="F101" s="608"/>
    </row>
    <row r="102" spans="1:6" x14ac:dyDescent="0.35">
      <c r="A102" s="529" t="s">
        <v>1934</v>
      </c>
      <c r="B102" s="606" t="s">
        <v>1935</v>
      </c>
      <c r="C102" s="607"/>
      <c r="D102" s="607"/>
      <c r="E102" s="607"/>
      <c r="F102" s="608"/>
    </row>
    <row r="103" spans="1:6" x14ac:dyDescent="0.35">
      <c r="A103" s="529" t="s">
        <v>1936</v>
      </c>
      <c r="B103" s="606" t="s">
        <v>1937</v>
      </c>
      <c r="C103" s="607"/>
      <c r="D103" s="607"/>
      <c r="E103" s="607"/>
      <c r="F103" s="608"/>
    </row>
    <row r="104" spans="1:6" x14ac:dyDescent="0.35">
      <c r="A104" s="529" t="s">
        <v>1938</v>
      </c>
      <c r="B104" s="606" t="s">
        <v>1939</v>
      </c>
      <c r="C104" s="607"/>
      <c r="D104" s="607"/>
      <c r="E104" s="607"/>
      <c r="F104" s="608"/>
    </row>
    <row r="105" spans="1:6" x14ac:dyDescent="0.35">
      <c r="A105" s="529" t="s">
        <v>1940</v>
      </c>
      <c r="B105" s="606" t="s">
        <v>1941</v>
      </c>
      <c r="C105" s="607"/>
      <c r="D105" s="607"/>
      <c r="E105" s="607"/>
      <c r="F105" s="608"/>
    </row>
    <row r="106" spans="1:6" x14ac:dyDescent="0.35">
      <c r="A106" s="529" t="s">
        <v>1942</v>
      </c>
      <c r="B106" s="606" t="s">
        <v>1943</v>
      </c>
      <c r="C106" s="607"/>
      <c r="D106" s="607"/>
      <c r="E106" s="607"/>
      <c r="F106" s="608"/>
    </row>
    <row r="107" spans="1:6" x14ac:dyDescent="0.35">
      <c r="A107" s="529" t="s">
        <v>1944</v>
      </c>
      <c r="B107" s="606" t="s">
        <v>1945</v>
      </c>
      <c r="C107" s="607"/>
      <c r="D107" s="607"/>
      <c r="E107" s="607"/>
      <c r="F107" s="608"/>
    </row>
    <row r="108" spans="1:6" x14ac:dyDescent="0.35">
      <c r="A108" s="529" t="s">
        <v>1946</v>
      </c>
      <c r="B108" s="606" t="s">
        <v>1947</v>
      </c>
      <c r="C108" s="607"/>
      <c r="D108" s="607"/>
      <c r="E108" s="607"/>
      <c r="F108" s="608"/>
    </row>
    <row r="109" spans="1:6" x14ac:dyDescent="0.35">
      <c r="A109" s="529" t="s">
        <v>1948</v>
      </c>
      <c r="B109" s="606" t="s">
        <v>1949</v>
      </c>
      <c r="C109" s="607"/>
      <c r="D109" s="607"/>
      <c r="E109" s="607"/>
      <c r="F109" s="608"/>
    </row>
  </sheetData>
  <mergeCells count="58">
    <mergeCell ref="B107:F107"/>
    <mergeCell ref="B108:F108"/>
    <mergeCell ref="B109:F109"/>
    <mergeCell ref="B102:F102"/>
    <mergeCell ref="B103:F103"/>
    <mergeCell ref="B104:F104"/>
    <mergeCell ref="B105:F105"/>
    <mergeCell ref="B106:F106"/>
    <mergeCell ref="B97:F97"/>
    <mergeCell ref="B98:F98"/>
    <mergeCell ref="B99:F99"/>
    <mergeCell ref="B100:F100"/>
    <mergeCell ref="B101:F101"/>
    <mergeCell ref="B92:F92"/>
    <mergeCell ref="B93:F93"/>
    <mergeCell ref="B94:F94"/>
    <mergeCell ref="B95:F95"/>
    <mergeCell ref="B96:F96"/>
    <mergeCell ref="B86:F86"/>
    <mergeCell ref="B87:F87"/>
    <mergeCell ref="B88:F88"/>
    <mergeCell ref="B89:F89"/>
    <mergeCell ref="B90:F90"/>
    <mergeCell ref="B81:F81"/>
    <mergeCell ref="B82:F82"/>
    <mergeCell ref="B83:F83"/>
    <mergeCell ref="B84:F84"/>
    <mergeCell ref="B85:F85"/>
    <mergeCell ref="B76:F76"/>
    <mergeCell ref="B77:F77"/>
    <mergeCell ref="B78:F78"/>
    <mergeCell ref="B79:F79"/>
    <mergeCell ref="B80:F80"/>
    <mergeCell ref="B71:F71"/>
    <mergeCell ref="B72:F72"/>
    <mergeCell ref="B73:F73"/>
    <mergeCell ref="B74:F74"/>
    <mergeCell ref="B75:F75"/>
    <mergeCell ref="B66:F66"/>
    <mergeCell ref="B67:F67"/>
    <mergeCell ref="B68:F68"/>
    <mergeCell ref="B69:F69"/>
    <mergeCell ref="B70:F70"/>
    <mergeCell ref="B61:F61"/>
    <mergeCell ref="B62:F62"/>
    <mergeCell ref="B63:F63"/>
    <mergeCell ref="B64:F64"/>
    <mergeCell ref="B65:F65"/>
    <mergeCell ref="A44:L54"/>
    <mergeCell ref="B57:F57"/>
    <mergeCell ref="B58:F58"/>
    <mergeCell ref="B59:F59"/>
    <mergeCell ref="B60:F60"/>
    <mergeCell ref="A1:AC1"/>
    <mergeCell ref="A2:AC2"/>
    <mergeCell ref="B3:K3"/>
    <mergeCell ref="L3:T3"/>
    <mergeCell ref="U3:AC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4AA95-A3DE-403B-B83E-482C888E3920}">
  <sheetPr codeName="Sheet23">
    <tabColor rgb="FFC00000"/>
  </sheetPr>
  <dimension ref="A1:BI48"/>
  <sheetViews>
    <sheetView zoomScale="80" zoomScaleNormal="80" workbookViewId="0">
      <selection activeCell="L4" sqref="L1:AC1048576"/>
    </sheetView>
  </sheetViews>
  <sheetFormatPr defaultRowHeight="14.5" x14ac:dyDescent="0.35"/>
  <cols>
    <col min="1" max="1" width="49.36328125" bestFit="1" customWidth="1"/>
    <col min="2" max="2" width="9.54296875" customWidth="1"/>
    <col min="5" max="5" width="9.54296875" bestFit="1" customWidth="1"/>
    <col min="6" max="6" width="9" bestFit="1" customWidth="1"/>
    <col min="7" max="7" width="9.54296875" bestFit="1" customWidth="1"/>
    <col min="8" max="8" width="11.81640625" style="3" bestFit="1" customWidth="1"/>
    <col min="9" max="9" width="13.26953125" style="3" bestFit="1" customWidth="1"/>
    <col min="10" max="10" width="12.1796875" style="3" customWidth="1"/>
    <col min="11" max="11" width="13.26953125" style="3" customWidth="1"/>
    <col min="12" max="14" width="11.1796875" hidden="1" customWidth="1"/>
    <col min="15" max="15" width="11.81640625" hidden="1" customWidth="1"/>
    <col min="16" max="16" width="11.1796875" hidden="1" customWidth="1"/>
    <col min="17" max="17" width="12.36328125" hidden="1" customWidth="1"/>
    <col min="18" max="18" width="11.1796875" hidden="1" customWidth="1"/>
    <col min="19" max="19" width="8.7265625" hidden="1" customWidth="1"/>
    <col min="20" max="21" width="10" hidden="1" customWidth="1"/>
    <col min="22" max="24" width="11.81640625" hidden="1" customWidth="1"/>
    <col min="25" max="25" width="10.26953125" hidden="1" customWidth="1"/>
    <col min="26" max="26" width="14" style="3" hidden="1" customWidth="1"/>
    <col min="27" max="27" width="13.26953125" style="3" hidden="1" customWidth="1"/>
    <col min="28" max="28" width="10.6328125" style="3" hidden="1" customWidth="1"/>
    <col min="29" max="29" width="13.6328125" style="3" hidden="1" customWidth="1"/>
    <col min="30" max="31" width="8.7265625" style="3" customWidth="1"/>
    <col min="32" max="61" width="8.7265625" style="3"/>
  </cols>
  <sheetData>
    <row r="1" spans="1:61" ht="31" x14ac:dyDescent="0.7">
      <c r="A1" s="615" t="s">
        <v>1754</v>
      </c>
      <c r="B1" s="615"/>
      <c r="C1" s="615"/>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row>
    <row r="2" spans="1:61" ht="21" x14ac:dyDescent="0.5">
      <c r="A2" s="617" t="s">
        <v>1813</v>
      </c>
      <c r="B2" s="599"/>
      <c r="C2" s="599"/>
      <c r="D2" s="599"/>
      <c r="E2" s="599"/>
      <c r="F2" s="599"/>
      <c r="G2" s="599"/>
      <c r="H2" s="599"/>
      <c r="I2" s="599"/>
      <c r="J2" s="599"/>
      <c r="K2" s="599"/>
      <c r="L2" s="599"/>
      <c r="M2" s="599"/>
      <c r="N2" s="599"/>
      <c r="O2" s="599"/>
      <c r="P2" s="599"/>
      <c r="Q2" s="599"/>
      <c r="R2" s="599"/>
      <c r="S2" s="599"/>
      <c r="T2" s="599"/>
      <c r="U2" s="599"/>
      <c r="V2" s="599"/>
      <c r="W2" s="599"/>
      <c r="X2" s="599"/>
      <c r="Y2" s="599"/>
      <c r="Z2" s="599"/>
      <c r="AA2" s="599"/>
      <c r="AB2" s="599"/>
      <c r="AC2" s="599"/>
      <c r="AW2"/>
      <c r="AX2"/>
      <c r="AY2"/>
      <c r="AZ2"/>
      <c r="BA2"/>
      <c r="BB2"/>
      <c r="BC2"/>
      <c r="BD2"/>
      <c r="BE2"/>
      <c r="BF2"/>
      <c r="BG2"/>
      <c r="BH2"/>
      <c r="BI2"/>
    </row>
    <row r="3" spans="1:61" ht="23.5" x14ac:dyDescent="0.55000000000000004">
      <c r="A3" s="490"/>
      <c r="B3" s="616" t="s">
        <v>1341</v>
      </c>
      <c r="C3" s="616"/>
      <c r="D3" s="616"/>
      <c r="E3" s="616"/>
      <c r="F3" s="616"/>
      <c r="G3" s="616"/>
      <c r="H3" s="616"/>
      <c r="I3" s="616"/>
      <c r="J3" s="616"/>
      <c r="K3" s="616"/>
      <c r="L3" s="616" t="s">
        <v>1350</v>
      </c>
      <c r="M3" s="616"/>
      <c r="N3" s="616"/>
      <c r="O3" s="616"/>
      <c r="P3" s="616"/>
      <c r="Q3" s="616"/>
      <c r="R3" s="616"/>
      <c r="S3" s="616"/>
      <c r="T3" s="616"/>
      <c r="U3" s="616" t="s">
        <v>1351</v>
      </c>
      <c r="V3" s="616"/>
      <c r="W3" s="616"/>
      <c r="X3" s="616"/>
      <c r="Y3" s="616"/>
      <c r="Z3" s="616"/>
      <c r="AA3" s="616"/>
      <c r="AB3" s="616"/>
      <c r="AC3" s="616"/>
    </row>
    <row r="4" spans="1:61" s="91" customFormat="1" ht="29" x14ac:dyDescent="0.35">
      <c r="A4" s="491" t="s">
        <v>1754</v>
      </c>
      <c r="B4" s="140" t="s">
        <v>1739</v>
      </c>
      <c r="C4" s="492" t="s">
        <v>1712</v>
      </c>
      <c r="D4" s="492" t="s">
        <v>1714</v>
      </c>
      <c r="E4" s="88" t="s">
        <v>1709</v>
      </c>
      <c r="F4" s="96" t="s">
        <v>1427</v>
      </c>
      <c r="G4" s="345" t="s">
        <v>1715</v>
      </c>
      <c r="H4" s="353" t="s">
        <v>9</v>
      </c>
      <c r="I4" s="353" t="s">
        <v>1711</v>
      </c>
      <c r="J4" s="353" t="s">
        <v>1427</v>
      </c>
      <c r="K4" s="353" t="s">
        <v>1713</v>
      </c>
      <c r="L4" s="492" t="s">
        <v>1712</v>
      </c>
      <c r="M4" s="492" t="s">
        <v>1714</v>
      </c>
      <c r="N4" s="88" t="s">
        <v>1709</v>
      </c>
      <c r="O4" s="96" t="s">
        <v>1427</v>
      </c>
      <c r="P4" s="345" t="s">
        <v>1715</v>
      </c>
      <c r="Q4" s="353" t="s">
        <v>9</v>
      </c>
      <c r="R4" s="353" t="s">
        <v>1711</v>
      </c>
      <c r="S4" s="353" t="s">
        <v>1427</v>
      </c>
      <c r="T4" s="353" t="s">
        <v>1713</v>
      </c>
      <c r="U4" s="492" t="s">
        <v>1712</v>
      </c>
      <c r="V4" s="492" t="s">
        <v>1714</v>
      </c>
      <c r="W4" s="88" t="s">
        <v>1709</v>
      </c>
      <c r="X4" s="96" t="s">
        <v>1427</v>
      </c>
      <c r="Y4" s="345" t="s">
        <v>1715</v>
      </c>
      <c r="Z4" s="353" t="s">
        <v>9</v>
      </c>
      <c r="AA4" s="353" t="s">
        <v>1711</v>
      </c>
      <c r="AB4" s="353" t="s">
        <v>1427</v>
      </c>
      <c r="AC4" s="353" t="s">
        <v>1713</v>
      </c>
    </row>
    <row r="5" spans="1:61" s="91" customFormat="1" x14ac:dyDescent="0.35">
      <c r="A5" s="493" t="s">
        <v>1755</v>
      </c>
      <c r="B5" s="494"/>
      <c r="C5" s="495"/>
      <c r="D5" s="495"/>
      <c r="E5" s="495"/>
      <c r="F5" s="495"/>
      <c r="G5" s="495"/>
      <c r="H5" s="495"/>
      <c r="I5" s="495"/>
      <c r="J5" s="495"/>
      <c r="K5" s="495"/>
      <c r="L5" s="495"/>
      <c r="M5" s="495"/>
      <c r="N5" s="495"/>
      <c r="O5" s="495"/>
      <c r="P5" s="495"/>
      <c r="Q5" s="495"/>
      <c r="R5" s="495"/>
      <c r="S5" s="495"/>
      <c r="T5" s="495"/>
      <c r="U5" s="495"/>
      <c r="V5" s="495"/>
      <c r="W5" s="495"/>
      <c r="X5" s="495"/>
      <c r="Y5" s="495"/>
      <c r="Z5" s="495"/>
      <c r="AA5" s="495"/>
      <c r="AB5" s="495"/>
      <c r="AC5" s="495"/>
    </row>
    <row r="6" spans="1:61" x14ac:dyDescent="0.35">
      <c r="A6" s="445" t="s">
        <v>1756</v>
      </c>
      <c r="B6" s="69">
        <v>19</v>
      </c>
      <c r="C6" s="496"/>
      <c r="D6" s="496"/>
      <c r="E6" s="151">
        <f>ROUND(($B6*(1-C6)),2)</f>
        <v>19</v>
      </c>
      <c r="F6" s="151">
        <f>G6-E6</f>
        <v>0</v>
      </c>
      <c r="G6" s="151">
        <f>ROUND(($B6*(1-D6)),2)</f>
        <v>19</v>
      </c>
      <c r="H6" s="497" cm="1">
        <f t="array" ref="H6">SUMPRODUCT(--(Category="Ex_Cat_1"),--(OpCo="Express"),--(Intl="Domestic"),--(SC_Name=$A6),(SC_Count))</f>
        <v>0</v>
      </c>
      <c r="I6" s="151">
        <f>H6*E6</f>
        <v>0</v>
      </c>
      <c r="J6" s="151">
        <f>K6-I6</f>
        <v>0</v>
      </c>
      <c r="K6" s="151">
        <f>H6*G6</f>
        <v>0</v>
      </c>
      <c r="L6" s="496"/>
      <c r="M6" s="496"/>
      <c r="N6" s="151">
        <f>ROUND(($B6*(1-L6)),2)</f>
        <v>19</v>
      </c>
      <c r="O6" s="151">
        <f>P6-N6</f>
        <v>0</v>
      </c>
      <c r="P6" s="151">
        <f>ROUND(($B6*(1-M6)),2)</f>
        <v>19</v>
      </c>
      <c r="Q6" s="497" cm="1">
        <f t="array" ref="Q6">SUMPRODUCT(--(Category="Ex_Cat_2"),--(OpCo="Express"),--(Intl="Domestic"),--(SC_Name=$A6),(SC_Count))</f>
        <v>0</v>
      </c>
      <c r="R6" s="151">
        <f>Q6*N6</f>
        <v>0</v>
      </c>
      <c r="S6" s="151">
        <f>T6-R6</f>
        <v>0</v>
      </c>
      <c r="T6" s="151">
        <f>Q6*P6</f>
        <v>0</v>
      </c>
      <c r="U6" s="496"/>
      <c r="V6" s="496"/>
      <c r="W6" s="151">
        <f>ROUND(($B6*(1-U6)),2)</f>
        <v>19</v>
      </c>
      <c r="X6" s="151">
        <f>Y6-W6</f>
        <v>0</v>
      </c>
      <c r="Y6" s="151">
        <f>ROUND(($B6*(1-V6)),2)</f>
        <v>19</v>
      </c>
      <c r="Z6" s="497" cm="1">
        <f t="array" ref="Z6">SUMPRODUCT(--(Category="Ex_Cat_3"),--(OpCo="Express"),--(Intl="Domestic"),--(SC_Name=$A6),(SC_Count))</f>
        <v>0</v>
      </c>
      <c r="AA6" s="151">
        <f>Z6*W6</f>
        <v>0</v>
      </c>
      <c r="AB6" s="151">
        <f>AC6-AA6</f>
        <v>0</v>
      </c>
      <c r="AC6" s="151">
        <f>Z6*Y6</f>
        <v>0</v>
      </c>
    </row>
    <row r="7" spans="1:61" x14ac:dyDescent="0.35">
      <c r="A7" s="501" t="s">
        <v>1757</v>
      </c>
      <c r="B7" s="502"/>
      <c r="C7" s="509"/>
      <c r="D7" s="509"/>
      <c r="E7" s="502"/>
      <c r="F7" s="502"/>
      <c r="G7" s="502"/>
      <c r="H7" s="502"/>
      <c r="I7" s="502"/>
      <c r="J7" s="502"/>
      <c r="K7" s="502"/>
      <c r="L7" s="509"/>
      <c r="M7" s="509"/>
      <c r="N7" s="502"/>
      <c r="O7" s="502"/>
      <c r="P7" s="502"/>
      <c r="Q7" s="502"/>
      <c r="R7" s="502"/>
      <c r="S7" s="502"/>
      <c r="T7" s="502"/>
      <c r="U7" s="509"/>
      <c r="V7" s="509"/>
      <c r="W7" s="502"/>
      <c r="X7" s="502"/>
      <c r="Y7" s="502"/>
      <c r="Z7" s="502"/>
      <c r="AA7" s="502"/>
      <c r="AB7" s="502"/>
      <c r="AC7" s="502"/>
    </row>
    <row r="8" spans="1:61" x14ac:dyDescent="0.35">
      <c r="A8" s="503" t="s">
        <v>1758</v>
      </c>
      <c r="B8" s="151">
        <v>9</v>
      </c>
      <c r="C8" s="496"/>
      <c r="D8" s="496"/>
      <c r="E8" s="151">
        <f t="shared" ref="E8:E31" si="0">ROUND(($B8*(1-C8)),2)</f>
        <v>9</v>
      </c>
      <c r="F8" s="151">
        <f t="shared" ref="F8:F31" si="1">G8-E8</f>
        <v>0</v>
      </c>
      <c r="G8" s="151">
        <f t="shared" ref="G8:G31" si="2">ROUND(($B8*(1-D8)),2)</f>
        <v>9</v>
      </c>
      <c r="H8" s="497" cm="1">
        <f t="array" ref="H8">SUMPRODUCT(--(Category="Ex_Cat_1"),--(OpCo="Express"),--(Intl="Domestic"),--(SC_Name=$A8),(SC_Count))</f>
        <v>0</v>
      </c>
      <c r="I8" s="151">
        <f t="shared" ref="I8:I31" si="3">H8*E8</f>
        <v>0</v>
      </c>
      <c r="J8" s="151">
        <f t="shared" ref="J8:J31" si="4">K8-I8</f>
        <v>0</v>
      </c>
      <c r="K8" s="151">
        <f t="shared" ref="K8:K31" si="5">H8*G8</f>
        <v>0</v>
      </c>
      <c r="L8" s="496"/>
      <c r="M8" s="496"/>
      <c r="N8" s="151">
        <f t="shared" ref="N8:N31" si="6">ROUND(($B8*(1-L8)),2)</f>
        <v>9</v>
      </c>
      <c r="O8" s="151">
        <f t="shared" ref="O8:O31" si="7">P8-N8</f>
        <v>0</v>
      </c>
      <c r="P8" s="151">
        <f t="shared" ref="P8:P31" si="8">ROUND(($B8*(1-M8)),2)</f>
        <v>9</v>
      </c>
      <c r="Q8" s="497" cm="1">
        <f t="array" ref="Q8">SUMPRODUCT(--(Category="Ex_Cat_2"),--(OpCo="Express"),--(Intl="Domestic"),--(SC_Name=$A8),(SC_Count))</f>
        <v>0</v>
      </c>
      <c r="R8" s="151">
        <f t="shared" ref="R8:R31" si="9">Q8*N8</f>
        <v>0</v>
      </c>
      <c r="S8" s="151">
        <f t="shared" ref="S8:S31" si="10">T8-R8</f>
        <v>0</v>
      </c>
      <c r="T8" s="151">
        <f t="shared" ref="T8:T31" si="11">Q8*P8</f>
        <v>0</v>
      </c>
      <c r="U8" s="496"/>
      <c r="V8" s="496"/>
      <c r="W8" s="151">
        <f t="shared" ref="W8:W31" si="12">ROUND(($B8*(1-U8)),2)</f>
        <v>9</v>
      </c>
      <c r="X8" s="151">
        <f t="shared" ref="X8:X31" si="13">Y8-W8</f>
        <v>0</v>
      </c>
      <c r="Y8" s="151">
        <f t="shared" ref="Y8:Y31" si="14">ROUND(($B8*(1-V8)),2)</f>
        <v>9</v>
      </c>
      <c r="Z8" s="497" cm="1">
        <f t="array" ref="Z8">SUMPRODUCT(--(Category="Ex_Cat_3"),--(OpCo="Express"),--(Intl="Domestic"),--(SC_Name=$A8),(SC_Count))</f>
        <v>0</v>
      </c>
      <c r="AA8" s="151">
        <f t="shared" ref="AA8:AA31" si="15">Z8*W8</f>
        <v>0</v>
      </c>
      <c r="AB8" s="151">
        <f t="shared" ref="AB8:AB31" si="16">AC8-AA8</f>
        <v>0</v>
      </c>
      <c r="AC8" s="151">
        <f t="shared" ref="AC8:AC31" si="17">Z8*Y8</f>
        <v>0</v>
      </c>
    </row>
    <row r="9" spans="1:61" x14ac:dyDescent="0.35">
      <c r="A9" s="503" t="s">
        <v>1759</v>
      </c>
      <c r="B9" s="151">
        <v>15.5</v>
      </c>
      <c r="C9" s="496"/>
      <c r="D9" s="496"/>
      <c r="E9" s="151">
        <f t="shared" si="0"/>
        <v>15.5</v>
      </c>
      <c r="F9" s="151">
        <f t="shared" si="1"/>
        <v>0</v>
      </c>
      <c r="G9" s="151">
        <f t="shared" si="2"/>
        <v>15.5</v>
      </c>
      <c r="H9" s="497" cm="1">
        <f t="array" ref="H9">SUMPRODUCT(--(Category="Ex_Cat_1"),--(OpCo="Express"),--(Intl="Domestic"),--(SC_Name=$A9),(SC_Count))</f>
        <v>0</v>
      </c>
      <c r="I9" s="151">
        <f t="shared" si="3"/>
        <v>0</v>
      </c>
      <c r="J9" s="151">
        <f t="shared" si="4"/>
        <v>0</v>
      </c>
      <c r="K9" s="151">
        <f t="shared" si="5"/>
        <v>0</v>
      </c>
      <c r="L9" s="496"/>
      <c r="M9" s="496"/>
      <c r="N9" s="151">
        <f t="shared" si="6"/>
        <v>15.5</v>
      </c>
      <c r="O9" s="151">
        <f t="shared" si="7"/>
        <v>0</v>
      </c>
      <c r="P9" s="151">
        <f t="shared" si="8"/>
        <v>15.5</v>
      </c>
      <c r="Q9" s="497" cm="1">
        <f t="array" ref="Q9">SUMPRODUCT(--(Category="Ex_Cat_2"),--(OpCo="Express"),--(Intl="Domestic"),--(SC_Name=$A9),(SC_Count))</f>
        <v>0</v>
      </c>
      <c r="R9" s="151">
        <f t="shared" si="9"/>
        <v>0</v>
      </c>
      <c r="S9" s="151">
        <f t="shared" si="10"/>
        <v>0</v>
      </c>
      <c r="T9" s="151">
        <f t="shared" si="11"/>
        <v>0</v>
      </c>
      <c r="U9" s="496"/>
      <c r="V9" s="496"/>
      <c r="W9" s="151">
        <f t="shared" si="12"/>
        <v>15.5</v>
      </c>
      <c r="X9" s="151">
        <f t="shared" si="13"/>
        <v>0</v>
      </c>
      <c r="Y9" s="151">
        <f t="shared" si="14"/>
        <v>15.5</v>
      </c>
      <c r="Z9" s="497" cm="1">
        <f t="array" ref="Z9">SUMPRODUCT(--(Category="Ex_Cat_3"),--(OpCo="Express"),--(Intl="Domestic"),--(SC_Name=$A9),(SC_Count))</f>
        <v>0</v>
      </c>
      <c r="AA9" s="151">
        <f t="shared" si="15"/>
        <v>0</v>
      </c>
      <c r="AB9" s="151">
        <f t="shared" si="16"/>
        <v>0</v>
      </c>
      <c r="AC9" s="151">
        <f t="shared" si="17"/>
        <v>0</v>
      </c>
    </row>
    <row r="10" spans="1:61" x14ac:dyDescent="0.35">
      <c r="A10" s="503" t="s">
        <v>1760</v>
      </c>
      <c r="B10" s="151">
        <v>15.5</v>
      </c>
      <c r="C10" s="496"/>
      <c r="D10" s="496"/>
      <c r="E10" s="151">
        <f t="shared" si="0"/>
        <v>15.5</v>
      </c>
      <c r="F10" s="151">
        <f t="shared" si="1"/>
        <v>0</v>
      </c>
      <c r="G10" s="151">
        <f t="shared" si="2"/>
        <v>15.5</v>
      </c>
      <c r="H10" s="497" cm="1">
        <f t="array" ref="H10">SUMPRODUCT(--(Category="Ex_Cat_1"),--(OpCo="Express"),--(Intl="Domestic"),--(SC_Name=$A10),(SC_Count))</f>
        <v>0</v>
      </c>
      <c r="I10" s="151">
        <f t="shared" si="3"/>
        <v>0</v>
      </c>
      <c r="J10" s="151">
        <f t="shared" si="4"/>
        <v>0</v>
      </c>
      <c r="K10" s="151">
        <f t="shared" si="5"/>
        <v>0</v>
      </c>
      <c r="L10" s="496"/>
      <c r="M10" s="496"/>
      <c r="N10" s="151">
        <f t="shared" si="6"/>
        <v>15.5</v>
      </c>
      <c r="O10" s="151">
        <f t="shared" si="7"/>
        <v>0</v>
      </c>
      <c r="P10" s="151">
        <f t="shared" si="8"/>
        <v>15.5</v>
      </c>
      <c r="Q10" s="497" cm="1">
        <f t="array" ref="Q10">SUMPRODUCT(--(Category="Ex_Cat_2"),--(OpCo="Express"),--(Intl="Domestic"),--(SC_Name=$A10),(SC_Count))</f>
        <v>0</v>
      </c>
      <c r="R10" s="151">
        <f t="shared" si="9"/>
        <v>0</v>
      </c>
      <c r="S10" s="151">
        <f t="shared" si="10"/>
        <v>0</v>
      </c>
      <c r="T10" s="151">
        <f t="shared" si="11"/>
        <v>0</v>
      </c>
      <c r="U10" s="496"/>
      <c r="V10" s="496"/>
      <c r="W10" s="151">
        <f t="shared" si="12"/>
        <v>15.5</v>
      </c>
      <c r="X10" s="151">
        <f t="shared" si="13"/>
        <v>0</v>
      </c>
      <c r="Y10" s="151">
        <f t="shared" si="14"/>
        <v>15.5</v>
      </c>
      <c r="Z10" s="497" cm="1">
        <f t="array" ref="Z10">SUMPRODUCT(--(Category="Ex_Cat_3"),--(OpCo="Express"),--(Intl="Domestic"),--(SC_Name=$A10),(SC_Count))</f>
        <v>0</v>
      </c>
      <c r="AA10" s="151">
        <f t="shared" si="15"/>
        <v>0</v>
      </c>
      <c r="AB10" s="151">
        <f t="shared" si="16"/>
        <v>0</v>
      </c>
      <c r="AC10" s="151">
        <f t="shared" si="17"/>
        <v>0</v>
      </c>
    </row>
    <row r="11" spans="1:61" x14ac:dyDescent="0.35">
      <c r="A11" s="503" t="s">
        <v>1761</v>
      </c>
      <c r="B11" s="151">
        <v>10.5</v>
      </c>
      <c r="C11" s="496"/>
      <c r="D11" s="496"/>
      <c r="E11" s="151">
        <f t="shared" si="0"/>
        <v>10.5</v>
      </c>
      <c r="F11" s="151">
        <f t="shared" si="1"/>
        <v>0</v>
      </c>
      <c r="G11" s="151">
        <f t="shared" si="2"/>
        <v>10.5</v>
      </c>
      <c r="H11" s="497" cm="1">
        <f t="array" ref="H11">SUMPRODUCT(--(Category="Ex_Cat_1"),--(OpCo="Express"),--(Intl="Domestic"),--(SC_Name=$A11),(SC_Count))</f>
        <v>0</v>
      </c>
      <c r="I11" s="151">
        <f t="shared" si="3"/>
        <v>0</v>
      </c>
      <c r="J11" s="151">
        <f t="shared" si="4"/>
        <v>0</v>
      </c>
      <c r="K11" s="151">
        <f t="shared" si="5"/>
        <v>0</v>
      </c>
      <c r="L11" s="496"/>
      <c r="M11" s="496"/>
      <c r="N11" s="151">
        <f t="shared" si="6"/>
        <v>10.5</v>
      </c>
      <c r="O11" s="151">
        <f t="shared" si="7"/>
        <v>0</v>
      </c>
      <c r="P11" s="151">
        <f t="shared" si="8"/>
        <v>10.5</v>
      </c>
      <c r="Q11" s="497" cm="1">
        <f t="array" ref="Q11">SUMPRODUCT(--(Category="Ex_Cat_2"),--(OpCo="Express"),--(Intl="Domestic"),--(SC_Name=$A11),(SC_Count))</f>
        <v>0</v>
      </c>
      <c r="R11" s="151">
        <f t="shared" si="9"/>
        <v>0</v>
      </c>
      <c r="S11" s="151">
        <f t="shared" si="10"/>
        <v>0</v>
      </c>
      <c r="T11" s="151">
        <f t="shared" si="11"/>
        <v>0</v>
      </c>
      <c r="U11" s="496"/>
      <c r="V11" s="496"/>
      <c r="W11" s="151">
        <f t="shared" si="12"/>
        <v>10.5</v>
      </c>
      <c r="X11" s="151">
        <f t="shared" si="13"/>
        <v>0</v>
      </c>
      <c r="Y11" s="151">
        <f t="shared" si="14"/>
        <v>10.5</v>
      </c>
      <c r="Z11" s="497" cm="1">
        <f t="array" ref="Z11">SUMPRODUCT(--(Category="Ex_Cat_3"),--(OpCo="Express"),--(Intl="Domestic"),--(SC_Name=$A11),(SC_Count))</f>
        <v>0</v>
      </c>
      <c r="AA11" s="151">
        <f t="shared" si="15"/>
        <v>0</v>
      </c>
      <c r="AB11" s="151">
        <f t="shared" si="16"/>
        <v>0</v>
      </c>
      <c r="AC11" s="151">
        <f t="shared" si="17"/>
        <v>0</v>
      </c>
    </row>
    <row r="12" spans="1:61" x14ac:dyDescent="0.35">
      <c r="A12" s="503" t="s">
        <v>1762</v>
      </c>
      <c r="B12" s="151">
        <v>17</v>
      </c>
      <c r="C12" s="496"/>
      <c r="D12" s="496"/>
      <c r="E12" s="151">
        <f t="shared" si="0"/>
        <v>17</v>
      </c>
      <c r="F12" s="151">
        <f t="shared" si="1"/>
        <v>0</v>
      </c>
      <c r="G12" s="151">
        <f t="shared" si="2"/>
        <v>17</v>
      </c>
      <c r="H12" s="497" cm="1">
        <f t="array" ref="H12">SUMPRODUCT(--(Category="Ex_Cat_1"),--(OpCo="Express"),--(Intl="Domestic"),--(SC_Name=$A12),(SC_Count))</f>
        <v>0</v>
      </c>
      <c r="I12" s="151">
        <f t="shared" si="3"/>
        <v>0</v>
      </c>
      <c r="J12" s="151">
        <f t="shared" si="4"/>
        <v>0</v>
      </c>
      <c r="K12" s="151">
        <f t="shared" si="5"/>
        <v>0</v>
      </c>
      <c r="L12" s="496"/>
      <c r="M12" s="496"/>
      <c r="N12" s="151">
        <f t="shared" si="6"/>
        <v>17</v>
      </c>
      <c r="O12" s="151">
        <f t="shared" si="7"/>
        <v>0</v>
      </c>
      <c r="P12" s="151">
        <f t="shared" si="8"/>
        <v>17</v>
      </c>
      <c r="Q12" s="497" cm="1">
        <f t="array" ref="Q12">SUMPRODUCT(--(Category="Ex_Cat_2"),--(OpCo="Express"),--(Intl="Domestic"),--(SC_Name=$A12),(SC_Count))</f>
        <v>0</v>
      </c>
      <c r="R12" s="151">
        <f t="shared" si="9"/>
        <v>0</v>
      </c>
      <c r="S12" s="151">
        <f t="shared" si="10"/>
        <v>0</v>
      </c>
      <c r="T12" s="151">
        <f t="shared" si="11"/>
        <v>0</v>
      </c>
      <c r="U12" s="496"/>
      <c r="V12" s="496"/>
      <c r="W12" s="151">
        <f t="shared" si="12"/>
        <v>17</v>
      </c>
      <c r="X12" s="151">
        <f t="shared" si="13"/>
        <v>0</v>
      </c>
      <c r="Y12" s="151">
        <f t="shared" si="14"/>
        <v>17</v>
      </c>
      <c r="Z12" s="497" cm="1">
        <f t="array" ref="Z12">SUMPRODUCT(--(Category="Ex_Cat_3"),--(OpCo="Express"),--(Intl="Domestic"),--(SC_Name=$A12),(SC_Count))</f>
        <v>0</v>
      </c>
      <c r="AA12" s="151">
        <f t="shared" si="15"/>
        <v>0</v>
      </c>
      <c r="AB12" s="151">
        <f t="shared" si="16"/>
        <v>0</v>
      </c>
      <c r="AC12" s="151">
        <f t="shared" si="17"/>
        <v>0</v>
      </c>
    </row>
    <row r="13" spans="1:61" x14ac:dyDescent="0.35">
      <c r="A13" s="503" t="s">
        <v>1763</v>
      </c>
      <c r="B13" s="151">
        <v>17</v>
      </c>
      <c r="C13" s="496"/>
      <c r="D13" s="496"/>
      <c r="E13" s="151">
        <f t="shared" si="0"/>
        <v>17</v>
      </c>
      <c r="F13" s="151">
        <f t="shared" si="1"/>
        <v>0</v>
      </c>
      <c r="G13" s="151">
        <f t="shared" si="2"/>
        <v>17</v>
      </c>
      <c r="H13" s="497" cm="1">
        <f t="array" ref="H13">SUMPRODUCT(--(Category="Ex_Cat_1"),--(OpCo="Express"),--(Intl="Domestic"),--(SC_Name=$A13),(SC_Count))</f>
        <v>0</v>
      </c>
      <c r="I13" s="151">
        <f t="shared" si="3"/>
        <v>0</v>
      </c>
      <c r="J13" s="151">
        <f t="shared" si="4"/>
        <v>0</v>
      </c>
      <c r="K13" s="151">
        <f t="shared" si="5"/>
        <v>0</v>
      </c>
      <c r="L13" s="496"/>
      <c r="M13" s="496"/>
      <c r="N13" s="151">
        <f t="shared" si="6"/>
        <v>17</v>
      </c>
      <c r="O13" s="151">
        <f t="shared" si="7"/>
        <v>0</v>
      </c>
      <c r="P13" s="151">
        <f t="shared" si="8"/>
        <v>17</v>
      </c>
      <c r="Q13" s="497" cm="1">
        <f t="array" ref="Q13">SUMPRODUCT(--(Category="Ex_Cat_2"),--(OpCo="Express"),--(Intl="Domestic"),--(SC_Name=$A13),(SC_Count))</f>
        <v>0</v>
      </c>
      <c r="R13" s="151">
        <f t="shared" si="9"/>
        <v>0</v>
      </c>
      <c r="S13" s="151">
        <f t="shared" si="10"/>
        <v>0</v>
      </c>
      <c r="T13" s="151">
        <f t="shared" si="11"/>
        <v>0</v>
      </c>
      <c r="U13" s="496"/>
      <c r="V13" s="496"/>
      <c r="W13" s="151">
        <f t="shared" si="12"/>
        <v>17</v>
      </c>
      <c r="X13" s="151">
        <f t="shared" si="13"/>
        <v>0</v>
      </c>
      <c r="Y13" s="151">
        <f t="shared" si="14"/>
        <v>17</v>
      </c>
      <c r="Z13" s="497" cm="1">
        <f t="array" ref="Z13">SUMPRODUCT(--(Category="Ex_Cat_3"),--(OpCo="Express"),--(Intl="Domestic"),--(SC_Name=$A13),(SC_Count))</f>
        <v>0</v>
      </c>
      <c r="AA13" s="151">
        <f t="shared" si="15"/>
        <v>0</v>
      </c>
      <c r="AB13" s="151">
        <f t="shared" si="16"/>
        <v>0</v>
      </c>
      <c r="AC13" s="151">
        <f t="shared" si="17"/>
        <v>0</v>
      </c>
    </row>
    <row r="14" spans="1:61" x14ac:dyDescent="0.35">
      <c r="A14" s="501" t="s">
        <v>1764</v>
      </c>
      <c r="B14" s="502"/>
      <c r="C14" s="502"/>
      <c r="D14" s="502"/>
      <c r="E14" s="502"/>
      <c r="F14" s="502"/>
      <c r="G14" s="502"/>
      <c r="H14" s="502"/>
      <c r="I14" s="502"/>
      <c r="J14" s="502"/>
      <c r="K14" s="502"/>
      <c r="L14" s="502"/>
      <c r="M14" s="502"/>
      <c r="N14" s="502"/>
      <c r="O14" s="502"/>
      <c r="P14" s="502"/>
      <c r="Q14" s="502"/>
      <c r="R14" s="502"/>
      <c r="S14" s="502"/>
      <c r="T14" s="502"/>
      <c r="U14" s="509"/>
      <c r="V14" s="509"/>
      <c r="W14" s="502"/>
      <c r="X14" s="502"/>
      <c r="Y14" s="502"/>
      <c r="Z14" s="502"/>
      <c r="AA14" s="502"/>
      <c r="AB14" s="502"/>
      <c r="AC14" s="502"/>
    </row>
    <row r="15" spans="1:61" x14ac:dyDescent="0.35">
      <c r="A15" s="503" t="s">
        <v>1765</v>
      </c>
      <c r="B15" s="151">
        <v>14.75</v>
      </c>
      <c r="C15" s="496"/>
      <c r="D15" s="496"/>
      <c r="E15" s="151">
        <f t="shared" si="0"/>
        <v>14.75</v>
      </c>
      <c r="F15" s="151">
        <f t="shared" si="1"/>
        <v>0</v>
      </c>
      <c r="G15" s="151">
        <f t="shared" si="2"/>
        <v>14.75</v>
      </c>
      <c r="H15" s="497" cm="1">
        <f t="array" ref="H15">SUMPRODUCT(--(Category="Ex_Cat_1"),--(OpCo="Express"),--(Intl="Domestic"),--(SC_Name=$A15),(SC_Count))</f>
        <v>0</v>
      </c>
      <c r="I15" s="151">
        <f t="shared" si="3"/>
        <v>0</v>
      </c>
      <c r="J15" s="151">
        <f t="shared" si="4"/>
        <v>0</v>
      </c>
      <c r="K15" s="151">
        <f t="shared" si="5"/>
        <v>0</v>
      </c>
      <c r="L15" s="496"/>
      <c r="M15" s="496"/>
      <c r="N15" s="151">
        <f t="shared" si="6"/>
        <v>14.75</v>
      </c>
      <c r="O15" s="151">
        <f t="shared" si="7"/>
        <v>0</v>
      </c>
      <c r="P15" s="151">
        <f t="shared" si="8"/>
        <v>14.75</v>
      </c>
      <c r="Q15" s="497" cm="1">
        <f t="array" ref="Q15">SUMPRODUCT(--(Category="Ex_Cat_2"),--(OpCo="Express"),--(Intl="Domestic"),--(SC_Name=$A15),(SC_Count))</f>
        <v>0</v>
      </c>
      <c r="R15" s="151">
        <f t="shared" si="9"/>
        <v>0</v>
      </c>
      <c r="S15" s="151">
        <f t="shared" si="10"/>
        <v>0</v>
      </c>
      <c r="T15" s="151">
        <f t="shared" si="11"/>
        <v>0</v>
      </c>
      <c r="U15" s="496"/>
      <c r="V15" s="496"/>
      <c r="W15" s="151">
        <f t="shared" si="12"/>
        <v>14.75</v>
      </c>
      <c r="X15" s="151">
        <f t="shared" si="13"/>
        <v>0</v>
      </c>
      <c r="Y15" s="151">
        <f t="shared" si="14"/>
        <v>14.75</v>
      </c>
      <c r="Z15" s="497" cm="1">
        <f t="array" ref="Z15">SUMPRODUCT(--(Category="Ex_Cat_3"),--(OpCo="Express"),--(Intl="Domestic"),--(SC_Name=$A15),(SC_Count))</f>
        <v>0</v>
      </c>
      <c r="AA15" s="151">
        <f t="shared" si="15"/>
        <v>0</v>
      </c>
      <c r="AB15" s="151">
        <f t="shared" si="16"/>
        <v>0</v>
      </c>
      <c r="AC15" s="151">
        <f t="shared" si="17"/>
        <v>0</v>
      </c>
    </row>
    <row r="16" spans="1:61" x14ac:dyDescent="0.35">
      <c r="A16" s="503" t="s">
        <v>1766</v>
      </c>
      <c r="B16" s="151">
        <v>21.25</v>
      </c>
      <c r="C16" s="496"/>
      <c r="D16" s="496"/>
      <c r="E16" s="151">
        <f t="shared" si="0"/>
        <v>21.25</v>
      </c>
      <c r="F16" s="151">
        <f t="shared" si="1"/>
        <v>0</v>
      </c>
      <c r="G16" s="151">
        <f t="shared" si="2"/>
        <v>21.25</v>
      </c>
      <c r="H16" s="497" cm="1">
        <f t="array" ref="H16">SUMPRODUCT(--(Category="Ex_Cat_1"),--(OpCo="Express"),--(Intl="Domestic"),--(SC_Name=$A16),(SC_Count))</f>
        <v>0</v>
      </c>
      <c r="I16" s="151">
        <f t="shared" si="3"/>
        <v>0</v>
      </c>
      <c r="J16" s="151">
        <f t="shared" si="4"/>
        <v>0</v>
      </c>
      <c r="K16" s="151">
        <f t="shared" si="5"/>
        <v>0</v>
      </c>
      <c r="L16" s="496"/>
      <c r="M16" s="496"/>
      <c r="N16" s="151">
        <f t="shared" si="6"/>
        <v>21.25</v>
      </c>
      <c r="O16" s="151">
        <f t="shared" si="7"/>
        <v>0</v>
      </c>
      <c r="P16" s="151">
        <f t="shared" si="8"/>
        <v>21.25</v>
      </c>
      <c r="Q16" s="497" cm="1">
        <f t="array" ref="Q16">SUMPRODUCT(--(Category="Ex_Cat_2"),--(OpCo="Express"),--(Intl="Domestic"),--(SC_Name=$A16),(SC_Count))</f>
        <v>0</v>
      </c>
      <c r="R16" s="151">
        <f t="shared" si="9"/>
        <v>0</v>
      </c>
      <c r="S16" s="151">
        <f t="shared" si="10"/>
        <v>0</v>
      </c>
      <c r="T16" s="151">
        <f t="shared" si="11"/>
        <v>0</v>
      </c>
      <c r="U16" s="496"/>
      <c r="V16" s="496"/>
      <c r="W16" s="151">
        <f t="shared" si="12"/>
        <v>21.25</v>
      </c>
      <c r="X16" s="151">
        <f t="shared" si="13"/>
        <v>0</v>
      </c>
      <c r="Y16" s="151">
        <f t="shared" si="14"/>
        <v>21.25</v>
      </c>
      <c r="Z16" s="497" cm="1">
        <f t="array" ref="Z16">SUMPRODUCT(--(Category="Ex_Cat_3"),--(OpCo="Express"),--(Intl="Domestic"),--(SC_Name=$A16),(SC_Count))</f>
        <v>0</v>
      </c>
      <c r="AA16" s="151">
        <f t="shared" si="15"/>
        <v>0</v>
      </c>
      <c r="AB16" s="151">
        <f t="shared" si="16"/>
        <v>0</v>
      </c>
      <c r="AC16" s="151">
        <f t="shared" si="17"/>
        <v>0</v>
      </c>
    </row>
    <row r="17" spans="1:29" x14ac:dyDescent="0.35">
      <c r="A17" s="503" t="s">
        <v>1767</v>
      </c>
      <c r="B17" s="151">
        <v>21.25</v>
      </c>
      <c r="C17" s="496"/>
      <c r="D17" s="496"/>
      <c r="E17" s="151">
        <f t="shared" si="0"/>
        <v>21.25</v>
      </c>
      <c r="F17" s="151">
        <f t="shared" si="1"/>
        <v>0</v>
      </c>
      <c r="G17" s="151">
        <f t="shared" si="2"/>
        <v>21.25</v>
      </c>
      <c r="H17" s="497" cm="1">
        <f t="array" ref="H17">SUMPRODUCT(--(Category="Ex_Cat_1"),--(OpCo="Express"),--(Intl="Domestic"),--(SC_Name=$A17),(SC_Count))</f>
        <v>0</v>
      </c>
      <c r="I17" s="151">
        <f t="shared" si="3"/>
        <v>0</v>
      </c>
      <c r="J17" s="151">
        <f t="shared" si="4"/>
        <v>0</v>
      </c>
      <c r="K17" s="151">
        <f t="shared" si="5"/>
        <v>0</v>
      </c>
      <c r="L17" s="496"/>
      <c r="M17" s="496"/>
      <c r="N17" s="151">
        <f t="shared" si="6"/>
        <v>21.25</v>
      </c>
      <c r="O17" s="151">
        <f t="shared" si="7"/>
        <v>0</v>
      </c>
      <c r="P17" s="151">
        <f t="shared" si="8"/>
        <v>21.25</v>
      </c>
      <c r="Q17" s="497" cm="1">
        <f t="array" ref="Q17">SUMPRODUCT(--(Category="Ex_Cat_2"),--(OpCo="Express"),--(Intl="Domestic"),--(SC_Name=$A17),(SC_Count))</f>
        <v>0</v>
      </c>
      <c r="R17" s="151">
        <f t="shared" si="9"/>
        <v>0</v>
      </c>
      <c r="S17" s="151">
        <f t="shared" si="10"/>
        <v>0</v>
      </c>
      <c r="T17" s="151">
        <f t="shared" si="11"/>
        <v>0</v>
      </c>
      <c r="U17" s="496"/>
      <c r="V17" s="496"/>
      <c r="W17" s="151">
        <f t="shared" si="12"/>
        <v>21.25</v>
      </c>
      <c r="X17" s="151">
        <f t="shared" si="13"/>
        <v>0</v>
      </c>
      <c r="Y17" s="151">
        <f t="shared" si="14"/>
        <v>21.25</v>
      </c>
      <c r="Z17" s="497" cm="1">
        <f t="array" ref="Z17">SUMPRODUCT(--(Category="Ex_Cat_3"),--(OpCo="Express"),--(Intl="Domestic"),--(SC_Name=$A17),(SC_Count))</f>
        <v>0</v>
      </c>
      <c r="AA17" s="151">
        <f t="shared" si="15"/>
        <v>0</v>
      </c>
      <c r="AB17" s="151">
        <f t="shared" si="16"/>
        <v>0</v>
      </c>
      <c r="AC17" s="151">
        <f t="shared" si="17"/>
        <v>0</v>
      </c>
    </row>
    <row r="18" spans="1:29" x14ac:dyDescent="0.35">
      <c r="A18" s="503" t="s">
        <v>1768</v>
      </c>
      <c r="B18" s="151">
        <v>16.25</v>
      </c>
      <c r="C18" s="496"/>
      <c r="D18" s="496"/>
      <c r="E18" s="151">
        <f t="shared" si="0"/>
        <v>16.25</v>
      </c>
      <c r="F18" s="151">
        <f t="shared" si="1"/>
        <v>0</v>
      </c>
      <c r="G18" s="151">
        <f t="shared" si="2"/>
        <v>16.25</v>
      </c>
      <c r="H18" s="497" cm="1">
        <f t="array" ref="H18">SUMPRODUCT(--(Category="Ex_Cat_1"),--(OpCo="Express"),--(Intl="Domestic"),--(SC_Name=$A18),(SC_Count))</f>
        <v>0</v>
      </c>
      <c r="I18" s="151">
        <f t="shared" si="3"/>
        <v>0</v>
      </c>
      <c r="J18" s="151">
        <f t="shared" si="4"/>
        <v>0</v>
      </c>
      <c r="K18" s="151">
        <f t="shared" si="5"/>
        <v>0</v>
      </c>
      <c r="L18" s="496"/>
      <c r="M18" s="496"/>
      <c r="N18" s="151">
        <f t="shared" si="6"/>
        <v>16.25</v>
      </c>
      <c r="O18" s="151">
        <f t="shared" si="7"/>
        <v>0</v>
      </c>
      <c r="P18" s="151">
        <f t="shared" si="8"/>
        <v>16.25</v>
      </c>
      <c r="Q18" s="497" cm="1">
        <f t="array" ref="Q18">SUMPRODUCT(--(Category="Ex_Cat_2"),--(OpCo="Express"),--(Intl="Domestic"),--(SC_Name=$A18),(SC_Count))</f>
        <v>0</v>
      </c>
      <c r="R18" s="151">
        <f t="shared" si="9"/>
        <v>0</v>
      </c>
      <c r="S18" s="151">
        <f t="shared" si="10"/>
        <v>0</v>
      </c>
      <c r="T18" s="151">
        <f t="shared" si="11"/>
        <v>0</v>
      </c>
      <c r="U18" s="496"/>
      <c r="V18" s="496"/>
      <c r="W18" s="151">
        <f t="shared" si="12"/>
        <v>16.25</v>
      </c>
      <c r="X18" s="151">
        <f t="shared" si="13"/>
        <v>0</v>
      </c>
      <c r="Y18" s="151">
        <f t="shared" si="14"/>
        <v>16.25</v>
      </c>
      <c r="Z18" s="497" cm="1">
        <f t="array" ref="Z18">SUMPRODUCT(--(Category="Ex_Cat_3"),--(OpCo="Express"),--(Intl="Domestic"),--(SC_Name=$A18),(SC_Count))</f>
        <v>0</v>
      </c>
      <c r="AA18" s="151">
        <f t="shared" si="15"/>
        <v>0</v>
      </c>
      <c r="AB18" s="151">
        <f t="shared" si="16"/>
        <v>0</v>
      </c>
      <c r="AC18" s="151">
        <f t="shared" si="17"/>
        <v>0</v>
      </c>
    </row>
    <row r="19" spans="1:29" x14ac:dyDescent="0.35">
      <c r="A19" s="503" t="s">
        <v>1769</v>
      </c>
      <c r="B19" s="151">
        <v>22.75</v>
      </c>
      <c r="C19" s="496"/>
      <c r="D19" s="496"/>
      <c r="E19" s="151">
        <f t="shared" si="0"/>
        <v>22.75</v>
      </c>
      <c r="F19" s="151">
        <f t="shared" si="1"/>
        <v>0</v>
      </c>
      <c r="G19" s="151">
        <f t="shared" si="2"/>
        <v>22.75</v>
      </c>
      <c r="H19" s="497" cm="1">
        <f t="array" ref="H19">SUMPRODUCT(--(Category="Ex_Cat_1"),--(OpCo="Express"),--(Intl="Domestic"),--(SC_Name=$A19),(SC_Count))</f>
        <v>0</v>
      </c>
      <c r="I19" s="151">
        <f t="shared" si="3"/>
        <v>0</v>
      </c>
      <c r="J19" s="151">
        <f t="shared" si="4"/>
        <v>0</v>
      </c>
      <c r="K19" s="151">
        <f t="shared" si="5"/>
        <v>0</v>
      </c>
      <c r="L19" s="496"/>
      <c r="M19" s="496"/>
      <c r="N19" s="151">
        <f t="shared" si="6"/>
        <v>22.75</v>
      </c>
      <c r="O19" s="151">
        <f t="shared" si="7"/>
        <v>0</v>
      </c>
      <c r="P19" s="151">
        <f t="shared" si="8"/>
        <v>22.75</v>
      </c>
      <c r="Q19" s="497" cm="1">
        <f t="array" ref="Q19">SUMPRODUCT(--(Category="Ex_Cat_2"),--(OpCo="Express"),--(Intl="Domestic"),--(SC_Name=$A19),(SC_Count))</f>
        <v>0</v>
      </c>
      <c r="R19" s="151">
        <f t="shared" si="9"/>
        <v>0</v>
      </c>
      <c r="S19" s="151">
        <f t="shared" si="10"/>
        <v>0</v>
      </c>
      <c r="T19" s="151">
        <f t="shared" si="11"/>
        <v>0</v>
      </c>
      <c r="U19" s="496"/>
      <c r="V19" s="496"/>
      <c r="W19" s="151">
        <f t="shared" si="12"/>
        <v>22.75</v>
      </c>
      <c r="X19" s="151">
        <f t="shared" si="13"/>
        <v>0</v>
      </c>
      <c r="Y19" s="151">
        <f t="shared" si="14"/>
        <v>22.75</v>
      </c>
      <c r="Z19" s="497" cm="1">
        <f t="array" ref="Z19">SUMPRODUCT(--(Category="Ex_Cat_3"),--(OpCo="Express"),--(Intl="Domestic"),--(SC_Name=$A19),(SC_Count))</f>
        <v>0</v>
      </c>
      <c r="AA19" s="151">
        <f t="shared" si="15"/>
        <v>0</v>
      </c>
      <c r="AB19" s="151">
        <f t="shared" si="16"/>
        <v>0</v>
      </c>
      <c r="AC19" s="151">
        <f t="shared" si="17"/>
        <v>0</v>
      </c>
    </row>
    <row r="20" spans="1:29" x14ac:dyDescent="0.35">
      <c r="A20" s="503" t="s">
        <v>1770</v>
      </c>
      <c r="B20" s="151">
        <v>22.75</v>
      </c>
      <c r="C20" s="496"/>
      <c r="D20" s="496"/>
      <c r="E20" s="151">
        <f t="shared" si="0"/>
        <v>22.75</v>
      </c>
      <c r="F20" s="151">
        <f t="shared" si="1"/>
        <v>0</v>
      </c>
      <c r="G20" s="151">
        <f t="shared" si="2"/>
        <v>22.75</v>
      </c>
      <c r="H20" s="497" cm="1">
        <f t="array" ref="H20">SUMPRODUCT(--(Category="Ex_Cat_1"),--(OpCo="Express"),--(Intl="Domestic"),--(SC_Name=$A20),(SC_Count))</f>
        <v>0</v>
      </c>
      <c r="I20" s="151">
        <f t="shared" si="3"/>
        <v>0</v>
      </c>
      <c r="J20" s="151">
        <f t="shared" si="4"/>
        <v>0</v>
      </c>
      <c r="K20" s="151">
        <f t="shared" si="5"/>
        <v>0</v>
      </c>
      <c r="L20" s="496"/>
      <c r="M20" s="496"/>
      <c r="N20" s="151">
        <f t="shared" si="6"/>
        <v>22.75</v>
      </c>
      <c r="O20" s="151">
        <f t="shared" si="7"/>
        <v>0</v>
      </c>
      <c r="P20" s="151">
        <f t="shared" si="8"/>
        <v>22.75</v>
      </c>
      <c r="Q20" s="497" cm="1">
        <f t="array" ref="Q20">SUMPRODUCT(--(Category="Ex_Cat_2"),--(OpCo="Express"),--(Intl="Domestic"),--(SC_Name=$A20),(SC_Count))</f>
        <v>0</v>
      </c>
      <c r="R20" s="151">
        <f t="shared" si="9"/>
        <v>0</v>
      </c>
      <c r="S20" s="151">
        <f t="shared" si="10"/>
        <v>0</v>
      </c>
      <c r="T20" s="151">
        <f t="shared" si="11"/>
        <v>0</v>
      </c>
      <c r="U20" s="496"/>
      <c r="V20" s="496"/>
      <c r="W20" s="151">
        <f t="shared" si="12"/>
        <v>22.75</v>
      </c>
      <c r="X20" s="151">
        <f t="shared" si="13"/>
        <v>0</v>
      </c>
      <c r="Y20" s="151">
        <f t="shared" si="14"/>
        <v>22.75</v>
      </c>
      <c r="Z20" s="497" cm="1">
        <f t="array" ref="Z20">SUMPRODUCT(--(Category="Ex_Cat_3"),--(OpCo="Express"),--(Intl="Domestic"),--(SC_Name=$A20),(SC_Count))</f>
        <v>0</v>
      </c>
      <c r="AA20" s="151">
        <f t="shared" si="15"/>
        <v>0</v>
      </c>
      <c r="AB20" s="151">
        <f t="shared" si="16"/>
        <v>0</v>
      </c>
      <c r="AC20" s="151">
        <f t="shared" si="17"/>
        <v>0</v>
      </c>
    </row>
    <row r="21" spans="1:29" x14ac:dyDescent="0.35">
      <c r="A21" s="501" t="s">
        <v>1771</v>
      </c>
      <c r="B21" s="67"/>
      <c r="C21" s="67"/>
      <c r="D21" s="67"/>
      <c r="E21" s="67"/>
      <c r="F21" s="67"/>
      <c r="G21" s="67"/>
      <c r="H21" s="500"/>
      <c r="I21" s="67"/>
      <c r="J21" s="67"/>
      <c r="K21" s="67"/>
      <c r="L21" s="67"/>
      <c r="M21" s="67"/>
      <c r="N21" s="67"/>
      <c r="O21" s="67"/>
      <c r="P21" s="67"/>
      <c r="Q21" s="500"/>
      <c r="R21" s="67"/>
      <c r="S21" s="67"/>
      <c r="T21" s="67"/>
      <c r="U21" s="509"/>
      <c r="V21" s="509"/>
      <c r="W21" s="67"/>
      <c r="X21" s="67"/>
      <c r="Y21" s="67"/>
      <c r="Z21" s="500"/>
      <c r="AA21" s="67"/>
      <c r="AB21" s="67"/>
      <c r="AC21" s="67"/>
    </row>
    <row r="22" spans="1:29" x14ac:dyDescent="0.35">
      <c r="A22" s="503" t="s">
        <v>1772</v>
      </c>
      <c r="B22" s="151">
        <v>5.95</v>
      </c>
      <c r="C22" s="496"/>
      <c r="D22" s="496"/>
      <c r="E22" s="151">
        <f t="shared" si="0"/>
        <v>5.95</v>
      </c>
      <c r="F22" s="151">
        <f t="shared" si="1"/>
        <v>0</v>
      </c>
      <c r="G22" s="151">
        <f t="shared" si="2"/>
        <v>5.95</v>
      </c>
      <c r="H22" s="497" cm="1">
        <f t="array" ref="H22">SUMPRODUCT(--(Category="Ex_Cat_1"),--(OpCo="Express"),--(Intl="Domestic"),--(SC_Name=$A22),(SC_Count))</f>
        <v>0</v>
      </c>
      <c r="I22" s="151">
        <f t="shared" si="3"/>
        <v>0</v>
      </c>
      <c r="J22" s="151">
        <f t="shared" si="4"/>
        <v>0</v>
      </c>
      <c r="K22" s="151">
        <f t="shared" si="5"/>
        <v>0</v>
      </c>
      <c r="L22" s="496"/>
      <c r="M22" s="496"/>
      <c r="N22" s="151">
        <f t="shared" si="6"/>
        <v>5.95</v>
      </c>
      <c r="O22" s="151">
        <f t="shared" si="7"/>
        <v>0</v>
      </c>
      <c r="P22" s="151">
        <f t="shared" si="8"/>
        <v>5.95</v>
      </c>
      <c r="Q22" s="497" cm="1">
        <f t="array" ref="Q22">SUMPRODUCT(--(Category="Ex_Cat_2"),--(OpCo="Express"),--(Intl="Domestic"),--(SC_Name=$A22),(SC_Count))</f>
        <v>0</v>
      </c>
      <c r="R22" s="151">
        <f t="shared" si="9"/>
        <v>0</v>
      </c>
      <c r="S22" s="151">
        <f t="shared" si="10"/>
        <v>0</v>
      </c>
      <c r="T22" s="151">
        <f t="shared" si="11"/>
        <v>0</v>
      </c>
      <c r="U22" s="496"/>
      <c r="V22" s="496"/>
      <c r="W22" s="151">
        <f t="shared" si="12"/>
        <v>5.95</v>
      </c>
      <c r="X22" s="151">
        <f t="shared" si="13"/>
        <v>0</v>
      </c>
      <c r="Y22" s="151">
        <f t="shared" si="14"/>
        <v>5.95</v>
      </c>
      <c r="Z22" s="497" cm="1">
        <f t="array" ref="Z22">SUMPRODUCT(--(Category="Ex_Cat_3"),--(OpCo="Express"),--(Intl="Domestic"),--(SC_Name=$A22),(SC_Count))</f>
        <v>0</v>
      </c>
      <c r="AA22" s="151">
        <f t="shared" si="15"/>
        <v>0</v>
      </c>
      <c r="AB22" s="151">
        <f t="shared" si="16"/>
        <v>0</v>
      </c>
      <c r="AC22" s="151">
        <f t="shared" si="17"/>
        <v>0</v>
      </c>
    </row>
    <row r="23" spans="1:29" x14ac:dyDescent="0.35">
      <c r="A23" s="503" t="s">
        <v>1773</v>
      </c>
      <c r="B23" s="151">
        <v>6.2</v>
      </c>
      <c r="C23" s="496"/>
      <c r="D23" s="496"/>
      <c r="E23" s="151">
        <f t="shared" si="0"/>
        <v>6.2</v>
      </c>
      <c r="F23" s="151">
        <f t="shared" si="1"/>
        <v>0</v>
      </c>
      <c r="G23" s="151">
        <f t="shared" si="2"/>
        <v>6.2</v>
      </c>
      <c r="H23" s="497" cm="1">
        <f t="array" ref="H23">SUMPRODUCT(--(Category="Ex_Cat_1"),--(OpCo="Express"),--(Intl="Domestic"),--(SC_Name=$A23),(SC_Count))</f>
        <v>0</v>
      </c>
      <c r="I23" s="151">
        <f t="shared" si="3"/>
        <v>0</v>
      </c>
      <c r="J23" s="151">
        <f t="shared" si="4"/>
        <v>0</v>
      </c>
      <c r="K23" s="151">
        <f t="shared" si="5"/>
        <v>0</v>
      </c>
      <c r="L23" s="496"/>
      <c r="M23" s="496"/>
      <c r="N23" s="151">
        <f t="shared" si="6"/>
        <v>6.2</v>
      </c>
      <c r="O23" s="151">
        <f t="shared" si="7"/>
        <v>0</v>
      </c>
      <c r="P23" s="151">
        <f t="shared" si="8"/>
        <v>6.2</v>
      </c>
      <c r="Q23" s="497" cm="1">
        <f t="array" ref="Q23">SUMPRODUCT(--(Category="Ex_Cat_2"),--(OpCo="Express"),--(Intl="Domestic"),--(SC_Name=$A23),(SC_Count))</f>
        <v>0</v>
      </c>
      <c r="R23" s="151">
        <f t="shared" si="9"/>
        <v>0</v>
      </c>
      <c r="S23" s="151">
        <f t="shared" si="10"/>
        <v>0</v>
      </c>
      <c r="T23" s="151">
        <f t="shared" si="11"/>
        <v>0</v>
      </c>
      <c r="U23" s="496"/>
      <c r="V23" s="496"/>
      <c r="W23" s="151">
        <f t="shared" si="12"/>
        <v>6.2</v>
      </c>
      <c r="X23" s="151">
        <f t="shared" si="13"/>
        <v>0</v>
      </c>
      <c r="Y23" s="151">
        <f t="shared" si="14"/>
        <v>6.2</v>
      </c>
      <c r="Z23" s="497" cm="1">
        <f t="array" ref="Z23">SUMPRODUCT(--(Category="Ex_Cat_3"),--(OpCo="Express"),--(Intl="Domestic"),--(SC_Name=$A23),(SC_Count))</f>
        <v>0</v>
      </c>
      <c r="AA23" s="151">
        <f t="shared" si="15"/>
        <v>0</v>
      </c>
      <c r="AB23" s="151">
        <f t="shared" si="16"/>
        <v>0</v>
      </c>
      <c r="AC23" s="151">
        <f t="shared" si="17"/>
        <v>0</v>
      </c>
    </row>
    <row r="24" spans="1:29" x14ac:dyDescent="0.35">
      <c r="A24" s="503" t="s">
        <v>1774</v>
      </c>
      <c r="B24" s="151">
        <v>8.3000000000000007</v>
      </c>
      <c r="C24" s="496"/>
      <c r="D24" s="496"/>
      <c r="E24" s="151">
        <f t="shared" si="0"/>
        <v>8.3000000000000007</v>
      </c>
      <c r="F24" s="151">
        <f t="shared" si="1"/>
        <v>0</v>
      </c>
      <c r="G24" s="151">
        <f t="shared" si="2"/>
        <v>8.3000000000000007</v>
      </c>
      <c r="H24" s="497" cm="1">
        <f t="array" ref="H24">SUMPRODUCT(--(Category="Ex_Cat_1"),--(OpCo="Express"),--(Intl="Domestic"),--(SC_Name=$A24),(SC_Count))</f>
        <v>0</v>
      </c>
      <c r="I24" s="151">
        <f t="shared" si="3"/>
        <v>0</v>
      </c>
      <c r="J24" s="151">
        <f t="shared" si="4"/>
        <v>0</v>
      </c>
      <c r="K24" s="151">
        <f t="shared" si="5"/>
        <v>0</v>
      </c>
      <c r="L24" s="496"/>
      <c r="M24" s="496"/>
      <c r="N24" s="151">
        <f t="shared" si="6"/>
        <v>8.3000000000000007</v>
      </c>
      <c r="O24" s="151">
        <f t="shared" si="7"/>
        <v>0</v>
      </c>
      <c r="P24" s="151">
        <f t="shared" si="8"/>
        <v>8.3000000000000007</v>
      </c>
      <c r="Q24" s="497" cm="1">
        <f t="array" ref="Q24">SUMPRODUCT(--(Category="Ex_Cat_2"),--(OpCo="Express"),--(Intl="Domestic"),--(SC_Name=$A24),(SC_Count))</f>
        <v>0</v>
      </c>
      <c r="R24" s="151">
        <f t="shared" si="9"/>
        <v>0</v>
      </c>
      <c r="S24" s="151">
        <f t="shared" si="10"/>
        <v>0</v>
      </c>
      <c r="T24" s="151">
        <f t="shared" si="11"/>
        <v>0</v>
      </c>
      <c r="U24" s="496"/>
      <c r="V24" s="496"/>
      <c r="W24" s="151">
        <f t="shared" si="12"/>
        <v>8.3000000000000007</v>
      </c>
      <c r="X24" s="151">
        <f t="shared" si="13"/>
        <v>0</v>
      </c>
      <c r="Y24" s="151">
        <f t="shared" si="14"/>
        <v>8.3000000000000007</v>
      </c>
      <c r="Z24" s="497" cm="1">
        <f t="array" ref="Z24">SUMPRODUCT(--(Category="Ex_Cat_3"),--(OpCo="Express"),--(Intl="Domestic"),--(SC_Name=$A24),(SC_Count))</f>
        <v>0</v>
      </c>
      <c r="AA24" s="151">
        <f t="shared" si="15"/>
        <v>0</v>
      </c>
      <c r="AB24" s="151">
        <f t="shared" si="16"/>
        <v>0</v>
      </c>
      <c r="AC24" s="151">
        <f t="shared" si="17"/>
        <v>0</v>
      </c>
    </row>
    <row r="25" spans="1:29" x14ac:dyDescent="0.35">
      <c r="A25" s="503" t="s">
        <v>1775</v>
      </c>
      <c r="B25" s="151">
        <v>15.5</v>
      </c>
      <c r="C25" s="496"/>
      <c r="D25" s="496"/>
      <c r="E25" s="151">
        <f t="shared" si="0"/>
        <v>15.5</v>
      </c>
      <c r="F25" s="151">
        <f t="shared" si="1"/>
        <v>0</v>
      </c>
      <c r="G25" s="151">
        <f t="shared" si="2"/>
        <v>15.5</v>
      </c>
      <c r="H25" s="497" cm="1">
        <f t="array" ref="H25">SUMPRODUCT(--(Category="Ex_Cat_1"),--(OpCo="Express"),--(Intl="Domestic"),--(SC_Name=$A25),(SC_Count))</f>
        <v>0</v>
      </c>
      <c r="I25" s="151">
        <f t="shared" si="3"/>
        <v>0</v>
      </c>
      <c r="J25" s="151">
        <f t="shared" si="4"/>
        <v>0</v>
      </c>
      <c r="K25" s="151">
        <f t="shared" si="5"/>
        <v>0</v>
      </c>
      <c r="L25" s="496"/>
      <c r="M25" s="496"/>
      <c r="N25" s="151">
        <f t="shared" si="6"/>
        <v>15.5</v>
      </c>
      <c r="O25" s="151">
        <f t="shared" si="7"/>
        <v>0</v>
      </c>
      <c r="P25" s="151">
        <f t="shared" si="8"/>
        <v>15.5</v>
      </c>
      <c r="Q25" s="497" cm="1">
        <f t="array" ref="Q25">SUMPRODUCT(--(Category="Ex_Cat_2"),--(OpCo="Express"),--(Intl="Domestic"),--(SC_Name=$A25),(SC_Count))</f>
        <v>0</v>
      </c>
      <c r="R25" s="151">
        <f t="shared" si="9"/>
        <v>0</v>
      </c>
      <c r="S25" s="151">
        <f t="shared" si="10"/>
        <v>0</v>
      </c>
      <c r="T25" s="151">
        <f t="shared" si="11"/>
        <v>0</v>
      </c>
      <c r="U25" s="496"/>
      <c r="V25" s="496"/>
      <c r="W25" s="151">
        <f t="shared" si="12"/>
        <v>15.5</v>
      </c>
      <c r="X25" s="151">
        <f t="shared" si="13"/>
        <v>0</v>
      </c>
      <c r="Y25" s="151">
        <f t="shared" si="14"/>
        <v>15.5</v>
      </c>
      <c r="Z25" s="497" cm="1">
        <f t="array" ref="Z25">SUMPRODUCT(--(Category="Ex_Cat_3"),--(OpCo="Express"),--(Intl="Domestic"),--(SC_Name=$A25),(SC_Count))</f>
        <v>0</v>
      </c>
      <c r="AA25" s="151">
        <f t="shared" si="15"/>
        <v>0</v>
      </c>
      <c r="AB25" s="151">
        <f t="shared" si="16"/>
        <v>0</v>
      </c>
      <c r="AC25" s="151">
        <f t="shared" si="17"/>
        <v>0</v>
      </c>
    </row>
    <row r="26" spans="1:29" x14ac:dyDescent="0.35">
      <c r="A26" s="498" t="s">
        <v>1776</v>
      </c>
      <c r="B26" s="504"/>
      <c r="C26" s="504"/>
      <c r="D26" s="504"/>
      <c r="E26" s="504"/>
      <c r="F26" s="504"/>
      <c r="G26" s="504"/>
      <c r="H26" s="504"/>
      <c r="I26" s="504"/>
      <c r="J26" s="504"/>
      <c r="K26" s="504"/>
      <c r="L26" s="504"/>
      <c r="M26" s="504"/>
      <c r="N26" s="504"/>
      <c r="O26" s="504"/>
      <c r="P26" s="504"/>
      <c r="Q26" s="504"/>
      <c r="R26" s="504"/>
      <c r="S26" s="504"/>
      <c r="T26" s="504"/>
      <c r="U26" s="512"/>
      <c r="V26" s="512"/>
      <c r="W26" s="504"/>
      <c r="X26" s="504"/>
      <c r="Y26" s="504"/>
      <c r="Z26" s="504"/>
      <c r="AA26" s="504"/>
      <c r="AB26" s="504"/>
      <c r="AC26" s="504"/>
    </row>
    <row r="27" spans="1:29" x14ac:dyDescent="0.35">
      <c r="A27" s="73" t="s">
        <v>1777</v>
      </c>
      <c r="B27" s="151">
        <v>12</v>
      </c>
      <c r="C27" s="496"/>
      <c r="D27" s="496"/>
      <c r="E27" s="69">
        <f t="shared" si="0"/>
        <v>12</v>
      </c>
      <c r="F27" s="69">
        <f t="shared" si="1"/>
        <v>0</v>
      </c>
      <c r="G27" s="69">
        <f t="shared" si="2"/>
        <v>12</v>
      </c>
      <c r="H27" s="505" cm="1">
        <f t="array" ref="H27">SUMPRODUCT(--(Category="Ex_Cat_1"),--(OpCo="Express"),--(Intl="Domestic"),--(SC_Name=$A27),(SC_Count))</f>
        <v>0</v>
      </c>
      <c r="I27" s="69">
        <f t="shared" si="3"/>
        <v>0</v>
      </c>
      <c r="J27" s="69">
        <f t="shared" si="4"/>
        <v>0</v>
      </c>
      <c r="K27" s="69">
        <f t="shared" si="5"/>
        <v>0</v>
      </c>
      <c r="L27" s="496"/>
      <c r="M27" s="496"/>
      <c r="N27" s="69">
        <f t="shared" si="6"/>
        <v>12</v>
      </c>
      <c r="O27" s="69">
        <f t="shared" si="7"/>
        <v>0</v>
      </c>
      <c r="P27" s="69">
        <f t="shared" si="8"/>
        <v>12</v>
      </c>
      <c r="Q27" s="505" cm="1">
        <f t="array" ref="Q27">SUMPRODUCT(--(Category="Ex_Cat_2"),--(OpCo="Express"),--(Intl="Domestic"),--(SC_Name=$A27),(SC_Count))</f>
        <v>0</v>
      </c>
      <c r="R27" s="69">
        <f t="shared" si="9"/>
        <v>0</v>
      </c>
      <c r="S27" s="69">
        <f t="shared" si="10"/>
        <v>0</v>
      </c>
      <c r="T27" s="69">
        <f t="shared" si="11"/>
        <v>0</v>
      </c>
      <c r="U27" s="496"/>
      <c r="V27" s="496"/>
      <c r="W27" s="69">
        <f t="shared" si="12"/>
        <v>12</v>
      </c>
      <c r="X27" s="69">
        <f t="shared" si="13"/>
        <v>0</v>
      </c>
      <c r="Y27" s="69">
        <f t="shared" si="14"/>
        <v>12</v>
      </c>
      <c r="Z27" s="505" cm="1">
        <f t="array" ref="Z27">SUMPRODUCT(--(Category="Ex_Cat_3"),--(OpCo="Express"),--(Intl="Domestic"),--(SC_Name=$A27),(SC_Count))</f>
        <v>0</v>
      </c>
      <c r="AA27" s="69">
        <f t="shared" si="15"/>
        <v>0</v>
      </c>
      <c r="AB27" s="69">
        <f t="shared" si="16"/>
        <v>0</v>
      </c>
      <c r="AC27" s="69">
        <f t="shared" si="17"/>
        <v>0</v>
      </c>
    </row>
    <row r="28" spans="1:29" x14ac:dyDescent="0.35">
      <c r="A28" s="73" t="s">
        <v>1778</v>
      </c>
      <c r="B28" s="151">
        <v>12</v>
      </c>
      <c r="C28" s="496"/>
      <c r="D28" s="496"/>
      <c r="E28" s="151">
        <f t="shared" si="0"/>
        <v>12</v>
      </c>
      <c r="F28" s="151">
        <f t="shared" si="1"/>
        <v>0</v>
      </c>
      <c r="G28" s="151">
        <f t="shared" si="2"/>
        <v>12</v>
      </c>
      <c r="H28" s="497" cm="1">
        <f t="array" ref="H28">SUMPRODUCT(--(Category="Ex_Cat_1"),--(OpCo="Express"),--(Intl="Domestic"),--(SC_Name=$A28),(SC_Count))</f>
        <v>0</v>
      </c>
      <c r="I28" s="151">
        <f t="shared" si="3"/>
        <v>0</v>
      </c>
      <c r="J28" s="151">
        <f t="shared" si="4"/>
        <v>0</v>
      </c>
      <c r="K28" s="151">
        <f t="shared" si="5"/>
        <v>0</v>
      </c>
      <c r="L28" s="496"/>
      <c r="M28" s="496"/>
      <c r="N28" s="151">
        <f t="shared" si="6"/>
        <v>12</v>
      </c>
      <c r="O28" s="151">
        <f t="shared" si="7"/>
        <v>0</v>
      </c>
      <c r="P28" s="151">
        <f t="shared" si="8"/>
        <v>12</v>
      </c>
      <c r="Q28" s="497" cm="1">
        <f t="array" ref="Q28">SUMPRODUCT(--(Category="Ex_Cat_2"),--(OpCo="Express"),--(Intl="Domestic"),--(SC_Name=$A28),(SC_Count))</f>
        <v>0</v>
      </c>
      <c r="R28" s="151">
        <f t="shared" si="9"/>
        <v>0</v>
      </c>
      <c r="S28" s="151">
        <f t="shared" si="10"/>
        <v>0</v>
      </c>
      <c r="T28" s="151">
        <f t="shared" si="11"/>
        <v>0</v>
      </c>
      <c r="U28" s="496"/>
      <c r="V28" s="496"/>
      <c r="W28" s="151">
        <f t="shared" si="12"/>
        <v>12</v>
      </c>
      <c r="X28" s="151">
        <f t="shared" si="13"/>
        <v>0</v>
      </c>
      <c r="Y28" s="151">
        <f t="shared" si="14"/>
        <v>12</v>
      </c>
      <c r="Z28" s="497" cm="1">
        <f t="array" ref="Z28">SUMPRODUCT(--(Category="Ex_Cat_3"),--(OpCo="Express"),--(Intl="Domestic"),--(SC_Name=$A28),(SC_Count))</f>
        <v>0</v>
      </c>
      <c r="AA28" s="151">
        <f t="shared" si="15"/>
        <v>0</v>
      </c>
      <c r="AB28" s="151">
        <f t="shared" si="16"/>
        <v>0</v>
      </c>
      <c r="AC28" s="151">
        <f t="shared" si="17"/>
        <v>0</v>
      </c>
    </row>
    <row r="29" spans="1:29" x14ac:dyDescent="0.35">
      <c r="A29" s="73" t="s">
        <v>1779</v>
      </c>
      <c r="B29" s="69">
        <v>7.95</v>
      </c>
      <c r="C29" s="496"/>
      <c r="D29" s="496"/>
      <c r="E29" s="69">
        <f t="shared" si="0"/>
        <v>7.95</v>
      </c>
      <c r="F29" s="69">
        <f t="shared" si="1"/>
        <v>0</v>
      </c>
      <c r="G29" s="69">
        <f t="shared" si="2"/>
        <v>7.95</v>
      </c>
      <c r="H29" s="505" cm="1">
        <f t="array" ref="H29">SUMPRODUCT(--(Category="Ex_Cat_1"),--(OpCo="Express"),--(Intl="Domestic"),--(SC_Name=$A29),(SC_Count))</f>
        <v>0</v>
      </c>
      <c r="I29" s="69">
        <f t="shared" si="3"/>
        <v>0</v>
      </c>
      <c r="J29" s="69">
        <f t="shared" si="4"/>
        <v>0</v>
      </c>
      <c r="K29" s="69">
        <f t="shared" si="5"/>
        <v>0</v>
      </c>
      <c r="L29" s="496"/>
      <c r="M29" s="496"/>
      <c r="N29" s="69">
        <f t="shared" si="6"/>
        <v>7.95</v>
      </c>
      <c r="O29" s="69">
        <f t="shared" si="7"/>
        <v>0</v>
      </c>
      <c r="P29" s="69">
        <f t="shared" si="8"/>
        <v>7.95</v>
      </c>
      <c r="Q29" s="505" cm="1">
        <f t="array" ref="Q29">SUMPRODUCT(--(Category="Ex_Cat_2"),--(OpCo="Express"),--(Intl="Domestic"),--(SC_Name=$A29),(SC_Count))</f>
        <v>0</v>
      </c>
      <c r="R29" s="69">
        <f t="shared" si="9"/>
        <v>0</v>
      </c>
      <c r="S29" s="69">
        <f t="shared" si="10"/>
        <v>0</v>
      </c>
      <c r="T29" s="69">
        <f t="shared" si="11"/>
        <v>0</v>
      </c>
      <c r="U29" s="496"/>
      <c r="V29" s="496"/>
      <c r="W29" s="69">
        <f t="shared" si="12"/>
        <v>7.95</v>
      </c>
      <c r="X29" s="69">
        <f t="shared" si="13"/>
        <v>0</v>
      </c>
      <c r="Y29" s="69">
        <f t="shared" si="14"/>
        <v>7.95</v>
      </c>
      <c r="Z29" s="505" cm="1">
        <f t="array" ref="Z29">SUMPRODUCT(--(Category="Ex_Cat_3"),--(OpCo="Express"),--(Intl="Domestic"),--(SC_Name=$A29),(SC_Count))</f>
        <v>0</v>
      </c>
      <c r="AA29" s="69">
        <f t="shared" si="15"/>
        <v>0</v>
      </c>
      <c r="AB29" s="69">
        <f t="shared" si="16"/>
        <v>0</v>
      </c>
      <c r="AC29" s="69">
        <f t="shared" si="17"/>
        <v>0</v>
      </c>
    </row>
    <row r="30" spans="1:29" x14ac:dyDescent="0.35">
      <c r="A30" s="73" t="s">
        <v>1780</v>
      </c>
      <c r="B30" s="69">
        <v>7.95</v>
      </c>
      <c r="C30" s="496"/>
      <c r="D30" s="496"/>
      <c r="E30" s="69">
        <f t="shared" si="0"/>
        <v>7.95</v>
      </c>
      <c r="F30" s="69">
        <f t="shared" si="1"/>
        <v>0</v>
      </c>
      <c r="G30" s="69">
        <f t="shared" si="2"/>
        <v>7.95</v>
      </c>
      <c r="H30" s="505" cm="1">
        <f t="array" ref="H30">SUMPRODUCT(--(Category="Ex_Cat_1"),--(OpCo="Express"),--(Intl="Domestic"),--(SC_Name=$A30),(SC_Count))</f>
        <v>0</v>
      </c>
      <c r="I30" s="69">
        <f t="shared" si="3"/>
        <v>0</v>
      </c>
      <c r="J30" s="69">
        <f t="shared" si="4"/>
        <v>0</v>
      </c>
      <c r="K30" s="69">
        <f t="shared" si="5"/>
        <v>0</v>
      </c>
      <c r="L30" s="496"/>
      <c r="M30" s="496"/>
      <c r="N30" s="69">
        <f t="shared" si="6"/>
        <v>7.95</v>
      </c>
      <c r="O30" s="69">
        <f t="shared" si="7"/>
        <v>0</v>
      </c>
      <c r="P30" s="69">
        <f t="shared" si="8"/>
        <v>7.95</v>
      </c>
      <c r="Q30" s="505" cm="1">
        <f t="array" ref="Q30">SUMPRODUCT(--(Category="Ex_Cat_2"),--(OpCo="Express"),--(Intl="Domestic"),--(SC_Name=$A30),(SC_Count))</f>
        <v>0</v>
      </c>
      <c r="R30" s="69">
        <f t="shared" si="9"/>
        <v>0</v>
      </c>
      <c r="S30" s="69">
        <f t="shared" si="10"/>
        <v>0</v>
      </c>
      <c r="T30" s="69">
        <f t="shared" si="11"/>
        <v>0</v>
      </c>
      <c r="U30" s="496"/>
      <c r="V30" s="496"/>
      <c r="W30" s="69">
        <f t="shared" si="12"/>
        <v>7.95</v>
      </c>
      <c r="X30" s="69">
        <f t="shared" si="13"/>
        <v>0</v>
      </c>
      <c r="Y30" s="69">
        <f t="shared" si="14"/>
        <v>7.95</v>
      </c>
      <c r="Z30" s="505" cm="1">
        <f t="array" ref="Z30">SUMPRODUCT(--(Category="Ex_Cat_3"),--(OpCo="Express"),--(Intl="Domestic"),--(SC_Name=$A30),(SC_Count))</f>
        <v>0</v>
      </c>
      <c r="AA30" s="69">
        <f t="shared" si="15"/>
        <v>0</v>
      </c>
      <c r="AB30" s="69">
        <f t="shared" si="16"/>
        <v>0</v>
      </c>
      <c r="AC30" s="69">
        <f t="shared" si="17"/>
        <v>0</v>
      </c>
    </row>
    <row r="31" spans="1:29" x14ac:dyDescent="0.35">
      <c r="A31" s="510" t="s">
        <v>1781</v>
      </c>
      <c r="B31" s="511"/>
      <c r="C31" s="512"/>
      <c r="D31" s="512"/>
      <c r="E31" s="499">
        <f t="shared" si="0"/>
        <v>0</v>
      </c>
      <c r="F31" s="499">
        <f t="shared" si="1"/>
        <v>0</v>
      </c>
      <c r="G31" s="499">
        <f t="shared" si="2"/>
        <v>0</v>
      </c>
      <c r="H31" s="506" cm="1">
        <f t="array" ref="H31">SUMPRODUCT(--(Category="Ex_Cat_1"),--(OpCo="Express"),--(Intl="Domestic"),--(SC_Name=$A31),(SC_Count))</f>
        <v>0</v>
      </c>
      <c r="I31" s="499">
        <f t="shared" si="3"/>
        <v>0</v>
      </c>
      <c r="J31" s="499">
        <f t="shared" si="4"/>
        <v>0</v>
      </c>
      <c r="K31" s="499">
        <f t="shared" si="5"/>
        <v>0</v>
      </c>
      <c r="L31" s="512"/>
      <c r="M31" s="512"/>
      <c r="N31" s="499">
        <f t="shared" si="6"/>
        <v>0</v>
      </c>
      <c r="O31" s="499">
        <f t="shared" si="7"/>
        <v>0</v>
      </c>
      <c r="P31" s="499">
        <f t="shared" si="8"/>
        <v>0</v>
      </c>
      <c r="Q31" s="506" cm="1">
        <f t="array" ref="Q31">SUMPRODUCT(--(Category="Ex_Cat_2"),--(OpCo="Express"),--(Intl="Domestic"),--(SC_Name=$A31),(SC_Count))</f>
        <v>0</v>
      </c>
      <c r="R31" s="499">
        <f t="shared" si="9"/>
        <v>0</v>
      </c>
      <c r="S31" s="499">
        <f t="shared" si="10"/>
        <v>0</v>
      </c>
      <c r="T31" s="499">
        <f t="shared" si="11"/>
        <v>0</v>
      </c>
      <c r="U31" s="512"/>
      <c r="V31" s="512"/>
      <c r="W31" s="499">
        <f t="shared" si="12"/>
        <v>0</v>
      </c>
      <c r="X31" s="499">
        <f t="shared" si="13"/>
        <v>0</v>
      </c>
      <c r="Y31" s="499">
        <f t="shared" si="14"/>
        <v>0</v>
      </c>
      <c r="Z31" s="506" cm="1">
        <f t="array" ref="Z31">SUMPRODUCT(--(Category="Ex_Cat_3"),--(OpCo="Express"),--(Intl="Domestic"),--(SC_Name=$A31),(SC_Count))</f>
        <v>0</v>
      </c>
      <c r="AA31" s="499">
        <f t="shared" si="15"/>
        <v>0</v>
      </c>
      <c r="AB31" s="499">
        <f t="shared" si="16"/>
        <v>0</v>
      </c>
      <c r="AC31" s="499">
        <f t="shared" si="17"/>
        <v>0</v>
      </c>
    </row>
    <row r="32" spans="1:29" x14ac:dyDescent="0.35">
      <c r="A32" s="503" t="s">
        <v>1782</v>
      </c>
      <c r="B32" s="151">
        <v>7.5</v>
      </c>
      <c r="C32" s="496"/>
      <c r="D32" s="496"/>
      <c r="E32" s="151"/>
      <c r="F32" s="151"/>
      <c r="G32" s="151"/>
      <c r="H32" s="497"/>
      <c r="I32" s="151"/>
      <c r="J32" s="151"/>
      <c r="K32" s="151"/>
      <c r="L32" s="496"/>
      <c r="M32" s="496"/>
      <c r="N32" s="151"/>
      <c r="O32" s="151"/>
      <c r="P32" s="151"/>
      <c r="Q32" s="497"/>
      <c r="R32" s="151"/>
      <c r="S32" s="151"/>
      <c r="T32" s="151"/>
      <c r="U32" s="496"/>
      <c r="V32" s="496"/>
      <c r="W32" s="151"/>
      <c r="X32" s="151"/>
      <c r="Y32" s="151"/>
      <c r="Z32" s="497"/>
      <c r="AA32" s="151"/>
      <c r="AB32" s="151"/>
      <c r="AC32" s="151"/>
    </row>
    <row r="33" spans="1:29" x14ac:dyDescent="0.35">
      <c r="A33" s="503" t="s">
        <v>1783</v>
      </c>
      <c r="B33" s="151">
        <v>15</v>
      </c>
      <c r="C33" s="496"/>
      <c r="D33" s="496"/>
      <c r="E33" s="151"/>
      <c r="F33" s="151"/>
      <c r="G33" s="151"/>
      <c r="H33" s="497"/>
      <c r="I33" s="151"/>
      <c r="J33" s="151"/>
      <c r="K33" s="151"/>
      <c r="L33" s="496"/>
      <c r="M33" s="496"/>
      <c r="N33" s="151"/>
      <c r="O33" s="151"/>
      <c r="P33" s="151"/>
      <c r="Q33" s="497"/>
      <c r="R33" s="151"/>
      <c r="S33" s="151"/>
      <c r="T33" s="151"/>
      <c r="U33" s="496"/>
      <c r="V33" s="496"/>
      <c r="W33" s="151"/>
      <c r="X33" s="151"/>
      <c r="Y33" s="151"/>
      <c r="Z33" s="497"/>
      <c r="AA33" s="151"/>
      <c r="AB33" s="151"/>
      <c r="AC33" s="151"/>
    </row>
    <row r="34" spans="1:29" x14ac:dyDescent="0.35">
      <c r="A34" s="503" t="s">
        <v>1784</v>
      </c>
      <c r="B34" s="151">
        <v>22</v>
      </c>
      <c r="C34" s="496"/>
      <c r="D34" s="496"/>
      <c r="E34" s="151"/>
      <c r="F34" s="151"/>
      <c r="G34" s="151"/>
      <c r="H34" s="497"/>
      <c r="I34" s="151"/>
      <c r="J34" s="151"/>
      <c r="K34" s="151"/>
      <c r="L34" s="496"/>
      <c r="M34" s="496"/>
      <c r="N34" s="151"/>
      <c r="O34" s="151"/>
      <c r="P34" s="151"/>
      <c r="Q34" s="497"/>
      <c r="R34" s="151"/>
      <c r="S34" s="151"/>
      <c r="T34" s="151"/>
      <c r="U34" s="496"/>
      <c r="V34" s="496"/>
      <c r="W34" s="151"/>
      <c r="X34" s="151"/>
      <c r="Y34" s="151"/>
      <c r="Z34" s="497"/>
      <c r="AA34" s="151"/>
      <c r="AB34" s="151"/>
      <c r="AC34" s="151"/>
    </row>
    <row r="35" spans="1:29" x14ac:dyDescent="0.35">
      <c r="A35" s="503" t="s">
        <v>1785</v>
      </c>
      <c r="B35" s="151">
        <v>29</v>
      </c>
      <c r="C35" s="496"/>
      <c r="D35" s="496"/>
      <c r="E35" s="151"/>
      <c r="F35" s="151"/>
      <c r="G35" s="151"/>
      <c r="H35" s="497"/>
      <c r="I35" s="151"/>
      <c r="J35" s="151"/>
      <c r="K35" s="151"/>
      <c r="L35" s="496"/>
      <c r="M35" s="496"/>
      <c r="N35" s="151"/>
      <c r="O35" s="151"/>
      <c r="P35" s="151"/>
      <c r="Q35" s="497"/>
      <c r="R35" s="151"/>
      <c r="S35" s="151"/>
      <c r="T35" s="151"/>
      <c r="U35" s="496"/>
      <c r="V35" s="496"/>
      <c r="W35" s="151"/>
      <c r="X35" s="151"/>
      <c r="Y35" s="151"/>
      <c r="Z35" s="497"/>
      <c r="AA35" s="151"/>
      <c r="AB35" s="151"/>
      <c r="AC35" s="151"/>
    </row>
    <row r="36" spans="1:29" x14ac:dyDescent="0.35">
      <c r="A36" s="503" t="s">
        <v>1786</v>
      </c>
      <c r="B36" s="151">
        <v>35.5</v>
      </c>
      <c r="C36" s="496"/>
      <c r="D36" s="496"/>
      <c r="E36" s="151"/>
      <c r="F36" s="151"/>
      <c r="G36" s="151"/>
      <c r="H36" s="497"/>
      <c r="I36" s="151"/>
      <c r="J36" s="151"/>
      <c r="K36" s="151"/>
      <c r="L36" s="496"/>
      <c r="M36" s="496"/>
      <c r="N36" s="151"/>
      <c r="O36" s="151"/>
      <c r="P36" s="151"/>
      <c r="Q36" s="497"/>
      <c r="R36" s="151"/>
      <c r="S36" s="151"/>
      <c r="T36" s="151"/>
      <c r="U36" s="496"/>
      <c r="V36" s="496"/>
      <c r="W36" s="151"/>
      <c r="X36" s="151"/>
      <c r="Y36" s="151"/>
      <c r="Z36" s="497"/>
      <c r="AA36" s="151"/>
      <c r="AB36" s="151"/>
      <c r="AC36" s="151"/>
    </row>
    <row r="37" spans="1:29" x14ac:dyDescent="0.35">
      <c r="A37" s="152"/>
      <c r="B37" s="149"/>
      <c r="C37" s="507"/>
      <c r="D37" s="507"/>
      <c r="E37" s="149"/>
      <c r="F37" s="149"/>
      <c r="G37" s="149"/>
      <c r="H37" s="508"/>
      <c r="I37" s="149"/>
      <c r="J37" s="149"/>
      <c r="K37" s="149"/>
      <c r="L37" s="507"/>
      <c r="M37" s="507"/>
      <c r="N37" s="149"/>
      <c r="O37" s="149"/>
      <c r="P37" s="149"/>
      <c r="Q37" s="508"/>
      <c r="R37" s="149"/>
      <c r="S37" s="149"/>
      <c r="T37" s="149"/>
      <c r="U37" s="507"/>
      <c r="V37" s="507"/>
      <c r="W37" s="149"/>
      <c r="X37" s="149"/>
      <c r="Y37" s="149"/>
      <c r="Z37" s="508"/>
      <c r="AA37" s="149"/>
      <c r="AB37" s="149"/>
      <c r="AC37" s="149"/>
    </row>
    <row r="38" spans="1:29" ht="15" customHeight="1" x14ac:dyDescent="0.35">
      <c r="A38" s="586" t="s">
        <v>1812</v>
      </c>
      <c r="B38" s="586"/>
      <c r="C38" s="586"/>
      <c r="D38" s="586"/>
      <c r="E38" s="586"/>
      <c r="F38" s="586"/>
      <c r="G38" s="586"/>
      <c r="H38" s="586"/>
      <c r="I38" s="586"/>
      <c r="J38" s="586"/>
      <c r="K38" s="586"/>
      <c r="L38" s="586"/>
      <c r="M38" s="456"/>
      <c r="N38" s="456"/>
      <c r="O38" s="456"/>
      <c r="P38" s="456"/>
      <c r="Q38" s="456"/>
      <c r="R38" s="456"/>
      <c r="S38" s="456"/>
      <c r="T38" s="456"/>
      <c r="U38" s="456"/>
      <c r="V38" s="456"/>
      <c r="W38" s="456"/>
      <c r="X38" s="456"/>
      <c r="Y38" s="456"/>
    </row>
    <row r="39" spans="1:29" x14ac:dyDescent="0.35">
      <c r="A39" s="587"/>
      <c r="B39" s="587"/>
      <c r="C39" s="587"/>
      <c r="D39" s="587"/>
      <c r="E39" s="587"/>
      <c r="F39" s="587"/>
      <c r="G39" s="587"/>
      <c r="H39" s="587"/>
      <c r="I39" s="587"/>
      <c r="J39" s="587"/>
      <c r="K39" s="587"/>
      <c r="L39" s="587"/>
      <c r="M39" s="456"/>
      <c r="N39" s="456"/>
      <c r="O39" s="456"/>
      <c r="P39" s="456"/>
      <c r="Q39" s="456"/>
      <c r="R39" s="456"/>
      <c r="S39" s="456"/>
      <c r="T39" s="456"/>
      <c r="U39" s="456"/>
      <c r="V39" s="456"/>
      <c r="W39" s="456"/>
      <c r="X39" s="456"/>
      <c r="Y39" s="456"/>
    </row>
    <row r="40" spans="1:29" x14ac:dyDescent="0.35">
      <c r="A40" s="587"/>
      <c r="B40" s="587"/>
      <c r="C40" s="587"/>
      <c r="D40" s="587"/>
      <c r="E40" s="587"/>
      <c r="F40" s="587"/>
      <c r="G40" s="587"/>
      <c r="H40" s="587"/>
      <c r="I40" s="587"/>
      <c r="J40" s="587"/>
      <c r="K40" s="587"/>
      <c r="L40" s="587"/>
      <c r="M40" s="456"/>
      <c r="N40" s="456"/>
      <c r="O40" s="456"/>
      <c r="P40" s="456"/>
      <c r="Q40" s="456"/>
      <c r="R40" s="456"/>
      <c r="S40" s="456"/>
      <c r="T40" s="456"/>
      <c r="U40" s="456"/>
      <c r="V40" s="456"/>
      <c r="W40" s="456"/>
      <c r="X40" s="456"/>
      <c r="Y40" s="456"/>
    </row>
    <row r="41" spans="1:29" x14ac:dyDescent="0.35">
      <c r="A41" s="587"/>
      <c r="B41" s="587"/>
      <c r="C41" s="587"/>
      <c r="D41" s="587"/>
      <c r="E41" s="587"/>
      <c r="F41" s="587"/>
      <c r="G41" s="587"/>
      <c r="H41" s="587"/>
      <c r="I41" s="587"/>
      <c r="J41" s="587"/>
      <c r="K41" s="587"/>
      <c r="L41" s="587"/>
      <c r="M41" s="456"/>
      <c r="N41" s="456"/>
      <c r="O41" s="456"/>
      <c r="P41" s="456"/>
      <c r="Q41" s="456"/>
      <c r="R41" s="456"/>
      <c r="S41" s="456"/>
      <c r="T41" s="456"/>
      <c r="U41" s="456"/>
      <c r="V41" s="456"/>
      <c r="W41" s="456"/>
      <c r="X41" s="456"/>
      <c r="Y41" s="456"/>
    </row>
    <row r="42" spans="1:29" x14ac:dyDescent="0.35">
      <c r="A42" s="587"/>
      <c r="B42" s="587"/>
      <c r="C42" s="587"/>
      <c r="D42" s="587"/>
      <c r="E42" s="587"/>
      <c r="F42" s="587"/>
      <c r="G42" s="587"/>
      <c r="H42" s="587"/>
      <c r="I42" s="587"/>
      <c r="J42" s="587"/>
      <c r="K42" s="587"/>
      <c r="L42" s="587"/>
      <c r="M42" s="456"/>
      <c r="N42" s="456"/>
      <c r="O42" s="456"/>
      <c r="P42" s="456"/>
      <c r="Q42" s="456"/>
      <c r="R42" s="456"/>
      <c r="S42" s="456"/>
      <c r="T42" s="456"/>
      <c r="U42" s="456"/>
      <c r="V42" s="456"/>
      <c r="W42" s="456"/>
      <c r="X42" s="456"/>
      <c r="Y42" s="456"/>
    </row>
    <row r="43" spans="1:29" x14ac:dyDescent="0.35">
      <c r="A43" s="587"/>
      <c r="B43" s="587"/>
      <c r="C43" s="587"/>
      <c r="D43" s="587"/>
      <c r="E43" s="587"/>
      <c r="F43" s="587"/>
      <c r="G43" s="587"/>
      <c r="H43" s="587"/>
      <c r="I43" s="587"/>
      <c r="J43" s="587"/>
      <c r="K43" s="587"/>
      <c r="L43" s="587"/>
      <c r="M43" s="456"/>
      <c r="N43" s="456"/>
      <c r="O43" s="456"/>
      <c r="P43" s="456"/>
      <c r="Q43" s="456"/>
      <c r="R43" s="456"/>
      <c r="S43" s="456"/>
      <c r="T43" s="456"/>
      <c r="U43" s="456"/>
      <c r="V43" s="456"/>
      <c r="W43" s="456"/>
      <c r="X43" s="456"/>
      <c r="Y43" s="456"/>
    </row>
    <row r="44" spans="1:29" x14ac:dyDescent="0.35">
      <c r="A44" s="587"/>
      <c r="B44" s="587"/>
      <c r="C44" s="587"/>
      <c r="D44" s="587"/>
      <c r="E44" s="587"/>
      <c r="F44" s="587"/>
      <c r="G44" s="587"/>
      <c r="H44" s="587"/>
      <c r="I44" s="587"/>
      <c r="J44" s="587"/>
      <c r="K44" s="587"/>
      <c r="L44" s="587"/>
      <c r="M44" s="456"/>
      <c r="N44" s="456"/>
      <c r="O44" s="456"/>
      <c r="P44" s="456"/>
      <c r="Q44" s="456"/>
      <c r="R44" s="456"/>
      <c r="S44" s="456"/>
      <c r="T44" s="456"/>
      <c r="U44" s="456"/>
      <c r="V44" s="456"/>
      <c r="W44" s="456"/>
      <c r="X44" s="456"/>
      <c r="Y44" s="456"/>
    </row>
    <row r="45" spans="1:29" x14ac:dyDescent="0.35">
      <c r="A45" s="587"/>
      <c r="B45" s="587"/>
      <c r="C45" s="587"/>
      <c r="D45" s="587"/>
      <c r="E45" s="587"/>
      <c r="F45" s="587"/>
      <c r="G45" s="587"/>
      <c r="H45" s="587"/>
      <c r="I45" s="587"/>
      <c r="J45" s="587"/>
      <c r="K45" s="587"/>
      <c r="L45" s="587"/>
      <c r="M45" s="456"/>
      <c r="N45" s="456"/>
      <c r="O45" s="456"/>
      <c r="P45" s="456"/>
      <c r="Q45" s="456"/>
      <c r="R45" s="456"/>
      <c r="S45" s="456"/>
      <c r="T45" s="456"/>
      <c r="U45" s="456"/>
      <c r="V45" s="456"/>
      <c r="W45" s="456"/>
      <c r="X45" s="456"/>
      <c r="Y45" s="456"/>
    </row>
    <row r="46" spans="1:29" x14ac:dyDescent="0.35">
      <c r="A46" s="587"/>
      <c r="B46" s="587"/>
      <c r="C46" s="587"/>
      <c r="D46" s="587"/>
      <c r="E46" s="587"/>
      <c r="F46" s="587"/>
      <c r="G46" s="587"/>
      <c r="H46" s="587"/>
      <c r="I46" s="587"/>
      <c r="J46" s="587"/>
      <c r="K46" s="587"/>
      <c r="L46" s="587"/>
      <c r="M46" s="456"/>
      <c r="N46" s="456"/>
      <c r="O46" s="456"/>
      <c r="P46" s="456"/>
      <c r="Q46" s="456"/>
      <c r="R46" s="456"/>
      <c r="S46" s="456"/>
      <c r="T46" s="456"/>
      <c r="U46" s="456"/>
      <c r="V46" s="456"/>
      <c r="W46" s="456"/>
      <c r="X46" s="456"/>
      <c r="Y46" s="456"/>
    </row>
    <row r="47" spans="1:29" x14ac:dyDescent="0.35">
      <c r="A47" s="587"/>
      <c r="B47" s="587"/>
      <c r="C47" s="587"/>
      <c r="D47" s="587"/>
      <c r="E47" s="587"/>
      <c r="F47" s="587"/>
      <c r="G47" s="587"/>
      <c r="H47" s="587"/>
      <c r="I47" s="587"/>
      <c r="J47" s="587"/>
      <c r="K47" s="587"/>
      <c r="L47" s="587"/>
      <c r="M47" s="456"/>
      <c r="N47" s="456"/>
      <c r="O47" s="456"/>
      <c r="P47" s="456"/>
      <c r="Q47" s="456"/>
      <c r="R47" s="456"/>
      <c r="S47" s="456"/>
      <c r="T47" s="456"/>
      <c r="U47" s="456"/>
      <c r="V47" s="456"/>
      <c r="W47" s="456"/>
      <c r="X47" s="456"/>
      <c r="Y47" s="456"/>
    </row>
    <row r="48" spans="1:29" x14ac:dyDescent="0.35">
      <c r="A48" s="587"/>
      <c r="B48" s="587"/>
      <c r="C48" s="587"/>
      <c r="D48" s="587"/>
      <c r="E48" s="587"/>
      <c r="F48" s="587"/>
      <c r="G48" s="587"/>
      <c r="H48" s="587"/>
      <c r="I48" s="587"/>
      <c r="J48" s="587"/>
      <c r="K48" s="587"/>
      <c r="L48" s="587"/>
      <c r="M48" s="456"/>
      <c r="N48" s="456"/>
      <c r="O48" s="456"/>
      <c r="P48" s="456"/>
      <c r="Q48" s="456"/>
      <c r="R48" s="456"/>
      <c r="S48" s="456"/>
      <c r="T48" s="456"/>
      <c r="U48" s="456"/>
      <c r="V48" s="456"/>
      <c r="W48" s="456"/>
      <c r="X48" s="456"/>
      <c r="Y48" s="456"/>
    </row>
  </sheetData>
  <mergeCells count="6">
    <mergeCell ref="A1:AC1"/>
    <mergeCell ref="A38:L48"/>
    <mergeCell ref="B3:K3"/>
    <mergeCell ref="L3:T3"/>
    <mergeCell ref="U3:AC3"/>
    <mergeCell ref="A2:AC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1369B-F0E8-4C0E-8AEC-9EA57BBF9EC1}">
  <sheetPr codeName="Sheet4">
    <tabColor theme="6"/>
  </sheetPr>
  <dimension ref="A1:BK66"/>
  <sheetViews>
    <sheetView zoomScaleNormal="100" workbookViewId="0">
      <selection sqref="A1:K1"/>
    </sheetView>
  </sheetViews>
  <sheetFormatPr defaultColWidth="9.1796875" defaultRowHeight="14.5" x14ac:dyDescent="0.35"/>
  <cols>
    <col min="1" max="1" width="39.81640625" bestFit="1" customWidth="1"/>
    <col min="2" max="2" width="11.1796875" bestFit="1" customWidth="1"/>
    <col min="3" max="3" width="8.7265625" bestFit="1" customWidth="1"/>
    <col min="4" max="4" width="8.7265625" customWidth="1"/>
    <col min="5" max="5" width="11.1796875" bestFit="1" customWidth="1"/>
    <col min="6" max="6" width="9.54296875" bestFit="1" customWidth="1"/>
    <col min="7" max="7" width="11.1796875" customWidth="1"/>
    <col min="8" max="8" width="11.81640625" bestFit="1" customWidth="1"/>
    <col min="9" max="9" width="13.26953125" bestFit="1" customWidth="1"/>
    <col min="10" max="10" width="12.1796875" bestFit="1" customWidth="1"/>
    <col min="11" max="11" width="13.26953125" bestFit="1" customWidth="1"/>
    <col min="12" max="13" width="8.7265625" hidden="1" customWidth="1"/>
    <col min="14" max="14" width="11.1796875" hidden="1" customWidth="1"/>
    <col min="15" max="15" width="9.54296875" hidden="1" customWidth="1"/>
    <col min="16" max="16" width="11.1796875" hidden="1" customWidth="1"/>
    <col min="17" max="17" width="11.81640625" style="3" hidden="1" customWidth="1"/>
    <col min="18" max="18" width="10.7265625" style="3" hidden="1" customWidth="1"/>
    <col min="19" max="19" width="7.54296875" style="3" hidden="1" customWidth="1"/>
    <col min="20" max="20" width="10.26953125" style="3" hidden="1" customWidth="1"/>
    <col min="21" max="22" width="8.7265625" style="3" hidden="1" customWidth="1"/>
    <col min="23" max="23" width="11.1796875" style="3" hidden="1" customWidth="1"/>
    <col min="24" max="24" width="9.54296875" style="3" hidden="1" customWidth="1"/>
    <col min="25" max="25" width="11.1796875" style="3" hidden="1" customWidth="1"/>
    <col min="26" max="26" width="11.81640625" style="3" hidden="1" customWidth="1"/>
    <col min="27" max="27" width="10.7265625" style="3" hidden="1" customWidth="1"/>
    <col min="28" max="28" width="7.54296875" style="3" hidden="1" customWidth="1"/>
    <col min="29" max="29" width="10.26953125" style="3" hidden="1" customWidth="1"/>
    <col min="30" max="63" width="9.1796875" style="3"/>
  </cols>
  <sheetData>
    <row r="1" spans="1:29" ht="23.5" x14ac:dyDescent="0.55000000000000004">
      <c r="A1" s="618" t="s">
        <v>885</v>
      </c>
      <c r="B1" s="619"/>
      <c r="C1" s="619"/>
      <c r="D1" s="619"/>
      <c r="E1" s="619"/>
      <c r="F1" s="619"/>
      <c r="G1" s="619"/>
      <c r="H1" s="619"/>
      <c r="I1" s="619"/>
      <c r="J1" s="619"/>
      <c r="K1" s="619"/>
      <c r="L1" s="298"/>
      <c r="M1" s="298"/>
      <c r="N1" s="298"/>
      <c r="O1" s="298"/>
      <c r="P1" s="298"/>
      <c r="Q1" s="298"/>
      <c r="R1" s="298"/>
      <c r="S1" s="298"/>
      <c r="T1" s="298"/>
      <c r="U1" s="298"/>
      <c r="V1" s="298"/>
      <c r="W1" s="298"/>
      <c r="X1" s="298"/>
      <c r="Y1" s="298"/>
      <c r="Z1" s="298"/>
      <c r="AA1" s="298"/>
      <c r="AB1" s="298"/>
      <c r="AC1" s="333"/>
    </row>
    <row r="2" spans="1:29" ht="23.5" x14ac:dyDescent="0.55000000000000004">
      <c r="A2" s="377"/>
      <c r="B2" s="383"/>
      <c r="C2" s="625" t="s">
        <v>1341</v>
      </c>
      <c r="D2" s="626"/>
      <c r="E2" s="626"/>
      <c r="F2" s="626"/>
      <c r="G2" s="626"/>
      <c r="H2" s="626"/>
      <c r="I2" s="626"/>
      <c r="J2" s="626"/>
      <c r="K2" s="627"/>
      <c r="L2" s="628" t="s">
        <v>1350</v>
      </c>
      <c r="M2" s="629"/>
      <c r="N2" s="629"/>
      <c r="O2" s="629"/>
      <c r="P2" s="629"/>
      <c r="Q2" s="629"/>
      <c r="R2" s="629"/>
      <c r="S2" s="629"/>
      <c r="T2" s="630"/>
      <c r="U2" s="622" t="s">
        <v>1351</v>
      </c>
      <c r="V2" s="623"/>
      <c r="W2" s="623"/>
      <c r="X2" s="623"/>
      <c r="Y2" s="623"/>
      <c r="Z2" s="623"/>
      <c r="AA2" s="623"/>
      <c r="AB2" s="623"/>
      <c r="AC2" s="624"/>
    </row>
    <row r="3" spans="1:29" s="91" customFormat="1" ht="29" x14ac:dyDescent="0.35">
      <c r="A3" s="303" t="s">
        <v>345</v>
      </c>
      <c r="B3" s="381" t="s">
        <v>1739</v>
      </c>
      <c r="C3" s="300" t="s">
        <v>1712</v>
      </c>
      <c r="D3" s="378" t="s">
        <v>1714</v>
      </c>
      <c r="E3" s="378" t="s">
        <v>1709</v>
      </c>
      <c r="F3" s="300" t="s">
        <v>1427</v>
      </c>
      <c r="G3" s="379" t="s">
        <v>1710</v>
      </c>
      <c r="H3" s="380" t="s">
        <v>9</v>
      </c>
      <c r="I3" s="380" t="s">
        <v>1711</v>
      </c>
      <c r="J3" s="380" t="s">
        <v>1427</v>
      </c>
      <c r="K3" s="380" t="s">
        <v>1713</v>
      </c>
      <c r="L3" s="408" t="s">
        <v>1712</v>
      </c>
      <c r="M3" s="409" t="s">
        <v>1714</v>
      </c>
      <c r="N3" s="409" t="s">
        <v>1709</v>
      </c>
      <c r="O3" s="408" t="s">
        <v>1427</v>
      </c>
      <c r="P3" s="410" t="s">
        <v>1715</v>
      </c>
      <c r="Q3" s="411" t="s">
        <v>9</v>
      </c>
      <c r="R3" s="412" t="s">
        <v>1711</v>
      </c>
      <c r="S3" s="412" t="s">
        <v>1427</v>
      </c>
      <c r="T3" s="412" t="s">
        <v>1713</v>
      </c>
      <c r="U3" s="96" t="s">
        <v>1712</v>
      </c>
      <c r="V3" s="96" t="s">
        <v>1714</v>
      </c>
      <c r="W3" s="88" t="s">
        <v>1709</v>
      </c>
      <c r="X3" s="96" t="s">
        <v>1427</v>
      </c>
      <c r="Y3" s="345" t="s">
        <v>1715</v>
      </c>
      <c r="Z3" s="140" t="s">
        <v>9</v>
      </c>
      <c r="AA3" s="353" t="s">
        <v>1711</v>
      </c>
      <c r="AB3" s="353" t="s">
        <v>1427</v>
      </c>
      <c r="AC3" s="96" t="s">
        <v>1713</v>
      </c>
    </row>
    <row r="4" spans="1:29" x14ac:dyDescent="0.35">
      <c r="A4" s="150" t="s">
        <v>66</v>
      </c>
      <c r="B4" s="158"/>
      <c r="C4" s="302"/>
      <c r="D4" s="451"/>
      <c r="E4" s="156"/>
      <c r="F4" s="156"/>
      <c r="G4" s="156"/>
      <c r="H4" s="100"/>
      <c r="I4" s="292"/>
      <c r="J4" s="156"/>
      <c r="K4" s="382"/>
      <c r="L4" s="272"/>
      <c r="M4" s="452"/>
      <c r="N4" s="156"/>
      <c r="O4" s="156"/>
      <c r="P4" s="156"/>
      <c r="Q4" s="100"/>
      <c r="R4" s="292"/>
      <c r="S4" s="156"/>
      <c r="T4" s="382"/>
      <c r="U4" s="277"/>
      <c r="V4" s="277"/>
      <c r="W4" s="156"/>
      <c r="X4" s="156"/>
      <c r="Y4" s="156"/>
      <c r="Z4" s="100"/>
      <c r="AA4" s="292"/>
      <c r="AB4" s="156"/>
      <c r="AC4" s="382"/>
    </row>
    <row r="5" spans="1:29" x14ac:dyDescent="0.35">
      <c r="A5" s="294" t="s">
        <v>947</v>
      </c>
      <c r="B5" s="631" t="s">
        <v>1742</v>
      </c>
      <c r="C5" s="631"/>
      <c r="D5" s="631"/>
      <c r="E5" s="293"/>
      <c r="F5" s="293"/>
      <c r="G5" s="293"/>
      <c r="H5" s="295"/>
      <c r="I5" s="296"/>
      <c r="J5" s="293"/>
      <c r="K5" s="293"/>
      <c r="L5" s="293"/>
      <c r="M5" s="293"/>
      <c r="N5" s="293"/>
      <c r="O5" s="293"/>
      <c r="P5" s="293"/>
      <c r="Q5" s="295"/>
      <c r="R5" s="296"/>
      <c r="S5" s="293"/>
      <c r="T5" s="293"/>
      <c r="U5" s="293"/>
      <c r="V5" s="293"/>
      <c r="W5" s="293"/>
      <c r="X5" s="293"/>
      <c r="Y5" s="293"/>
      <c r="Z5" s="295"/>
      <c r="AA5" s="296"/>
      <c r="AB5" s="293"/>
      <c r="AC5" s="384"/>
    </row>
    <row r="6" spans="1:29" x14ac:dyDescent="0.35">
      <c r="A6" s="73" t="s">
        <v>948</v>
      </c>
      <c r="B6" s="83">
        <v>29.5</v>
      </c>
      <c r="C6" s="302" cm="1">
        <f t="array" ref="C6">SUMPRODUCT(--(D_Category="Gr_Cat_1"),--(D_EffDate="Eff_Date_1"),--(D_Product="IG"),--(D_Zone="ALL"),--(D_SC_Name="AHS - Dimensions"),(D_Percent))</f>
        <v>0</v>
      </c>
      <c r="D6" s="302" cm="1">
        <f t="array" ref="D6">SUMPRODUCT(--(D_Category="Gr_Cat_1"),--(D_EffDate="Eff_Date_2"),--(D_Product="IG"),--(D_Zone="ALL"),--(D_SC_Name="AHS - Dimensions"),(D_Percent))</f>
        <v>0</v>
      </c>
      <c r="E6" s="69">
        <f t="shared" ref="E6:E11" si="0">ROUND(($B6*(1-C6)),2)</f>
        <v>29.5</v>
      </c>
      <c r="F6" s="69">
        <f>G6-E6</f>
        <v>0</v>
      </c>
      <c r="G6" s="69">
        <f t="shared" ref="G6:G11" si="1">ROUND(($B6*(1-D6)),2)</f>
        <v>29.5</v>
      </c>
      <c r="H6" s="74" cm="1">
        <f t="array" ref="H6">SUMPRODUCT(--(Category="Gr_Cat_1"),--(OpCo="Ground"),--(Intl="International"),--(SC_Name="AHS - Dimensions"),(SC_Count))</f>
        <v>0</v>
      </c>
      <c r="I6" s="75">
        <f t="shared" ref="I6:I11" si="2">H6*E6</f>
        <v>0</v>
      </c>
      <c r="J6" s="75">
        <f>K6-I6</f>
        <v>0</v>
      </c>
      <c r="K6" s="75">
        <f t="shared" ref="K6:K11" si="3">H6*G6</f>
        <v>0</v>
      </c>
      <c r="L6" s="272" cm="1">
        <f t="array" ref="L6">SUMPRODUCT(--(D_Category="Gr_Cat_2"),--(D_EffDate="Eff_Date_1"),--(D_Product="GR"),--(D_Zone="ALL"),--(D_SC_Name="AHS - Dimensions"),(D_Percent))</f>
        <v>0</v>
      </c>
      <c r="M6" s="272" cm="1">
        <f t="array" ref="M6">SUMPRODUCT(--(D_Category="Gr_Cat_2"),--(D_EffDate="Eff_Date_2"),--(D_Product="GR"),--(D_Zone="ALL"),--(D_SC_Name="AHS - Dimensions"),(D_Percent))</f>
        <v>0</v>
      </c>
      <c r="N6" s="69">
        <f t="shared" ref="N6:N11" si="4">ROUND(($B6*(1-L6)),2)</f>
        <v>29.5</v>
      </c>
      <c r="O6" s="69">
        <f>P6-N6</f>
        <v>0</v>
      </c>
      <c r="P6" s="69">
        <f t="shared" ref="P6:P11" si="5">ROUND(($B6*(1-M6)),2)</f>
        <v>29.5</v>
      </c>
      <c r="Q6" s="74" cm="1">
        <f t="array" ref="Q6">SUMPRODUCT(--(Category="Gr_Cat_2"),--(OpCo="Ground"),--(Intl="International"),--(SC_Name="AHS - Dimensions"),(SC_Count))</f>
        <v>0</v>
      </c>
      <c r="R6" s="75">
        <f t="shared" ref="R6:R11" si="6">Q6*N6</f>
        <v>0</v>
      </c>
      <c r="S6" s="75">
        <f>T6-R6</f>
        <v>0</v>
      </c>
      <c r="T6" s="75">
        <f t="shared" ref="T6:T11" si="7">Q6*P6</f>
        <v>0</v>
      </c>
      <c r="U6" s="277" cm="1">
        <f t="array" ref="U6">SUMPRODUCT(--(D_Category="Gr_Cat_3"),--(D_EffDate="Eff_Date_1"),--(D_Product="GR"),--(D_Zone="ALL"),--(D_SC_Name="AHS - Dimensions"),(D_Percent))</f>
        <v>0</v>
      </c>
      <c r="V6" s="277" cm="1">
        <f t="array" ref="V6">SUMPRODUCT(--(D_Category="Gr_Cat_3"),--(D_EffDate="Eff_Date_2"),--(D_Product="GR"),--(D_Zone="ALL"),--(D_SC_Name="AHS - Dimensions"),(D_Percent))</f>
        <v>0</v>
      </c>
      <c r="W6" s="69">
        <f t="shared" ref="W6:W11" si="8">ROUND(($B6*(1-U6)),2)</f>
        <v>29.5</v>
      </c>
      <c r="X6" s="69">
        <f>Y6-W6</f>
        <v>0</v>
      </c>
      <c r="Y6" s="69">
        <f t="shared" ref="Y6:Y11" si="9">ROUND(($B6*(1-V6)),2)</f>
        <v>29.5</v>
      </c>
      <c r="Z6" s="74" cm="1">
        <f t="array" ref="Z6">SUMPRODUCT(--(Category="Gr_Cat_3"),--(OpCo="Ground"),--(Intl="International"),--(SC_Name="AHS - Dimensions"),(SC_Count))</f>
        <v>0</v>
      </c>
      <c r="AA6" s="75">
        <f t="shared" ref="AA6:AA11" si="10">Z6*W6</f>
        <v>0</v>
      </c>
      <c r="AB6" s="75">
        <f>AC6-AA6</f>
        <v>0</v>
      </c>
      <c r="AC6" s="76">
        <f t="shared" ref="AC6:AC11" si="11">Z6*Y6</f>
        <v>0</v>
      </c>
    </row>
    <row r="7" spans="1:29" x14ac:dyDescent="0.35">
      <c r="A7" s="73" t="s">
        <v>949</v>
      </c>
      <c r="B7" s="83">
        <v>40</v>
      </c>
      <c r="C7" s="302" cm="1">
        <f t="array" ref="C7">SUMPRODUCT(--(D_Category="Gr_Cat_1"),--(D_EffDate="Eff_Date_1"),--(D_Product="IG"),--(D_Zone="ALL"),--(D_SC_Name="AHS - Weight"),(D_Percent))</f>
        <v>0</v>
      </c>
      <c r="D7" s="302" cm="1">
        <f t="array" ref="D7">SUMPRODUCT(--(D_Category="Gr_Cat_1"),--(D_EffDate="Eff_Date_2"),--(D_Product="IG"),--(D_Zone="ALL"),--(D_SC_Name="AHS - Weight"),(D_Percent))</f>
        <v>0</v>
      </c>
      <c r="E7" s="69">
        <f t="shared" si="0"/>
        <v>40</v>
      </c>
      <c r="F7" s="69">
        <f t="shared" ref="F7:F45" si="12">G7-E7</f>
        <v>0</v>
      </c>
      <c r="G7" s="69">
        <f t="shared" si="1"/>
        <v>40</v>
      </c>
      <c r="H7" s="74" cm="1">
        <f t="array" ref="H7">SUMPRODUCT(--(Category="Gr_Cat_1"),--(OpCo="Ground"),--(Intl="International"),--(SC_Name="AHS - Weight"),(SC_Count))</f>
        <v>0</v>
      </c>
      <c r="I7" s="75">
        <f t="shared" si="2"/>
        <v>0</v>
      </c>
      <c r="J7" s="75">
        <f t="shared" ref="J7:J45" si="13">K7-I7</f>
        <v>0</v>
      </c>
      <c r="K7" s="75">
        <f t="shared" si="3"/>
        <v>0</v>
      </c>
      <c r="L7" s="272" cm="1">
        <f t="array" ref="L7">SUMPRODUCT(--(D_Category="Gr_Cat_2"),--(D_EffDate="Eff_Date_1"),--(D_Product="GR"),--(D_Zone="ALL"),--(D_SC_Name="AHS - Weight"),(D_Percent))</f>
        <v>0</v>
      </c>
      <c r="M7" s="272" cm="1">
        <f t="array" ref="M7">SUMPRODUCT(--(D_Category="Gr_Cat_2"),--(D_EffDate="Eff_Date_2"),--(D_Product="GR"),--(D_Zone="ALL"),--(D_SC_Name="AHS - Weight"),(D_Percent))</f>
        <v>0</v>
      </c>
      <c r="N7" s="69">
        <f t="shared" si="4"/>
        <v>40</v>
      </c>
      <c r="O7" s="69">
        <f t="shared" ref="O7:O45" si="14">P7-N7</f>
        <v>0</v>
      </c>
      <c r="P7" s="69">
        <f t="shared" si="5"/>
        <v>40</v>
      </c>
      <c r="Q7" s="74" cm="1">
        <f t="array" ref="Q7">SUMPRODUCT(--(Category="Gr_Cat_2"),--(OpCo="Ground"),--(Intl="International"),--(SC_Name="AHS - Weight"),(SC_Count))</f>
        <v>0</v>
      </c>
      <c r="R7" s="75">
        <f t="shared" si="6"/>
        <v>0</v>
      </c>
      <c r="S7" s="75">
        <f t="shared" ref="S7:S45" si="15">T7-R7</f>
        <v>0</v>
      </c>
      <c r="T7" s="75">
        <f t="shared" si="7"/>
        <v>0</v>
      </c>
      <c r="U7" s="277" cm="1">
        <f t="array" ref="U7">SUMPRODUCT(--(D_Category="Gr_Cat_3"),--(D_EffDate="Eff_Date_1"),--(D_Product="GR"),--(D_Zone="ALL"),--(D_SC_Name="AHS - Weight"),(D_Percent))</f>
        <v>0</v>
      </c>
      <c r="V7" s="277" cm="1">
        <f t="array" ref="V7">SUMPRODUCT(--(D_Category="Gr_Cat_3"),--(D_EffDate="Eff_Date_2"),--(D_Product="GR"),--(D_Zone="ALL"),--(D_SC_Name="AHS - Weight"),(D_Percent))</f>
        <v>0</v>
      </c>
      <c r="W7" s="69">
        <f t="shared" si="8"/>
        <v>40</v>
      </c>
      <c r="X7" s="69">
        <f t="shared" ref="X7:X45" si="16">Y7-W7</f>
        <v>0</v>
      </c>
      <c r="Y7" s="69">
        <f t="shared" si="9"/>
        <v>40</v>
      </c>
      <c r="Z7" s="74" cm="1">
        <f t="array" ref="Z7">SUMPRODUCT(--(Category="Gr_Cat_3"),--(OpCo="Ground"),--(Intl="International"),--(SC_Name="AHS - Weight"),(SC_Count))</f>
        <v>0</v>
      </c>
      <c r="AA7" s="75">
        <f t="shared" si="10"/>
        <v>0</v>
      </c>
      <c r="AB7" s="75">
        <f t="shared" ref="AB7:AB45" si="17">AC7-AA7</f>
        <v>0</v>
      </c>
      <c r="AC7" s="76">
        <f t="shared" si="11"/>
        <v>0</v>
      </c>
    </row>
    <row r="8" spans="1:29" x14ac:dyDescent="0.35">
      <c r="A8" s="73" t="s">
        <v>950</v>
      </c>
      <c r="B8" s="83">
        <v>29.5</v>
      </c>
      <c r="C8" s="302" cm="1">
        <f t="array" ref="C8">SUMPRODUCT(--(D_Category="Gr_Cat_1"),--(D_EffDate="Eff_Date_1"),--(D_Product="IG"),--(D_Zone="ALL"),--(D_SC_Name="AHS - Packaging"),(D_Percent))</f>
        <v>0</v>
      </c>
      <c r="D8" s="302" cm="1">
        <f t="array" ref="D8">SUMPRODUCT(--(D_Category="Gr_Cat_1"),--(D_EffDate="Eff_Date_2"),--(D_Product="IG"),--(D_Zone="ALL"),--(D_SC_Name="AHS - Packaging"),(D_Percent))</f>
        <v>0</v>
      </c>
      <c r="E8" s="69">
        <f t="shared" si="0"/>
        <v>29.5</v>
      </c>
      <c r="F8" s="69">
        <f t="shared" si="12"/>
        <v>0</v>
      </c>
      <c r="G8" s="69">
        <f t="shared" si="1"/>
        <v>29.5</v>
      </c>
      <c r="H8" s="74" cm="1">
        <f t="array" ref="H8">SUMPRODUCT(--(Category="Gr_Cat_1"),--(OpCo="Ground"),--(Intl="International"),--(SC_Name="AHS - Packaging"),(SC_Count))</f>
        <v>0</v>
      </c>
      <c r="I8" s="75">
        <f t="shared" si="2"/>
        <v>0</v>
      </c>
      <c r="J8" s="75">
        <f t="shared" si="13"/>
        <v>0</v>
      </c>
      <c r="K8" s="75">
        <f t="shared" si="3"/>
        <v>0</v>
      </c>
      <c r="L8" s="272" cm="1">
        <f t="array" ref="L8">SUMPRODUCT(--(D_Category="Gr_Cat_2"),--(D_EffDate="Eff_Date_1"),--(D_Product="GR"),--(D_Zone="ALL"),--(D_SC_Name="AHS - Packaging"),(D_Percent))</f>
        <v>0</v>
      </c>
      <c r="M8" s="272" cm="1">
        <f t="array" ref="M8">SUMPRODUCT(--(D_Category="Gr_Cat_2"),--(D_EffDate="Eff_Date_2"),--(D_Product="GR"),--(D_Zone="ALL"),--(D_SC_Name="AHS - Packaging"),(D_Percent))</f>
        <v>0</v>
      </c>
      <c r="N8" s="69">
        <f t="shared" si="4"/>
        <v>29.5</v>
      </c>
      <c r="O8" s="69">
        <f t="shared" si="14"/>
        <v>0</v>
      </c>
      <c r="P8" s="69">
        <f t="shared" si="5"/>
        <v>29.5</v>
      </c>
      <c r="Q8" s="74" cm="1">
        <f t="array" ref="Q8">SUMPRODUCT(--(Category="Gr_Cat_2"),--(OpCo="Ground"),--(Intl="International"),--(SC_Name="AHS - Packaging"),(SC_Count))</f>
        <v>0</v>
      </c>
      <c r="R8" s="75">
        <f t="shared" si="6"/>
        <v>0</v>
      </c>
      <c r="S8" s="75">
        <f t="shared" si="15"/>
        <v>0</v>
      </c>
      <c r="T8" s="75">
        <f t="shared" si="7"/>
        <v>0</v>
      </c>
      <c r="U8" s="277" cm="1">
        <f t="array" ref="U8">SUMPRODUCT(--(D_Category="Gr_Cat_3"),--(D_EffDate="Eff_Date_1"),--(D_Product="GR"),--(D_Zone="ALL"),--(D_SC_Name="AHS - Packaging"),(D_Percent))</f>
        <v>0</v>
      </c>
      <c r="V8" s="277" cm="1">
        <f t="array" ref="V8">SUMPRODUCT(--(D_Category="Gr_Cat_3"),--(D_EffDate="Eff_Date_2"),--(D_Product="GR"),--(D_Zone="ALL"),--(D_SC_Name="AHS - Packaging"),(D_Percent))</f>
        <v>0</v>
      </c>
      <c r="W8" s="69">
        <f t="shared" si="8"/>
        <v>29.5</v>
      </c>
      <c r="X8" s="69">
        <f t="shared" si="16"/>
        <v>0</v>
      </c>
      <c r="Y8" s="69">
        <f t="shared" si="9"/>
        <v>29.5</v>
      </c>
      <c r="Z8" s="74" cm="1">
        <f t="array" ref="Z8">SUMPRODUCT(--(Category="Gr_Cat_3"),--(OpCo="Ground"),--(Intl="International"),--(SC_Name="AHS - Packaging"),(SC_Count))</f>
        <v>0</v>
      </c>
      <c r="AA8" s="75">
        <f t="shared" si="10"/>
        <v>0</v>
      </c>
      <c r="AB8" s="75">
        <f t="shared" si="17"/>
        <v>0</v>
      </c>
      <c r="AC8" s="76">
        <f t="shared" si="11"/>
        <v>0</v>
      </c>
    </row>
    <row r="9" spans="1:29" x14ac:dyDescent="0.35">
      <c r="A9" s="71" t="s">
        <v>31</v>
      </c>
      <c r="B9" s="67">
        <v>25.5</v>
      </c>
      <c r="C9" s="302" cm="1">
        <f t="array" ref="C9">SUMPRODUCT(--(D_Category="Gr_Cat_1"),--(D_EffDate="Eff_Date_1"),--(D_Product="GR"),--(D_SC_Name=$A9),(D_Percent))</f>
        <v>0</v>
      </c>
      <c r="D9" s="302" cm="1">
        <f t="array" ref="D9">SUMPRODUCT(--(D_Category="Gr_Cat_1"),--(D_EffDate="Eff_Date_2"),--(D_Product="GR"),--(D_SC_Name=$A9),(D_Percent))</f>
        <v>0</v>
      </c>
      <c r="E9" s="67">
        <f t="shared" si="0"/>
        <v>25.5</v>
      </c>
      <c r="F9" s="67">
        <f t="shared" si="12"/>
        <v>0</v>
      </c>
      <c r="G9" s="67">
        <f t="shared" si="1"/>
        <v>25.5</v>
      </c>
      <c r="H9" s="79" cm="1">
        <f t="array" ref="H9">SUMPRODUCT(--(Category="Gr_Cat_1"),--(OpCo="Ground"),--(SC_Name=$A9),(SC_Count))</f>
        <v>0</v>
      </c>
      <c r="I9" s="80">
        <f t="shared" si="2"/>
        <v>0</v>
      </c>
      <c r="J9" s="80">
        <f t="shared" si="13"/>
        <v>0</v>
      </c>
      <c r="K9" s="80">
        <f t="shared" si="3"/>
        <v>0</v>
      </c>
      <c r="L9" s="272" cm="1">
        <f t="array" ref="L9">SUMPRODUCT(--(D_Category="Gr_Cat_2"),--(D_EffDate="Eff_Date_1"),--(D_Product="GR"),--(D_SC_Name=$A9),(D_Percent))</f>
        <v>0</v>
      </c>
      <c r="M9" s="272" cm="1">
        <f t="array" ref="M9">SUMPRODUCT(--(D_Category="Gr_Cat_2"),--(D_EffDate="Eff_Date_2"),--(D_Product="GR"),--(D_SC_Name=$A9),(D_Percent))</f>
        <v>0</v>
      </c>
      <c r="N9" s="67">
        <f t="shared" si="4"/>
        <v>25.5</v>
      </c>
      <c r="O9" s="67">
        <f t="shared" si="14"/>
        <v>0</v>
      </c>
      <c r="P9" s="67">
        <f t="shared" si="5"/>
        <v>25.5</v>
      </c>
      <c r="Q9" s="79" cm="1">
        <f t="array" ref="Q9">SUMPRODUCT(--(Category="Gr_Cat_2"),--(OpCo="Ground"),--(SC_Name=$A9),(SC_Count))</f>
        <v>0</v>
      </c>
      <c r="R9" s="80">
        <f t="shared" si="6"/>
        <v>0</v>
      </c>
      <c r="S9" s="80">
        <f t="shared" si="15"/>
        <v>0</v>
      </c>
      <c r="T9" s="80">
        <f t="shared" si="7"/>
        <v>0</v>
      </c>
      <c r="U9" s="277" cm="1">
        <f t="array" ref="U9">SUMPRODUCT(--(D_Category="Gr_Cat_3"),--(D_EffDate="Eff_Date_1"),--(D_Product="GR"),--(D_SC_Name=$A9),(D_Percent))</f>
        <v>0</v>
      </c>
      <c r="V9" s="277" cm="1">
        <f t="array" ref="V9">SUMPRODUCT(--(D_Category="Gr_Cat_3"),--(D_EffDate="Eff_Date_2"),--(D_Product="GR"),--(D_SC_Name=$A9),(D_Percent))</f>
        <v>0</v>
      </c>
      <c r="W9" s="67">
        <f t="shared" si="8"/>
        <v>25.5</v>
      </c>
      <c r="X9" s="67">
        <f t="shared" si="16"/>
        <v>0</v>
      </c>
      <c r="Y9" s="67">
        <f t="shared" si="9"/>
        <v>25.5</v>
      </c>
      <c r="Z9" s="79" cm="1">
        <f t="array" ref="Z9">SUMPRODUCT(--(Category="Gr_Cat_3"),--(OpCo="Ground"),--(SC_Name=$A9),(SC_Count))</f>
        <v>0</v>
      </c>
      <c r="AA9" s="80">
        <f t="shared" si="10"/>
        <v>0</v>
      </c>
      <c r="AB9" s="80">
        <f t="shared" si="17"/>
        <v>0</v>
      </c>
      <c r="AC9" s="81">
        <f t="shared" si="11"/>
        <v>0</v>
      </c>
    </row>
    <row r="10" spans="1:29" x14ac:dyDescent="0.35">
      <c r="A10" s="70" t="s">
        <v>935</v>
      </c>
      <c r="B10" s="69">
        <v>16.5</v>
      </c>
      <c r="C10" s="302" cm="1">
        <f t="array" ref="C10">SUMPRODUCT(--(D_Category="Gr_Cat_1"),--(D_EffDate="Eff_Date_1"),--(D_Product="GR"),--(D_SC_Name=$A10),(D_Percent))</f>
        <v>0</v>
      </c>
      <c r="D10" s="302" cm="1">
        <f t="array" ref="D10">SUMPRODUCT(--(D_Category="Gr_Cat_1"),--(D_EffDate="Eff_Date_2"),--(D_Product="GR"),--(D_SC_Name=$A10),(D_Percent))</f>
        <v>0</v>
      </c>
      <c r="E10" s="69">
        <f t="shared" si="0"/>
        <v>16.5</v>
      </c>
      <c r="F10" s="69">
        <f t="shared" si="12"/>
        <v>0</v>
      </c>
      <c r="G10" s="69">
        <f t="shared" si="1"/>
        <v>16.5</v>
      </c>
      <c r="H10" s="74" cm="1">
        <f t="array" ref="H10">SUMPRODUCT(--(Category="Gr_Cat_1"),--(OpCo="Ground"),--(SC_Name=$A10),(SC_Count))</f>
        <v>0</v>
      </c>
      <c r="I10" s="75">
        <f t="shared" si="2"/>
        <v>0</v>
      </c>
      <c r="J10" s="75">
        <f t="shared" si="13"/>
        <v>0</v>
      </c>
      <c r="K10" s="75">
        <f t="shared" si="3"/>
        <v>0</v>
      </c>
      <c r="L10" s="272" cm="1">
        <f t="array" ref="L10">SUMPRODUCT(--(D_Category="Gr_Cat_2"),--(D_EffDate="Eff_Date_1"),--(D_Product="GR"),--(D_SC_Name=$A10),(D_Percent))</f>
        <v>0</v>
      </c>
      <c r="M10" s="272" cm="1">
        <f t="array" ref="M10">SUMPRODUCT(--(D_Category="Gr_Cat_2"),--(D_EffDate="Eff_Date_2"),--(D_Product="GR"),--(D_SC_Name=$A10),(D_Percent))</f>
        <v>0</v>
      </c>
      <c r="N10" s="69">
        <f t="shared" si="4"/>
        <v>16.5</v>
      </c>
      <c r="O10" s="69">
        <f t="shared" si="14"/>
        <v>0</v>
      </c>
      <c r="P10" s="69">
        <f t="shared" si="5"/>
        <v>16.5</v>
      </c>
      <c r="Q10" s="74" cm="1">
        <f t="array" ref="Q10">SUMPRODUCT(--(Category="Gr_Cat_2"),--(OpCo="Ground"),--(SC_Name=$A10),(SC_Count))</f>
        <v>0</v>
      </c>
      <c r="R10" s="75">
        <f t="shared" si="6"/>
        <v>0</v>
      </c>
      <c r="S10" s="75">
        <f t="shared" si="15"/>
        <v>0</v>
      </c>
      <c r="T10" s="75">
        <f t="shared" si="7"/>
        <v>0</v>
      </c>
      <c r="U10" s="277" cm="1">
        <f t="array" ref="U10">SUMPRODUCT(--(D_Category="Gr_Cat_3"),--(D_EffDate="Eff_Date_1"),--(D_Product="GR"),--(D_SC_Name=$A10),(D_Percent))</f>
        <v>0</v>
      </c>
      <c r="V10" s="277" cm="1">
        <f t="array" ref="V10">SUMPRODUCT(--(D_Category="Gr_Cat_3"),--(D_EffDate="Eff_Date_2"),--(D_Product="GR"),--(D_SC_Name=$A10),(D_Percent))</f>
        <v>0</v>
      </c>
      <c r="W10" s="69">
        <f t="shared" si="8"/>
        <v>16.5</v>
      </c>
      <c r="X10" s="69">
        <f t="shared" si="16"/>
        <v>0</v>
      </c>
      <c r="Y10" s="69">
        <f t="shared" si="9"/>
        <v>16.5</v>
      </c>
      <c r="Z10" s="74" cm="1">
        <f t="array" ref="Z10">SUMPRODUCT(--(Category="Gr_Cat_3"),--(OpCo="Ground"),--(SC_Name=$A10),(SC_Count))</f>
        <v>0</v>
      </c>
      <c r="AA10" s="75">
        <f t="shared" si="10"/>
        <v>0</v>
      </c>
      <c r="AB10" s="75">
        <f t="shared" si="17"/>
        <v>0</v>
      </c>
      <c r="AC10" s="76">
        <f t="shared" si="11"/>
        <v>0</v>
      </c>
    </row>
    <row r="11" spans="1:29" x14ac:dyDescent="0.35">
      <c r="A11" s="70" t="s">
        <v>17</v>
      </c>
      <c r="B11" s="69">
        <v>8.8000000000000007</v>
      </c>
      <c r="C11" s="302" cm="1">
        <f t="array" ref="C11">SUMPRODUCT(--(D_Category="Gr_Cat_1"),--(D_EffDate="Eff_Date_1"),--(D_Product="GR"),--(D_SC_Name=$A11),(D_Percent))</f>
        <v>0</v>
      </c>
      <c r="D11" s="302" cm="1">
        <f t="array" ref="D11">SUMPRODUCT(--(D_Category="Gr_Cat_1"),--(D_EffDate="Eff_Date_2"),--(D_Product="GR"),--(D_SC_Name=$A11),(D_Percent))</f>
        <v>0</v>
      </c>
      <c r="E11" s="69">
        <f t="shared" si="0"/>
        <v>8.8000000000000007</v>
      </c>
      <c r="F11" s="69">
        <f t="shared" si="12"/>
        <v>0</v>
      </c>
      <c r="G11" s="69">
        <f t="shared" si="1"/>
        <v>8.8000000000000007</v>
      </c>
      <c r="H11" s="74" cm="1">
        <f t="array" ref="H11">SUMPRODUCT(--(Category="Gr_Cat_1"),--(OpCo="Ground"),--(SC_Name=$A11),(SC_Count))</f>
        <v>0</v>
      </c>
      <c r="I11" s="75">
        <f t="shared" si="2"/>
        <v>0</v>
      </c>
      <c r="J11" s="75">
        <f t="shared" si="13"/>
        <v>0</v>
      </c>
      <c r="K11" s="75">
        <f t="shared" si="3"/>
        <v>0</v>
      </c>
      <c r="L11" s="272" cm="1">
        <f t="array" ref="L11">SUMPRODUCT(--(D_Category="Gr_Cat_2"),--(D_EffDate="Eff_Date_1"),--(D_Product="GR"),--(D_SC_Name=$A11),(D_Percent))</f>
        <v>0</v>
      </c>
      <c r="M11" s="272" cm="1">
        <f t="array" ref="M11">SUMPRODUCT(--(D_Category="Gr_Cat_2"),--(D_EffDate="Eff_Date_2"),--(D_Product="GR"),--(D_SC_Name=$A11),(D_Percent))</f>
        <v>0</v>
      </c>
      <c r="N11" s="69">
        <f t="shared" si="4"/>
        <v>8.8000000000000007</v>
      </c>
      <c r="O11" s="69">
        <f t="shared" si="14"/>
        <v>0</v>
      </c>
      <c r="P11" s="69">
        <f t="shared" si="5"/>
        <v>8.8000000000000007</v>
      </c>
      <c r="Q11" s="74" cm="1">
        <f t="array" ref="Q11">SUMPRODUCT(--(Category="Gr_Cat_2"),--(OpCo="Ground"),--(SC_Name=$A11),(SC_Count))</f>
        <v>0</v>
      </c>
      <c r="R11" s="75">
        <f t="shared" si="6"/>
        <v>0</v>
      </c>
      <c r="S11" s="75">
        <f t="shared" si="15"/>
        <v>0</v>
      </c>
      <c r="T11" s="75">
        <f t="shared" si="7"/>
        <v>0</v>
      </c>
      <c r="U11" s="277" cm="1">
        <f t="array" ref="U11">SUMPRODUCT(--(D_Category="Gr_Cat_3"),--(D_EffDate="Eff_Date_1"),--(D_Product="GR"),--(D_SC_Name=$A11),(D_Percent))</f>
        <v>0</v>
      </c>
      <c r="V11" s="277" cm="1">
        <f t="array" ref="V11">SUMPRODUCT(--(D_Category="Gr_Cat_3"),--(D_EffDate="Eff_Date_2"),--(D_Product="GR"),--(D_SC_Name=$A11),(D_Percent))</f>
        <v>0</v>
      </c>
      <c r="W11" s="69">
        <f t="shared" si="8"/>
        <v>8.8000000000000007</v>
      </c>
      <c r="X11" s="69">
        <f t="shared" si="16"/>
        <v>0</v>
      </c>
      <c r="Y11" s="69">
        <f t="shared" si="9"/>
        <v>8.8000000000000007</v>
      </c>
      <c r="Z11" s="74" cm="1">
        <f t="array" ref="Z11">SUMPRODUCT(--(Category="Gr_Cat_3"),--(OpCo="Ground"),--(SC_Name=$A11),(SC_Count))</f>
        <v>0</v>
      </c>
      <c r="AA11" s="75">
        <f t="shared" si="10"/>
        <v>0</v>
      </c>
      <c r="AB11" s="75">
        <f t="shared" si="17"/>
        <v>0</v>
      </c>
      <c r="AC11" s="76">
        <f t="shared" si="11"/>
        <v>0</v>
      </c>
    </row>
    <row r="12" spans="1:29" x14ac:dyDescent="0.35">
      <c r="A12" s="71" t="s">
        <v>274</v>
      </c>
      <c r="B12" s="67"/>
      <c r="C12" s="302"/>
      <c r="D12" s="302"/>
      <c r="E12" s="67"/>
      <c r="F12" s="67"/>
      <c r="G12" s="67"/>
      <c r="H12" s="79"/>
      <c r="I12" s="80"/>
      <c r="J12" s="80"/>
      <c r="K12" s="80"/>
      <c r="L12" s="272"/>
      <c r="M12" s="272"/>
      <c r="N12" s="67"/>
      <c r="O12" s="67"/>
      <c r="P12" s="67"/>
      <c r="Q12" s="79"/>
      <c r="R12" s="80"/>
      <c r="S12" s="80"/>
      <c r="T12" s="80"/>
      <c r="U12" s="277"/>
      <c r="V12" s="277"/>
      <c r="W12" s="67"/>
      <c r="X12" s="67"/>
      <c r="Y12" s="67"/>
      <c r="Z12" s="79"/>
      <c r="AA12" s="80"/>
      <c r="AB12" s="80"/>
      <c r="AC12" s="81"/>
    </row>
    <row r="13" spans="1:29" x14ac:dyDescent="0.35">
      <c r="A13" s="72" t="s">
        <v>905</v>
      </c>
      <c r="B13" s="67">
        <v>20</v>
      </c>
      <c r="C13" s="302" cm="1">
        <f t="array" ref="C13">SUMPRODUCT(--(D_Category="Gr_Cat_1"),--(D_EffDate="Eff_Date_1"),--(D_Product="GR"),--(D_SC_Name="Collect on Delivery (COD) Fee"),(D_Percent))</f>
        <v>0</v>
      </c>
      <c r="D13" s="302" cm="1">
        <f t="array" ref="D13">SUMPRODUCT(--(D_Category="Gr_Cat_1"),--(D_EffDate="Eff_Date_2"),--(D_Product="GR"),--(D_SC_Name="Collect on Delivery (COD) Fee"),(D_Percent))</f>
        <v>0</v>
      </c>
      <c r="E13" s="67">
        <f>ROUND(($B13*(1-C13)),2)</f>
        <v>20</v>
      </c>
      <c r="F13" s="67">
        <f t="shared" si="12"/>
        <v>0</v>
      </c>
      <c r="G13" s="67">
        <f>ROUND(($B13*(1-D13)),2)</f>
        <v>20</v>
      </c>
      <c r="H13" s="79" cm="1">
        <f t="array" ref="H13">SUMPRODUCT(--(Category="Gr_Cat_1"),--(OpCo="Ground"),--(SC_Name=$A13),(SC_Count))</f>
        <v>0</v>
      </c>
      <c r="I13" s="80">
        <f>H13*E13</f>
        <v>0</v>
      </c>
      <c r="J13" s="80">
        <f t="shared" si="13"/>
        <v>0</v>
      </c>
      <c r="K13" s="80">
        <f>H13*G13</f>
        <v>0</v>
      </c>
      <c r="L13" s="272" cm="1">
        <f t="array" ref="L13">SUMPRODUCT(--(D_Category="Gr_Cat_2"),--(D_EffDate="Eff_Date_1"),--(D_Product="GR"),--(D_SC_Name="Collect on Delivery (COD) Fee"),(D_Percent))</f>
        <v>0</v>
      </c>
      <c r="M13" s="272" cm="1">
        <f t="array" ref="M13">SUMPRODUCT(--(D_Category="Gr_Cat_2"),--(D_EffDate="Eff_Date_2"),--(D_Product="GR"),--(D_SC_Name="Collect on Delivery (COD) Fee"),(D_Percent))</f>
        <v>0</v>
      </c>
      <c r="N13" s="67">
        <f>ROUND(($B13*(1-L13)),2)</f>
        <v>20</v>
      </c>
      <c r="O13" s="67">
        <f t="shared" si="14"/>
        <v>0</v>
      </c>
      <c r="P13" s="67">
        <f>ROUND(($B13*(1-M13)),2)</f>
        <v>20</v>
      </c>
      <c r="Q13" s="79" cm="1">
        <f t="array" ref="Q13">SUMPRODUCT(--(Category="Gr_Cat_2"),--(OpCo="Ground"),--(SC_Name=$A13),(SC_Count))</f>
        <v>0</v>
      </c>
      <c r="R13" s="80">
        <f>Q13*N13</f>
        <v>0</v>
      </c>
      <c r="S13" s="80">
        <f t="shared" si="15"/>
        <v>0</v>
      </c>
      <c r="T13" s="80">
        <f>Q13*P13</f>
        <v>0</v>
      </c>
      <c r="U13" s="277" cm="1">
        <f t="array" ref="U13">SUMPRODUCT(--(D_Category="Gr_Cat_3"),--(D_EffDate="Eff_Date_1"),--(D_Product="GR"),--(D_SC_Name="Collect on Delivery (COD) Fee"),(D_Percent))</f>
        <v>0</v>
      </c>
      <c r="V13" s="277" cm="1">
        <f t="array" ref="V13">SUMPRODUCT(--(D_Category="Gr_Cat_3"),--(D_EffDate="Eff_Date_2"),--(D_Product="GR"),--(D_SC_Name="Collect on Delivery (COD) Fee"),(D_Percent))</f>
        <v>0</v>
      </c>
      <c r="W13" s="67">
        <f>ROUND(($B13*(1-U13)),2)</f>
        <v>20</v>
      </c>
      <c r="X13" s="67">
        <f t="shared" si="16"/>
        <v>0</v>
      </c>
      <c r="Y13" s="67">
        <f>ROUND(($B13*(1-V13)),2)</f>
        <v>20</v>
      </c>
      <c r="Z13" s="79" cm="1">
        <f t="array" ref="Z13">SUMPRODUCT(--(Category="Gr_Cat_3"),--(OpCo="Ground"),--(SC_Name=$A13),(SC_Count))</f>
        <v>0</v>
      </c>
      <c r="AA13" s="80">
        <f>Z13*W13</f>
        <v>0</v>
      </c>
      <c r="AB13" s="80">
        <f t="shared" si="17"/>
        <v>0</v>
      </c>
      <c r="AC13" s="81">
        <f>Z13*Y13</f>
        <v>0</v>
      </c>
    </row>
    <row r="14" spans="1:29" x14ac:dyDescent="0.35">
      <c r="A14" s="72" t="s">
        <v>908</v>
      </c>
      <c r="B14" s="67">
        <v>60</v>
      </c>
      <c r="C14" s="302" cm="1">
        <f t="array" ref="C14">SUMPRODUCT(--(D_Category="Gr_Cat_1"),--(D_EffDate="Eff_Date_1"),--(D_Product="GR"),--(D_SC_Name="Collect on Delivery (COD) Fee"),(D_Percent))</f>
        <v>0</v>
      </c>
      <c r="D14" s="302" cm="1">
        <f t="array" ref="D14">SUMPRODUCT(--(D_Category="Gr_Cat_1"),--(D_EffDate="Eff_Date_2"),--(D_Product="GR"),--(D_SC_Name="Collect on Delivery (COD) Fee"),(D_Percent))</f>
        <v>0</v>
      </c>
      <c r="E14" s="67">
        <f>ROUND(($B14*(1-C14)),2)</f>
        <v>60</v>
      </c>
      <c r="F14" s="67">
        <f t="shared" si="12"/>
        <v>0</v>
      </c>
      <c r="G14" s="67">
        <f>ROUND(($B14*(1-D14)),2)</f>
        <v>60</v>
      </c>
      <c r="H14" s="79" cm="1">
        <f t="array" ref="H14">SUMPRODUCT(--(Category="Gr_Cat_1"),--(OpCo="Ground"),--(SC_Name=$A14),(SC_Count))</f>
        <v>0</v>
      </c>
      <c r="I14" s="80">
        <f>H14*E14</f>
        <v>0</v>
      </c>
      <c r="J14" s="80">
        <f t="shared" si="13"/>
        <v>0</v>
      </c>
      <c r="K14" s="80">
        <f>H14*G14</f>
        <v>0</v>
      </c>
      <c r="L14" s="272" cm="1">
        <f t="array" ref="L14">SUMPRODUCT(--(D_Category="Gr_Cat_2"),--(D_EffDate="Eff_Date_1"),--(D_Product="GR"),--(D_SC_Name="Collect on Delivery (COD) Fee"),(D_Percent))</f>
        <v>0</v>
      </c>
      <c r="M14" s="272" cm="1">
        <f t="array" ref="M14">SUMPRODUCT(--(D_Category="Gr_Cat_2"),--(D_EffDate="Eff_Date_2"),--(D_Product="GR"),--(D_SC_Name="Collect on Delivery (COD) Fee"),(D_Percent))</f>
        <v>0</v>
      </c>
      <c r="N14" s="67">
        <f>ROUND(($B14*(1-L14)),2)</f>
        <v>60</v>
      </c>
      <c r="O14" s="67">
        <f t="shared" si="14"/>
        <v>0</v>
      </c>
      <c r="P14" s="67">
        <f>ROUND(($B14*(1-M14)),2)</f>
        <v>60</v>
      </c>
      <c r="Q14" s="79" cm="1">
        <f t="array" ref="Q14">SUMPRODUCT(--(Category="Gr_Cat_2"),--(OpCo="Ground"),--(SC_Name=$A14),(SC_Count))</f>
        <v>0</v>
      </c>
      <c r="R14" s="80">
        <f>Q14*N14</f>
        <v>0</v>
      </c>
      <c r="S14" s="80">
        <f t="shared" si="15"/>
        <v>0</v>
      </c>
      <c r="T14" s="80">
        <f>Q14*P14</f>
        <v>0</v>
      </c>
      <c r="U14" s="277" cm="1">
        <f t="array" ref="U14">SUMPRODUCT(--(D_Category="Gr_Cat_3"),--(D_EffDate="Eff_Date_1"),--(D_Product="GR"),--(D_SC_Name="Collect on Delivery (COD) Fee"),(D_Percent))</f>
        <v>0</v>
      </c>
      <c r="V14" s="277" cm="1">
        <f t="array" ref="V14">SUMPRODUCT(--(D_Category="Gr_Cat_3"),--(D_EffDate="Eff_Date_2"),--(D_Product="GR"),--(D_SC_Name="Collect on Delivery (COD) Fee"),(D_Percent))</f>
        <v>0</v>
      </c>
      <c r="W14" s="67">
        <f>ROUND(($B14*(1-U14)),2)</f>
        <v>60</v>
      </c>
      <c r="X14" s="67">
        <f t="shared" si="16"/>
        <v>0</v>
      </c>
      <c r="Y14" s="67">
        <f>ROUND(($B14*(1-V14)),2)</f>
        <v>60</v>
      </c>
      <c r="Z14" s="79" cm="1">
        <f t="array" ref="Z14">SUMPRODUCT(--(Category="Gr_Cat_3"),--(OpCo="Ground"),--(SC_Name=$A14),(SC_Count))</f>
        <v>0</v>
      </c>
      <c r="AA14" s="80">
        <f>Z14*W14</f>
        <v>0</v>
      </c>
      <c r="AB14" s="80">
        <f t="shared" si="17"/>
        <v>0</v>
      </c>
      <c r="AC14" s="81">
        <f>Z14*Y14</f>
        <v>0</v>
      </c>
    </row>
    <row r="15" spans="1:29" x14ac:dyDescent="0.35">
      <c r="A15" s="72" t="s">
        <v>906</v>
      </c>
      <c r="B15" s="67">
        <v>20</v>
      </c>
      <c r="C15" s="302" cm="1">
        <f t="array" ref="C15">SUMPRODUCT(--(D_Category="Gr_Cat_1"),--(D_EffDate="Eff_Date_1"),--(D_Product="GR"),--(D_SC_Name="Collect on Delivery (COD) Fee"),(D_Percent))</f>
        <v>0</v>
      </c>
      <c r="D15" s="302" cm="1">
        <f t="array" ref="D15">SUMPRODUCT(--(D_Category="Gr_Cat_1"),--(D_EffDate="Eff_Date_2"),--(D_Product="GR"),--(D_SC_Name="Collect on Delivery (COD) Fee"),(D_Percent))</f>
        <v>0</v>
      </c>
      <c r="E15" s="67">
        <f>ROUND(($B15*(1-C15)),2)</f>
        <v>20</v>
      </c>
      <c r="F15" s="67">
        <f t="shared" si="12"/>
        <v>0</v>
      </c>
      <c r="G15" s="67">
        <f>ROUND(($B15*(1-D15)),2)</f>
        <v>20</v>
      </c>
      <c r="H15" s="79" cm="1">
        <f t="array" ref="H15">SUMPRODUCT(--(Category="Gr_Cat_1"),--(OpCo="Ground"),--(SC_Name=$A15),(SC_Count))</f>
        <v>0</v>
      </c>
      <c r="I15" s="80">
        <f>H15*E15</f>
        <v>0</v>
      </c>
      <c r="J15" s="80">
        <f t="shared" si="13"/>
        <v>0</v>
      </c>
      <c r="K15" s="80">
        <f>H15*G15</f>
        <v>0</v>
      </c>
      <c r="L15" s="272" cm="1">
        <f t="array" ref="L15">SUMPRODUCT(--(D_Category="Gr_Cat_2"),--(D_EffDate="Eff_Date_1"),--(D_Product="GR"),--(D_SC_Name="Collect on Delivery (COD) Fee"),(D_Percent))</f>
        <v>0</v>
      </c>
      <c r="M15" s="272" cm="1">
        <f t="array" ref="M15">SUMPRODUCT(--(D_Category="Gr_Cat_2"),--(D_EffDate="Eff_Date_2"),--(D_Product="GR"),--(D_SC_Name="Collect on Delivery (COD) Fee"),(D_Percent))</f>
        <v>0</v>
      </c>
      <c r="N15" s="67">
        <f>ROUND(($B15*(1-L15)),2)</f>
        <v>20</v>
      </c>
      <c r="O15" s="67">
        <f t="shared" si="14"/>
        <v>0</v>
      </c>
      <c r="P15" s="67">
        <f>ROUND(($B15*(1-M15)),2)</f>
        <v>20</v>
      </c>
      <c r="Q15" s="79" cm="1">
        <f t="array" ref="Q15">SUMPRODUCT(--(Category="Gr_Cat_2"),--(OpCo="Ground"),--(SC_Name=$A15),(SC_Count))</f>
        <v>0</v>
      </c>
      <c r="R15" s="80">
        <f>Q15*N15</f>
        <v>0</v>
      </c>
      <c r="S15" s="80">
        <f t="shared" si="15"/>
        <v>0</v>
      </c>
      <c r="T15" s="80">
        <f>Q15*P15</f>
        <v>0</v>
      </c>
      <c r="U15" s="277" cm="1">
        <f t="array" ref="U15">SUMPRODUCT(--(D_Category="Gr_Cat_3"),--(D_EffDate="Eff_Date_1"),--(D_Product="GR"),--(D_SC_Name="Collect on Delivery (COD) Fee"),(D_Percent))</f>
        <v>0</v>
      </c>
      <c r="V15" s="277" cm="1">
        <f t="array" ref="V15">SUMPRODUCT(--(D_Category="Gr_Cat_3"),--(D_EffDate="Eff_Date_2"),--(D_Product="GR"),--(D_SC_Name="Collect on Delivery (COD) Fee"),(D_Percent))</f>
        <v>0</v>
      </c>
      <c r="W15" s="67">
        <f>ROUND(($B15*(1-U15)),2)</f>
        <v>20</v>
      </c>
      <c r="X15" s="67">
        <f t="shared" si="16"/>
        <v>0</v>
      </c>
      <c r="Y15" s="67">
        <f>ROUND(($B15*(1-V15)),2)</f>
        <v>20</v>
      </c>
      <c r="Z15" s="79" cm="1">
        <f t="array" ref="Z15">SUMPRODUCT(--(Category="Gr_Cat_3"),--(OpCo="Ground"),--(SC_Name=$A15),(SC_Count))</f>
        <v>0</v>
      </c>
      <c r="AA15" s="80">
        <f>Z15*W15</f>
        <v>0</v>
      </c>
      <c r="AB15" s="80">
        <f t="shared" si="17"/>
        <v>0</v>
      </c>
      <c r="AC15" s="81">
        <f>Z15*Y15</f>
        <v>0</v>
      </c>
    </row>
    <row r="16" spans="1:29" x14ac:dyDescent="0.35">
      <c r="A16" s="72" t="s">
        <v>909</v>
      </c>
      <c r="B16" s="67">
        <v>47</v>
      </c>
      <c r="C16" s="302" cm="1">
        <f t="array" ref="C16">SUMPRODUCT(--(D_Category="Gr_Cat_1"),--(D_EffDate="Eff_Date_1"),--(D_Product="GR"),--(D_SC_Name="Electronic COD - 24 Hours"),(D_Percent))</f>
        <v>0</v>
      </c>
      <c r="D16" s="302" cm="1">
        <f t="array" ref="D16">SUMPRODUCT(--(D_Category="Gr_Cat_1"),--(D_EffDate="Eff_Date_2"),--(D_Product="GR"),--(D_SC_Name="Electronic COD - 24 Hours"),(D_Percent))</f>
        <v>0</v>
      </c>
      <c r="E16" s="67">
        <f>ROUND(($B16*(1-C16)),2)</f>
        <v>47</v>
      </c>
      <c r="F16" s="67">
        <f t="shared" si="12"/>
        <v>0</v>
      </c>
      <c r="G16" s="67">
        <f>ROUND(($B16*(1-D16)),2)</f>
        <v>47</v>
      </c>
      <c r="H16" s="79" cm="1">
        <f t="array" ref="H16">SUMPRODUCT(--(Category="Gr_Cat_1"),--(OpCo="Ground"),--(SC_Name=$A16),(SC_Count))</f>
        <v>0</v>
      </c>
      <c r="I16" s="80">
        <f>H16*E16</f>
        <v>0</v>
      </c>
      <c r="J16" s="80">
        <f t="shared" si="13"/>
        <v>0</v>
      </c>
      <c r="K16" s="80">
        <f>H16*G16</f>
        <v>0</v>
      </c>
      <c r="L16" s="272" cm="1">
        <f t="array" ref="L16">SUMPRODUCT(--(D_Category="Gr_Cat_2"),--(D_EffDate="Eff_Date_1"),--(D_Product="GR"),--(D_SC_Name="Electronic COD - 24 Hours"),(D_Percent))</f>
        <v>0</v>
      </c>
      <c r="M16" s="272" cm="1">
        <f t="array" ref="M16">SUMPRODUCT(--(D_Category="Gr_Cat_2"),--(D_EffDate="Eff_Date_2"),--(D_Product="GR"),--(D_SC_Name="Electronic COD - 24 Hours"),(D_Percent))</f>
        <v>0</v>
      </c>
      <c r="N16" s="67">
        <f>ROUND(($B16*(1-L16)),2)</f>
        <v>47</v>
      </c>
      <c r="O16" s="67">
        <f t="shared" si="14"/>
        <v>0</v>
      </c>
      <c r="P16" s="67">
        <f>ROUND(($B16*(1-M16)),2)</f>
        <v>47</v>
      </c>
      <c r="Q16" s="79" cm="1">
        <f t="array" ref="Q16">SUMPRODUCT(--(Category="Gr_Cat_2"),--(OpCo="Ground"),--(SC_Name=$A16),(SC_Count))</f>
        <v>0</v>
      </c>
      <c r="R16" s="80">
        <f>Q16*N16</f>
        <v>0</v>
      </c>
      <c r="S16" s="80">
        <f t="shared" si="15"/>
        <v>0</v>
      </c>
      <c r="T16" s="80">
        <f>Q16*P16</f>
        <v>0</v>
      </c>
      <c r="U16" s="277" cm="1">
        <f t="array" ref="U16">SUMPRODUCT(--(D_Category="Gr_Cat_3"),--(D_EffDate="Eff_Date_1"),--(D_Product="GR"),--(D_SC_Name="Electronic COD - 24 Hours"),(D_Percent))</f>
        <v>0</v>
      </c>
      <c r="V16" s="277" cm="1">
        <f t="array" ref="V16">SUMPRODUCT(--(D_Category="Gr_Cat_3"),--(D_EffDate="Eff_Date_2"),--(D_Product="GR"),--(D_SC_Name="Electronic COD - 24 Hours"),(D_Percent))</f>
        <v>0</v>
      </c>
      <c r="W16" s="67">
        <f>ROUND(($B16*(1-U16)),2)</f>
        <v>47</v>
      </c>
      <c r="X16" s="67">
        <f t="shared" si="16"/>
        <v>0</v>
      </c>
      <c r="Y16" s="67">
        <f>ROUND(($B16*(1-V16)),2)</f>
        <v>47</v>
      </c>
      <c r="Z16" s="79" cm="1">
        <f t="array" ref="Z16">SUMPRODUCT(--(Category="Gr_Cat_3"),--(OpCo="Ground"),--(SC_Name=$A16),(SC_Count))</f>
        <v>0</v>
      </c>
      <c r="AA16" s="80">
        <f>Z16*W16</f>
        <v>0</v>
      </c>
      <c r="AB16" s="80">
        <f t="shared" si="17"/>
        <v>0</v>
      </c>
      <c r="AC16" s="81">
        <f>Z16*Y16</f>
        <v>0</v>
      </c>
    </row>
    <row r="17" spans="1:29" x14ac:dyDescent="0.35">
      <c r="A17" s="72" t="s">
        <v>907</v>
      </c>
      <c r="B17" s="67">
        <v>14.5</v>
      </c>
      <c r="C17" s="302" cm="1">
        <f t="array" ref="C17">SUMPRODUCT(--(D_Category="Gr_Cat_1"),--(D_EffDate="Eff_Date_1"),--(D_Product="GR"),--(D_SC_Name="Electronic COD - 48 Hours"),(D_Percent))</f>
        <v>0</v>
      </c>
      <c r="D17" s="302" cm="1">
        <f t="array" ref="D17">SUMPRODUCT(--(D_Category="Gr_Cat_1"),--(D_EffDate="Eff_Date_2"),--(D_Product="GR"),--(D_SC_Name="Electronic COD - 48 Hours"),(D_Percent))</f>
        <v>0</v>
      </c>
      <c r="E17" s="67">
        <f>ROUND(($B17*(1-C17)),2)</f>
        <v>14.5</v>
      </c>
      <c r="F17" s="67">
        <f t="shared" si="12"/>
        <v>0</v>
      </c>
      <c r="G17" s="67">
        <f>ROUND(($B17*(1-D17)),2)</f>
        <v>14.5</v>
      </c>
      <c r="H17" s="79" cm="1">
        <f t="array" ref="H17">SUMPRODUCT(--(Category="Gr_Cat_1"),--(OpCo="Ground"),--(SC_Name=$A17),(SC_Count))</f>
        <v>0</v>
      </c>
      <c r="I17" s="80">
        <f>H17*E17</f>
        <v>0</v>
      </c>
      <c r="J17" s="80">
        <f t="shared" si="13"/>
        <v>0</v>
      </c>
      <c r="K17" s="80">
        <f>H17*G17</f>
        <v>0</v>
      </c>
      <c r="L17" s="272" cm="1">
        <f t="array" ref="L17">SUMPRODUCT(--(D_Category="Gr_Cat_2"),--(D_EffDate="Eff_Date_1"),--(D_Product="GR"),--(D_SC_Name="Electronic COD - 48 Hours"),(D_Percent))</f>
        <v>0</v>
      </c>
      <c r="M17" s="272" cm="1">
        <f t="array" ref="M17">SUMPRODUCT(--(D_Category="Gr_Cat_2"),--(D_EffDate="Eff_Date_2"),--(D_Product="GR"),--(D_SC_Name="Electronic COD - 48 Hours"),(D_Percent))</f>
        <v>0</v>
      </c>
      <c r="N17" s="67">
        <f>ROUND(($B17*(1-L17)),2)</f>
        <v>14.5</v>
      </c>
      <c r="O17" s="67">
        <f t="shared" si="14"/>
        <v>0</v>
      </c>
      <c r="P17" s="67">
        <f>ROUND(($B17*(1-M17)),2)</f>
        <v>14.5</v>
      </c>
      <c r="Q17" s="79" cm="1">
        <f t="array" ref="Q17">SUMPRODUCT(--(Category="Gr_Cat_2"),--(OpCo="Ground"),--(SC_Name=$A17),(SC_Count))</f>
        <v>0</v>
      </c>
      <c r="R17" s="80">
        <f>Q17*N17</f>
        <v>0</v>
      </c>
      <c r="S17" s="80">
        <f t="shared" si="15"/>
        <v>0</v>
      </c>
      <c r="T17" s="80">
        <f>Q17*P17</f>
        <v>0</v>
      </c>
      <c r="U17" s="277" cm="1">
        <f t="array" ref="U17">SUMPRODUCT(--(D_Category="Gr_Cat_3"),--(D_EffDate="Eff_Date_1"),--(D_Product="GR"),--(D_SC_Name="Electronic COD - 48 Hours"),(D_Percent))</f>
        <v>0</v>
      </c>
      <c r="V17" s="277" cm="1">
        <f t="array" ref="V17">SUMPRODUCT(--(D_Category="Gr_Cat_3"),--(D_EffDate="Eff_Date_2"),--(D_Product="GR"),--(D_SC_Name="Electronic COD - 48 Hours"),(D_Percent))</f>
        <v>0</v>
      </c>
      <c r="W17" s="67">
        <f>ROUND(($B17*(1-U17)),2)</f>
        <v>14.5</v>
      </c>
      <c r="X17" s="67">
        <f t="shared" si="16"/>
        <v>0</v>
      </c>
      <c r="Y17" s="67">
        <f>ROUND(($B17*(1-V17)),2)</f>
        <v>14.5</v>
      </c>
      <c r="Z17" s="79" cm="1">
        <f t="array" ref="Z17">SUMPRODUCT(--(Category="Gr_Cat_3"),--(OpCo="Ground"),--(SC_Name=$A17),(SC_Count))</f>
        <v>0</v>
      </c>
      <c r="AA17" s="80">
        <f>Z17*W17</f>
        <v>0</v>
      </c>
      <c r="AB17" s="80">
        <f t="shared" si="17"/>
        <v>0</v>
      </c>
      <c r="AC17" s="81">
        <f>Z17*Y17</f>
        <v>0</v>
      </c>
    </row>
    <row r="18" spans="1:29" x14ac:dyDescent="0.35">
      <c r="A18" s="70" t="s">
        <v>883</v>
      </c>
      <c r="B18" s="69"/>
      <c r="C18" s="302"/>
      <c r="D18" s="302"/>
      <c r="E18" s="69"/>
      <c r="F18" s="69"/>
      <c r="G18" s="69"/>
      <c r="H18" s="74"/>
      <c r="I18" s="75"/>
      <c r="J18" s="75"/>
      <c r="K18" s="75"/>
      <c r="L18" s="272"/>
      <c r="M18" s="272"/>
      <c r="N18" s="69"/>
      <c r="O18" s="69"/>
      <c r="P18" s="69"/>
      <c r="Q18" s="74"/>
      <c r="R18" s="75"/>
      <c r="S18" s="75"/>
      <c r="T18" s="75"/>
      <c r="U18" s="277"/>
      <c r="V18" s="277"/>
      <c r="W18" s="69"/>
      <c r="X18" s="69"/>
      <c r="Y18" s="69"/>
      <c r="Z18" s="74"/>
      <c r="AA18" s="75"/>
      <c r="AB18" s="75"/>
      <c r="AC18" s="76"/>
    </row>
    <row r="19" spans="1:29" x14ac:dyDescent="0.35">
      <c r="A19" s="73" t="s">
        <v>300</v>
      </c>
      <c r="B19" s="69">
        <v>4.95</v>
      </c>
      <c r="C19" s="302" cm="1">
        <f t="array" ref="C19">SUMPRODUCT(--(D_Category="Gr_Cat_1"),--(D_EffDate="Eff_Date_1"),--(D_Product="GR"),--(D_SC_Name=$A19),(D_Percent))</f>
        <v>0</v>
      </c>
      <c r="D19" s="302" cm="1">
        <f t="array" ref="D19">SUMPRODUCT(--(D_Category="Gr_Cat_1"),--(D_EffDate="Eff_Date_2"),--(D_Product="GR"),--(D_SC_Name=$A19),(D_Percent))</f>
        <v>0</v>
      </c>
      <c r="E19" s="69">
        <f>ROUND(($B19*(1-C19)),2)</f>
        <v>4.95</v>
      </c>
      <c r="F19" s="69">
        <f t="shared" si="12"/>
        <v>0</v>
      </c>
      <c r="G19" s="69">
        <f>ROUND(($B19*(1-D19)),2)</f>
        <v>4.95</v>
      </c>
      <c r="H19" s="74" cm="1">
        <f t="array" ref="H19">SUMPRODUCT(--(Category="Gr_Cat_1"),--(OpCo="Ground"),--(SC_Name=$A19),(SC_Count))</f>
        <v>0</v>
      </c>
      <c r="I19" s="75">
        <f>H19*E19</f>
        <v>0</v>
      </c>
      <c r="J19" s="75">
        <f t="shared" si="13"/>
        <v>0</v>
      </c>
      <c r="K19" s="75">
        <f>H19*G19</f>
        <v>0</v>
      </c>
      <c r="L19" s="272" cm="1">
        <f t="array" ref="L19">SUMPRODUCT(--(D_Category="Gr_Cat_2"),--(D_EffDate="Eff_Date_1"),--(D_Product="GR"),--(D_SC_Name=$A19),(D_Percent))</f>
        <v>0</v>
      </c>
      <c r="M19" s="272" cm="1">
        <f t="array" ref="M19">SUMPRODUCT(--(D_Category="Gr_Cat_2"),--(D_EffDate="Eff_Date_2"),--(D_Product="GR"),--(D_SC_Name=$A19),(D_Percent))</f>
        <v>0</v>
      </c>
      <c r="N19" s="69">
        <f>ROUND(($B19*(1-L19)),2)</f>
        <v>4.95</v>
      </c>
      <c r="O19" s="69">
        <f t="shared" si="14"/>
        <v>0</v>
      </c>
      <c r="P19" s="69">
        <f>ROUND(($B19*(1-M19)),2)</f>
        <v>4.95</v>
      </c>
      <c r="Q19" s="74" cm="1">
        <f t="array" ref="Q19">SUMPRODUCT(--(Category="Gr_Cat_2"),--(OpCo="Ground"),--(SC_Name=$A19),(SC_Count))</f>
        <v>0</v>
      </c>
      <c r="R19" s="75">
        <f>Q19*N19</f>
        <v>0</v>
      </c>
      <c r="S19" s="75">
        <f t="shared" si="15"/>
        <v>0</v>
      </c>
      <c r="T19" s="75">
        <f>Q19*P19</f>
        <v>0</v>
      </c>
      <c r="U19" s="277" cm="1">
        <f t="array" ref="U19">SUMPRODUCT(--(D_Category="Gr_Cat_3"),--(D_EffDate="Eff_Date_1"),--(D_Product="GR"),--(D_SC_Name=$A19),(D_Percent))</f>
        <v>0</v>
      </c>
      <c r="V19" s="277" cm="1">
        <f t="array" ref="V19">SUMPRODUCT(--(D_Category="Gr_Cat_3"),--(D_EffDate="Eff_Date_2"),--(D_Product="GR"),--(D_SC_Name=$A19),(D_Percent))</f>
        <v>0</v>
      </c>
      <c r="W19" s="69">
        <f>ROUND(($B19*(1-U19)),2)</f>
        <v>4.95</v>
      </c>
      <c r="X19" s="69">
        <f t="shared" si="16"/>
        <v>0</v>
      </c>
      <c r="Y19" s="69">
        <f>ROUND(($B19*(1-V19)),2)</f>
        <v>4.95</v>
      </c>
      <c r="Z19" s="74" cm="1">
        <f t="array" ref="Z19">SUMPRODUCT(--(Category="Gr_Cat_3"),--(OpCo="Ground"),--(SC_Name=$A19),(SC_Count))</f>
        <v>0</v>
      </c>
      <c r="AA19" s="75">
        <f>Z19*W19</f>
        <v>0</v>
      </c>
      <c r="AB19" s="75">
        <f t="shared" si="17"/>
        <v>0</v>
      </c>
      <c r="AC19" s="76">
        <f>Z19*Y19</f>
        <v>0</v>
      </c>
    </row>
    <row r="20" spans="1:29" x14ac:dyDescent="0.35">
      <c r="A20" s="73" t="s">
        <v>301</v>
      </c>
      <c r="B20" s="69">
        <v>11.25</v>
      </c>
      <c r="C20" s="302" cm="1">
        <f t="array" ref="C20">SUMPRODUCT(--(D_Category="Gr_Cat_1"),--(D_EffDate="Eff_Date_1"),--(D_Product="GR"),--(D_SC_Name=$A20),(D_Percent))</f>
        <v>0</v>
      </c>
      <c r="D20" s="302" cm="1">
        <f t="array" ref="D20">SUMPRODUCT(--(D_Category="Gr_Cat_1"),--(D_EffDate="Eff_Date_2"),--(D_Product="GR"),--(D_SC_Name=$A20),(D_Percent))</f>
        <v>0</v>
      </c>
      <c r="E20" s="69">
        <f>ROUND(($B20*(1-C20)),2)</f>
        <v>11.25</v>
      </c>
      <c r="F20" s="69">
        <f t="shared" si="12"/>
        <v>0</v>
      </c>
      <c r="G20" s="69">
        <f>ROUND(($B20*(1-D20)),2)</f>
        <v>11.25</v>
      </c>
      <c r="H20" s="74" cm="1">
        <f t="array" ref="H20">SUMPRODUCT(--(Category="Gr_Cat_1"),--(OpCo="Ground"),--(SC_Name=$A20),(SC_Count))</f>
        <v>0</v>
      </c>
      <c r="I20" s="75">
        <f>H20*E20</f>
        <v>0</v>
      </c>
      <c r="J20" s="75">
        <f t="shared" si="13"/>
        <v>0</v>
      </c>
      <c r="K20" s="75">
        <f>H20*G20</f>
        <v>0</v>
      </c>
      <c r="L20" s="272" cm="1">
        <f t="array" ref="L20">SUMPRODUCT(--(D_Category="Gr_Cat_2"),--(D_EffDate="Eff_Date_1"),--(D_Product="GR"),--(D_SC_Name=$A20),(D_Percent))</f>
        <v>0</v>
      </c>
      <c r="M20" s="272" cm="1">
        <f t="array" ref="M20">SUMPRODUCT(--(D_Category="Gr_Cat_2"),--(D_EffDate="Eff_Date_2"),--(D_Product="GR"),--(D_SC_Name=$A20),(D_Percent))</f>
        <v>0</v>
      </c>
      <c r="N20" s="69">
        <f>ROUND(($B20*(1-L20)),2)</f>
        <v>11.25</v>
      </c>
      <c r="O20" s="69">
        <f t="shared" si="14"/>
        <v>0</v>
      </c>
      <c r="P20" s="69">
        <f>ROUND(($B20*(1-M20)),2)</f>
        <v>11.25</v>
      </c>
      <c r="Q20" s="74" cm="1">
        <f t="array" ref="Q20">SUMPRODUCT(--(Category="Gr_Cat_2"),--(OpCo="Ground"),--(SC_Name=$A20),(SC_Count))</f>
        <v>0</v>
      </c>
      <c r="R20" s="75">
        <f>Q20*N20</f>
        <v>0</v>
      </c>
      <c r="S20" s="75">
        <f t="shared" si="15"/>
        <v>0</v>
      </c>
      <c r="T20" s="75">
        <f>Q20*P20</f>
        <v>0</v>
      </c>
      <c r="U20" s="277" cm="1">
        <f t="array" ref="U20">SUMPRODUCT(--(D_Category="Gr_Cat_3"),--(D_EffDate="Eff_Date_1"),--(D_Product="GR"),--(D_SC_Name=$A20),(D_Percent))</f>
        <v>0</v>
      </c>
      <c r="V20" s="277" cm="1">
        <f t="array" ref="V20">SUMPRODUCT(--(D_Category="Gr_Cat_3"),--(D_EffDate="Eff_Date_2"),--(D_Product="GR"),--(D_SC_Name=$A20),(D_Percent))</f>
        <v>0</v>
      </c>
      <c r="W20" s="69">
        <f>ROUND(($B20*(1-U20)),2)</f>
        <v>11.25</v>
      </c>
      <c r="X20" s="69">
        <f t="shared" si="16"/>
        <v>0</v>
      </c>
      <c r="Y20" s="69">
        <f>ROUND(($B20*(1-V20)),2)</f>
        <v>11.25</v>
      </c>
      <c r="Z20" s="74" cm="1">
        <f t="array" ref="Z20">SUMPRODUCT(--(Category="Gr_Cat_3"),--(OpCo="Ground"),--(SC_Name=$A20),(SC_Count))</f>
        <v>0</v>
      </c>
      <c r="AA20" s="75">
        <f>Z20*W20</f>
        <v>0</v>
      </c>
      <c r="AB20" s="75">
        <f t="shared" si="17"/>
        <v>0</v>
      </c>
      <c r="AC20" s="76">
        <f>Z20*Y20</f>
        <v>0</v>
      </c>
    </row>
    <row r="21" spans="1:29" x14ac:dyDescent="0.35">
      <c r="A21" s="73" t="s">
        <v>299</v>
      </c>
      <c r="B21" s="69">
        <v>25.5</v>
      </c>
      <c r="C21" s="302" cm="1">
        <f t="array" ref="C21">SUMPRODUCT(--(D_Category="Gr_Cat_1"),--(D_EffDate="Eff_Date_1"),--(D_Product="GR"),--(D_SC_Name=$A21),(D_Percent))</f>
        <v>0</v>
      </c>
      <c r="D21" s="302" cm="1">
        <f t="array" ref="D21">SUMPRODUCT(--(D_Category="Gr_Cat_1"),--(D_EffDate="Eff_Date_2"),--(D_Product="GR"),--(D_SC_Name=$A21),(D_Percent))</f>
        <v>0</v>
      </c>
      <c r="E21" s="69">
        <f>ROUND(($B21*(1-C21)),2)</f>
        <v>25.5</v>
      </c>
      <c r="F21" s="69">
        <f t="shared" si="12"/>
        <v>0</v>
      </c>
      <c r="G21" s="69">
        <f>ROUND(($B21*(1-D21)),2)</f>
        <v>25.5</v>
      </c>
      <c r="H21" s="74" cm="1">
        <f t="array" ref="H21">SUMPRODUCT(--(Category="Gr_Cat_1"),--(OpCo="Ground"),--(SC_Name=$A21),(SC_Count))</f>
        <v>0</v>
      </c>
      <c r="I21" s="75">
        <f>H21*E21</f>
        <v>0</v>
      </c>
      <c r="J21" s="75">
        <f t="shared" si="13"/>
        <v>0</v>
      </c>
      <c r="K21" s="75">
        <f>H21*G21</f>
        <v>0</v>
      </c>
      <c r="L21" s="272" cm="1">
        <f t="array" ref="L21">SUMPRODUCT(--(D_Category="Gr_Cat_2"),--(D_EffDate="Eff_Date_1"),--(D_Product="GR"),--(D_SC_Name=$A21),(D_Percent))</f>
        <v>0</v>
      </c>
      <c r="M21" s="272" cm="1">
        <f t="array" ref="M21">SUMPRODUCT(--(D_Category="Gr_Cat_2"),--(D_EffDate="Eff_Date_2"),--(D_Product="GR"),--(D_SC_Name=$A21),(D_Percent))</f>
        <v>0</v>
      </c>
      <c r="N21" s="69">
        <f>ROUND(($B21*(1-L21)),2)</f>
        <v>25.5</v>
      </c>
      <c r="O21" s="69">
        <f t="shared" si="14"/>
        <v>0</v>
      </c>
      <c r="P21" s="69">
        <f>ROUND(($B21*(1-M21)),2)</f>
        <v>25.5</v>
      </c>
      <c r="Q21" s="74" cm="1">
        <f t="array" ref="Q21">SUMPRODUCT(--(Category="Gr_Cat_2"),--(OpCo="Ground"),--(SC_Name=$A21),(SC_Count))</f>
        <v>0</v>
      </c>
      <c r="R21" s="75">
        <f>Q21*N21</f>
        <v>0</v>
      </c>
      <c r="S21" s="75">
        <f t="shared" si="15"/>
        <v>0</v>
      </c>
      <c r="T21" s="75">
        <f>Q21*P21</f>
        <v>0</v>
      </c>
      <c r="U21" s="277" cm="1">
        <f t="array" ref="U21">SUMPRODUCT(--(D_Category="Gr_Cat_3"),--(D_EffDate="Eff_Date_1"),--(D_Product="GR"),--(D_SC_Name=$A21),(D_Percent))</f>
        <v>0</v>
      </c>
      <c r="V21" s="277" cm="1">
        <f t="array" ref="V21">SUMPRODUCT(--(D_Category="Gr_Cat_3"),--(D_EffDate="Eff_Date_2"),--(D_Product="GR"),--(D_SC_Name=$A21),(D_Percent))</f>
        <v>0</v>
      </c>
      <c r="W21" s="69">
        <f>ROUND(($B21*(1-U21)),2)</f>
        <v>25.5</v>
      </c>
      <c r="X21" s="69">
        <f t="shared" si="16"/>
        <v>0</v>
      </c>
      <c r="Y21" s="69">
        <f>ROUND(($B21*(1-V21)),2)</f>
        <v>25.5</v>
      </c>
      <c r="Z21" s="74" cm="1">
        <f t="array" ref="Z21">SUMPRODUCT(--(Category="Gr_Cat_3"),--(OpCo="Ground"),--(SC_Name=$A21),(SC_Count))</f>
        <v>0</v>
      </c>
      <c r="AA21" s="75">
        <f>Z21*W21</f>
        <v>0</v>
      </c>
      <c r="AB21" s="75">
        <f t="shared" si="17"/>
        <v>0</v>
      </c>
      <c r="AC21" s="76">
        <f>Z21*Y21</f>
        <v>0</v>
      </c>
    </row>
    <row r="22" spans="1:29" x14ac:dyDescent="0.35">
      <c r="A22" s="71" t="s">
        <v>28</v>
      </c>
      <c r="B22" s="67">
        <v>1.65</v>
      </c>
      <c r="C22" s="302" cm="1">
        <f t="array" ref="C22">SUMPRODUCT(--(D_Category="Gr_Cat_1"),--(D_EffDate="Eff_Date_1"),--(D_Product="GR"),--(D_SC_Name=$A22),(D_Percent))</f>
        <v>0</v>
      </c>
      <c r="D22" s="302" cm="1">
        <f t="array" ref="D22">SUMPRODUCT(--(D_Category="Gr_Cat_1"),--(D_EffDate="Eff_Date_2"),--(D_Product="GR"),--(D_SC_Name=$A22),(D_Percent))</f>
        <v>0</v>
      </c>
      <c r="E22" s="67">
        <f>ROUND(($B22*(1-C22)),2)</f>
        <v>1.65</v>
      </c>
      <c r="F22" s="67">
        <f t="shared" si="12"/>
        <v>0</v>
      </c>
      <c r="G22" s="67">
        <f>ROUND(($B22*(1-D22)),2)</f>
        <v>1.65</v>
      </c>
      <c r="H22" s="79" cm="1">
        <f t="array" ref="H22">SUMPRODUCT(--(Category="Gr_Cat_1"),--(OpCo="Ground"),--(SC_Name=$A22),(SC_Count))</f>
        <v>0</v>
      </c>
      <c r="I22" s="270"/>
      <c r="J22" s="373"/>
      <c r="K22" s="372"/>
      <c r="L22" s="272" cm="1">
        <f t="array" ref="L22">SUMPRODUCT(--(D_Category="Gr_Cat_2"),--(D_EffDate="Eff_Date_1"),--(D_Product="GR"),--(D_SC_Name=$A22),(D_Percent))</f>
        <v>0</v>
      </c>
      <c r="M22" s="272" cm="1">
        <f t="array" ref="M22">SUMPRODUCT(--(D_Category="Gr_Cat_2"),--(D_EffDate="Eff_Date_2"),--(D_Product="GR"),--(D_SC_Name=$A22),(D_Percent))</f>
        <v>0</v>
      </c>
      <c r="N22" s="67">
        <f>ROUND(($B22*(1-L22)),2)</f>
        <v>1.65</v>
      </c>
      <c r="O22" s="67">
        <f t="shared" si="14"/>
        <v>0</v>
      </c>
      <c r="P22" s="67">
        <f>ROUND(($B22*(1-M22)),2)</f>
        <v>1.65</v>
      </c>
      <c r="Q22" s="79" cm="1">
        <f t="array" ref="Q22">SUMPRODUCT(--(Category="Gr_Cat_2"),--(OpCo="Ground"),--(SC_Name=$A22),(SC_Count))</f>
        <v>0</v>
      </c>
      <c r="R22" s="270"/>
      <c r="S22" s="373"/>
      <c r="T22" s="372"/>
      <c r="U22" s="277" cm="1">
        <f t="array" ref="U22">SUMPRODUCT(--(D_Category="Gr_Cat_3"),--(D_EffDate="Eff_Date_1"),--(D_Product="GR"),--(D_SC_Name=$A22),(D_Percent))</f>
        <v>0</v>
      </c>
      <c r="V22" s="277" cm="1">
        <f t="array" ref="V22">SUMPRODUCT(--(D_Category="Gr_Cat_3"),--(D_EffDate="Eff_Date_2"),--(D_Product="GR"),--(D_SC_Name=$A22),(D_Percent))</f>
        <v>0</v>
      </c>
      <c r="W22" s="67">
        <f>ROUND(($B22*(1-U22)),2)</f>
        <v>1.65</v>
      </c>
      <c r="X22" s="67">
        <f t="shared" si="16"/>
        <v>0</v>
      </c>
      <c r="Y22" s="67">
        <f>ROUND(($B22*(1-V22)),2)</f>
        <v>1.65</v>
      </c>
      <c r="Z22" s="79" cm="1">
        <f t="array" ref="Z22">SUMPRODUCT(--(Category="Gr_Cat_3"),--(OpCo="Ground"),--(SC_Name=$A22),(SC_Count))</f>
        <v>0</v>
      </c>
      <c r="AA22" s="270"/>
      <c r="AB22" s="373"/>
      <c r="AC22" s="372"/>
    </row>
    <row r="23" spans="1:29" x14ac:dyDescent="0.35">
      <c r="A23" s="70" t="s">
        <v>69</v>
      </c>
      <c r="B23" s="69"/>
      <c r="C23" s="302"/>
      <c r="D23" s="302"/>
      <c r="E23" s="69"/>
      <c r="F23" s="69"/>
      <c r="G23" s="69"/>
      <c r="H23" s="74"/>
      <c r="I23" s="75"/>
      <c r="J23" s="75"/>
      <c r="K23" s="75"/>
      <c r="L23" s="272"/>
      <c r="M23" s="272"/>
      <c r="N23" s="69"/>
      <c r="O23" s="69"/>
      <c r="P23" s="69"/>
      <c r="Q23" s="74"/>
      <c r="R23" s="75"/>
      <c r="S23" s="75"/>
      <c r="T23" s="75"/>
      <c r="U23" s="277"/>
      <c r="V23" s="277"/>
      <c r="W23" s="69"/>
      <c r="X23" s="69"/>
      <c r="Y23" s="69"/>
      <c r="Z23" s="74"/>
      <c r="AA23" s="75"/>
      <c r="AB23" s="75"/>
      <c r="AC23" s="76"/>
    </row>
    <row r="24" spans="1:29" x14ac:dyDescent="0.35">
      <c r="A24" s="73" t="s">
        <v>281</v>
      </c>
      <c r="B24" s="69">
        <v>4.45</v>
      </c>
      <c r="C24" s="302" cm="1">
        <f t="array" ref="C24">SUMPRODUCT(--(D_Category="Gr_Cat_1"),--(D_EffDate="Eff_Date_1"),--(D_Product="GR"),--(D_SC_Name=$A24),(D_Percent))</f>
        <v>0</v>
      </c>
      <c r="D24" s="302" cm="1">
        <f t="array" ref="D24">SUMPRODUCT(--(D_Category="Gr_Cat_1"),--(D_EffDate="Eff_Date_2"),--(D_Product="GR"),--(D_SC_Name=$A24),(D_Percent))</f>
        <v>0</v>
      </c>
      <c r="E24" s="69">
        <f t="shared" ref="E24:E38" si="18">ROUND(($B24*(1-C24)),2)</f>
        <v>4.45</v>
      </c>
      <c r="F24" s="69">
        <f t="shared" si="12"/>
        <v>0</v>
      </c>
      <c r="G24" s="69">
        <f t="shared" ref="G24:G38" si="19">ROUND(($B24*(1-D24)),2)</f>
        <v>4.45</v>
      </c>
      <c r="H24" s="74" cm="1">
        <f t="array" ref="H24">SUMPRODUCT(--(Category="Gr_Cat_1"),--(OpCo="Ground"),--(SC_Name=$A24),(SC_Count))</f>
        <v>0</v>
      </c>
      <c r="I24" s="75">
        <f t="shared" ref="I24:I38" si="20">H24*E24</f>
        <v>0</v>
      </c>
      <c r="J24" s="75">
        <f t="shared" si="13"/>
        <v>0</v>
      </c>
      <c r="K24" s="75">
        <f t="shared" ref="K24:K38" si="21">H24*G24</f>
        <v>0</v>
      </c>
      <c r="L24" s="272" cm="1">
        <f t="array" ref="L24">SUMPRODUCT(--(D_Category="Gr_Cat_2"),--(D_EffDate="Eff_Date_1"),--(D_Product="GR"),--(D_SC_Name=$A24),(D_Percent))</f>
        <v>0</v>
      </c>
      <c r="M24" s="272" cm="1">
        <f t="array" ref="M24">SUMPRODUCT(--(D_Category="Gr_Cat_2"),--(D_EffDate="Eff_Date_2"),--(D_Product="GR"),--(D_SC_Name=$A24),(D_Percent))</f>
        <v>0</v>
      </c>
      <c r="N24" s="69">
        <f t="shared" ref="N24:N38" si="22">ROUND(($B24*(1-L24)),2)</f>
        <v>4.45</v>
      </c>
      <c r="O24" s="69">
        <f t="shared" si="14"/>
        <v>0</v>
      </c>
      <c r="P24" s="69">
        <f t="shared" ref="P24:P38" si="23">ROUND(($B24*(1-M24)),2)</f>
        <v>4.45</v>
      </c>
      <c r="Q24" s="74" cm="1">
        <f t="array" ref="Q24">SUMPRODUCT(--(Category="Gr_Cat_2"),--(OpCo="Ground"),--(SC_Name=$A24),(SC_Count))</f>
        <v>0</v>
      </c>
      <c r="R24" s="75">
        <f t="shared" ref="R24:R38" si="24">Q24*N24</f>
        <v>0</v>
      </c>
      <c r="S24" s="75">
        <f t="shared" si="15"/>
        <v>0</v>
      </c>
      <c r="T24" s="75">
        <f t="shared" ref="T24:T38" si="25">Q24*P24</f>
        <v>0</v>
      </c>
      <c r="U24" s="277" cm="1">
        <f t="array" ref="U24">SUMPRODUCT(--(D_Category="Gr_Cat_3"),--(D_EffDate="Eff_Date_1"),--(D_Product="GR"),--(D_SC_Name=$A24),(D_Percent))</f>
        <v>0</v>
      </c>
      <c r="V24" s="277" cm="1">
        <f t="array" ref="V24">SUMPRODUCT(--(D_Category="Gr_Cat_3"),--(D_EffDate="Eff_Date_2"),--(D_Product="GR"),--(D_SC_Name=$A24),(D_Percent))</f>
        <v>0</v>
      </c>
      <c r="W24" s="69">
        <f t="shared" ref="W24:W38" si="26">ROUND(($B24*(1-U24)),2)</f>
        <v>4.45</v>
      </c>
      <c r="X24" s="69">
        <f t="shared" si="16"/>
        <v>0</v>
      </c>
      <c r="Y24" s="69">
        <f t="shared" ref="Y24:Y38" si="27">ROUND(($B24*(1-V24)),2)</f>
        <v>4.45</v>
      </c>
      <c r="Z24" s="74" cm="1">
        <f t="array" ref="Z24">SUMPRODUCT(--(Category="Gr_Cat_3"),--(OpCo="Ground"),--(SC_Name=$A24),(SC_Count))</f>
        <v>0</v>
      </c>
      <c r="AA24" s="75">
        <f t="shared" ref="AA24:AA38" si="28">Z24*W24</f>
        <v>0</v>
      </c>
      <c r="AB24" s="75">
        <f t="shared" si="17"/>
        <v>0</v>
      </c>
      <c r="AC24" s="76">
        <f t="shared" ref="AC24:AC38" si="29">Z24*Y24</f>
        <v>0</v>
      </c>
    </row>
    <row r="25" spans="1:29" x14ac:dyDescent="0.35">
      <c r="A25" s="73" t="s">
        <v>306</v>
      </c>
      <c r="B25" s="69">
        <v>5.55</v>
      </c>
      <c r="C25" s="302" cm="1">
        <f t="array" ref="C25">SUMPRODUCT(--(D_Category="Gr_Cat_1"),--(D_EffDate="Eff_Date_1"),--(D_Product="GR"),--(D_SC_Name=$A25),(D_Percent))</f>
        <v>0</v>
      </c>
      <c r="D25" s="302" cm="1">
        <f t="array" ref="D25">SUMPRODUCT(--(D_Category="Gr_Cat_1"),--(D_EffDate="Eff_Date_2"),--(D_Product="GR"),--(D_SC_Name=$A25),(D_Percent))</f>
        <v>0</v>
      </c>
      <c r="E25" s="69">
        <f t="shared" si="18"/>
        <v>5.55</v>
      </c>
      <c r="F25" s="69">
        <f t="shared" si="12"/>
        <v>0</v>
      </c>
      <c r="G25" s="69">
        <f t="shared" si="19"/>
        <v>5.55</v>
      </c>
      <c r="H25" s="74" cm="1">
        <f t="array" ref="H25">SUMPRODUCT(--(Category="Gr_Cat_1"),--(OpCo="Ground"),--(SC_Name=$A25),(SC_Count))</f>
        <v>0</v>
      </c>
      <c r="I25" s="75">
        <f t="shared" si="20"/>
        <v>0</v>
      </c>
      <c r="J25" s="75">
        <f t="shared" si="13"/>
        <v>0</v>
      </c>
      <c r="K25" s="75">
        <f t="shared" si="21"/>
        <v>0</v>
      </c>
      <c r="L25" s="272" cm="1">
        <f t="array" ref="L25">SUMPRODUCT(--(D_Category="Gr_Cat_2"),--(D_EffDate="Eff_Date_1"),--(D_Product="GR"),--(D_SC_Name=$A25),(D_Percent))</f>
        <v>0</v>
      </c>
      <c r="M25" s="272" cm="1">
        <f t="array" ref="M25">SUMPRODUCT(--(D_Category="Gr_Cat_2"),--(D_EffDate="Eff_Date_2"),--(D_Product="GR"),--(D_SC_Name=$A25),(D_Percent))</f>
        <v>0</v>
      </c>
      <c r="N25" s="69">
        <f t="shared" si="22"/>
        <v>5.55</v>
      </c>
      <c r="O25" s="69">
        <f t="shared" si="14"/>
        <v>0</v>
      </c>
      <c r="P25" s="69">
        <f t="shared" si="23"/>
        <v>5.55</v>
      </c>
      <c r="Q25" s="74" cm="1">
        <f t="array" ref="Q25">SUMPRODUCT(--(Category="Gr_Cat_2"),--(OpCo="Ground"),--(SC_Name=$A25),(SC_Count))</f>
        <v>0</v>
      </c>
      <c r="R25" s="75">
        <f t="shared" si="24"/>
        <v>0</v>
      </c>
      <c r="S25" s="75">
        <f t="shared" si="15"/>
        <v>0</v>
      </c>
      <c r="T25" s="75">
        <f t="shared" si="25"/>
        <v>0</v>
      </c>
      <c r="U25" s="277" cm="1">
        <f t="array" ref="U25">SUMPRODUCT(--(D_Category="Gr_Cat_3"),--(D_EffDate="Eff_Date_1"),--(D_Product="GR"),--(D_SC_Name=$A25),(D_Percent))</f>
        <v>0</v>
      </c>
      <c r="V25" s="277" cm="1">
        <f t="array" ref="V25">SUMPRODUCT(--(D_Category="Gr_Cat_3"),--(D_EffDate="Eff_Date_2"),--(D_Product="GR"),--(D_SC_Name=$A25),(D_Percent))</f>
        <v>0</v>
      </c>
      <c r="W25" s="69">
        <f t="shared" si="26"/>
        <v>5.55</v>
      </c>
      <c r="X25" s="69">
        <f t="shared" si="16"/>
        <v>0</v>
      </c>
      <c r="Y25" s="69">
        <f t="shared" si="27"/>
        <v>5.55</v>
      </c>
      <c r="Z25" s="74" cm="1">
        <f t="array" ref="Z25">SUMPRODUCT(--(Category="Gr_Cat_3"),--(OpCo="Ground"),--(SC_Name=$A25),(SC_Count))</f>
        <v>0</v>
      </c>
      <c r="AA25" s="75">
        <f t="shared" si="28"/>
        <v>0</v>
      </c>
      <c r="AB25" s="75">
        <f t="shared" si="17"/>
        <v>0</v>
      </c>
      <c r="AC25" s="76">
        <f t="shared" si="29"/>
        <v>0</v>
      </c>
    </row>
    <row r="26" spans="1:29" x14ac:dyDescent="0.35">
      <c r="A26" s="73" t="s">
        <v>951</v>
      </c>
      <c r="B26" s="69">
        <v>16.75</v>
      </c>
      <c r="C26" s="302" cm="1">
        <f t="array" ref="C26">SUMPRODUCT(--(D_Category="Gr_Cat_1"),--(D_EffDate="Eff_Date_1"),--(D_Product="GR"),--(D_SC_Name=$A26),(D_Percent))</f>
        <v>0</v>
      </c>
      <c r="D26" s="302" cm="1">
        <f t="array" ref="D26">SUMPRODUCT(--(D_Category="Gr_Cat_1"),--(D_EffDate="Eff_Date_2"),--(D_Product="GR"),--(D_SC_Name=$A26),(D_Percent))</f>
        <v>0</v>
      </c>
      <c r="E26" s="69">
        <f t="shared" si="18"/>
        <v>16.75</v>
      </c>
      <c r="F26" s="69">
        <f t="shared" si="12"/>
        <v>0</v>
      </c>
      <c r="G26" s="69">
        <f t="shared" si="19"/>
        <v>16.75</v>
      </c>
      <c r="H26" s="74" cm="1">
        <f t="array" ref="H26">SUMPRODUCT(--(Category="Gr_Cat_1"),--(OpCo="Ground"),--(SC_Name=$A26),(SC_Count))</f>
        <v>0</v>
      </c>
      <c r="I26" s="75">
        <f t="shared" si="20"/>
        <v>0</v>
      </c>
      <c r="J26" s="75">
        <f t="shared" si="13"/>
        <v>0</v>
      </c>
      <c r="K26" s="75">
        <f t="shared" si="21"/>
        <v>0</v>
      </c>
      <c r="L26" s="272" cm="1">
        <f t="array" ref="L26">SUMPRODUCT(--(D_Category="Gr_Cat_2"),--(D_EffDate="Eff_Date_1"),--(D_Product="GR"),--(D_SC_Name=$A26),(D_Percent))</f>
        <v>0</v>
      </c>
      <c r="M26" s="272" cm="1">
        <f t="array" ref="M26">SUMPRODUCT(--(D_Category="Gr_Cat_2"),--(D_EffDate="Eff_Date_2"),--(D_Product="GR"),--(D_SC_Name=$A26),(D_Percent))</f>
        <v>0</v>
      </c>
      <c r="N26" s="69">
        <f t="shared" si="22"/>
        <v>16.75</v>
      </c>
      <c r="O26" s="69">
        <f t="shared" si="14"/>
        <v>0</v>
      </c>
      <c r="P26" s="69">
        <f t="shared" si="23"/>
        <v>16.75</v>
      </c>
      <c r="Q26" s="74" cm="1">
        <f t="array" ref="Q26">SUMPRODUCT(--(Category="Gr_Cat_2"),--(OpCo="Ground"),--(SC_Name=$A26),(SC_Count))</f>
        <v>0</v>
      </c>
      <c r="R26" s="75">
        <f t="shared" si="24"/>
        <v>0</v>
      </c>
      <c r="S26" s="75">
        <f t="shared" si="15"/>
        <v>0</v>
      </c>
      <c r="T26" s="75">
        <f t="shared" si="25"/>
        <v>0</v>
      </c>
      <c r="U26" s="277" cm="1">
        <f t="array" ref="U26">SUMPRODUCT(--(D_Category="Gr_Cat_3"),--(D_EffDate="Eff_Date_1"),--(D_Product="GR"),--(D_SC_Name=$A26),(D_Percent))</f>
        <v>0</v>
      </c>
      <c r="V26" s="277" cm="1">
        <f t="array" ref="V26">SUMPRODUCT(--(D_Category="Gr_Cat_3"),--(D_EffDate="Eff_Date_2"),--(D_Product="GR"),--(D_SC_Name=$A26),(D_Percent))</f>
        <v>0</v>
      </c>
      <c r="W26" s="69">
        <f t="shared" si="26"/>
        <v>16.75</v>
      </c>
      <c r="X26" s="69">
        <f t="shared" si="16"/>
        <v>0</v>
      </c>
      <c r="Y26" s="69">
        <f t="shared" si="27"/>
        <v>16.75</v>
      </c>
      <c r="Z26" s="74" cm="1">
        <f t="array" ref="Z26">SUMPRODUCT(--(Category="Gr_Cat_3"),--(OpCo="Ground"),--(SC_Name=$A26),(SC_Count))</f>
        <v>0</v>
      </c>
      <c r="AA26" s="75">
        <f t="shared" si="28"/>
        <v>0</v>
      </c>
      <c r="AB26" s="75">
        <f t="shared" si="17"/>
        <v>0</v>
      </c>
      <c r="AC26" s="76">
        <f t="shared" si="29"/>
        <v>0</v>
      </c>
    </row>
    <row r="27" spans="1:29" x14ac:dyDescent="0.35">
      <c r="A27" s="73" t="s">
        <v>282</v>
      </c>
      <c r="B27" s="69">
        <v>6.6</v>
      </c>
      <c r="C27" s="302" cm="1">
        <f t="array" ref="C27">SUMPRODUCT(--(D_Category="Gr_Cat_1"),--(D_EffDate="Eff_Date_1"),--(D_Product="GR"),--(D_SC_Name=$A27),(D_Percent))</f>
        <v>0</v>
      </c>
      <c r="D27" s="302" cm="1">
        <f t="array" ref="D27">SUMPRODUCT(--(D_Category="Gr_Cat_1"),--(D_EffDate="Eff_Date_2"),--(D_Product="GR"),--(D_SC_Name=$A27),(D_Percent))</f>
        <v>0</v>
      </c>
      <c r="E27" s="69">
        <f t="shared" si="18"/>
        <v>6.6</v>
      </c>
      <c r="F27" s="69">
        <f t="shared" si="12"/>
        <v>0</v>
      </c>
      <c r="G27" s="69">
        <f t="shared" si="19"/>
        <v>6.6</v>
      </c>
      <c r="H27" s="74" cm="1">
        <f t="array" ref="H27">SUMPRODUCT(--(Category="Gr_Cat_1"),--(OpCo="Ground"),--(SC_Name=$A27),(SC_Count))</f>
        <v>0</v>
      </c>
      <c r="I27" s="75">
        <f t="shared" si="20"/>
        <v>0</v>
      </c>
      <c r="J27" s="75">
        <f t="shared" si="13"/>
        <v>0</v>
      </c>
      <c r="K27" s="75">
        <f t="shared" si="21"/>
        <v>0</v>
      </c>
      <c r="L27" s="272" cm="1">
        <f t="array" ref="L27">SUMPRODUCT(--(D_Category="Gr_Cat_2"),--(D_EffDate="Eff_Date_1"),--(D_Product="GR"),--(D_SC_Name=$A27),(D_Percent))</f>
        <v>0</v>
      </c>
      <c r="M27" s="272" cm="1">
        <f t="array" ref="M27">SUMPRODUCT(--(D_Category="Gr_Cat_2"),--(D_EffDate="Eff_Date_2"),--(D_Product="GR"),--(D_SC_Name=$A27),(D_Percent))</f>
        <v>0</v>
      </c>
      <c r="N27" s="69">
        <f t="shared" si="22"/>
        <v>6.6</v>
      </c>
      <c r="O27" s="69">
        <f t="shared" si="14"/>
        <v>0</v>
      </c>
      <c r="P27" s="69">
        <f t="shared" si="23"/>
        <v>6.6</v>
      </c>
      <c r="Q27" s="74" cm="1">
        <f t="array" ref="Q27">SUMPRODUCT(--(Category="Gr_Cat_2"),--(OpCo="Ground"),--(SC_Name=$A27),(SC_Count))</f>
        <v>0</v>
      </c>
      <c r="R27" s="75">
        <f t="shared" si="24"/>
        <v>0</v>
      </c>
      <c r="S27" s="75">
        <f t="shared" si="15"/>
        <v>0</v>
      </c>
      <c r="T27" s="75">
        <f t="shared" si="25"/>
        <v>0</v>
      </c>
      <c r="U27" s="277" cm="1">
        <f t="array" ref="U27">SUMPRODUCT(--(D_Category="Gr_Cat_3"),--(D_EffDate="Eff_Date_1"),--(D_Product="GR"),--(D_SC_Name=$A27),(D_Percent))</f>
        <v>0</v>
      </c>
      <c r="V27" s="277" cm="1">
        <f t="array" ref="V27">SUMPRODUCT(--(D_Category="Gr_Cat_3"),--(D_EffDate="Eff_Date_2"),--(D_Product="GR"),--(D_SC_Name=$A27),(D_Percent))</f>
        <v>0</v>
      </c>
      <c r="W27" s="69">
        <f t="shared" si="26"/>
        <v>6.6</v>
      </c>
      <c r="X27" s="69">
        <f t="shared" si="16"/>
        <v>0</v>
      </c>
      <c r="Y27" s="69">
        <f t="shared" si="27"/>
        <v>6.6</v>
      </c>
      <c r="Z27" s="74" cm="1">
        <f t="array" ref="Z27">SUMPRODUCT(--(Category="Gr_Cat_3"),--(OpCo="Ground"),--(SC_Name=$A27),(SC_Count))</f>
        <v>0</v>
      </c>
      <c r="AA27" s="75">
        <f t="shared" si="28"/>
        <v>0</v>
      </c>
      <c r="AB27" s="75">
        <f t="shared" si="17"/>
        <v>0</v>
      </c>
      <c r="AC27" s="76">
        <f t="shared" si="29"/>
        <v>0</v>
      </c>
    </row>
    <row r="28" spans="1:29" x14ac:dyDescent="0.35">
      <c r="A28" s="73" t="s">
        <v>307</v>
      </c>
      <c r="B28" s="69">
        <v>8.8000000000000007</v>
      </c>
      <c r="C28" s="302" cm="1">
        <f t="array" ref="C28">SUMPRODUCT(--(D_Category="Gr_Cat_1"),--(D_EffDate="Eff_Date_1"),--(D_Product="GR"),--(D_SC_Name=$A28),(D_Percent))</f>
        <v>0</v>
      </c>
      <c r="D28" s="302" cm="1">
        <f t="array" ref="D28">SUMPRODUCT(--(D_Category="Gr_Cat_1"),--(D_EffDate="Eff_Date_2"),--(D_Product="GR"),--(D_SC_Name=$A28),(D_Percent))</f>
        <v>0</v>
      </c>
      <c r="E28" s="69">
        <f t="shared" si="18"/>
        <v>8.8000000000000007</v>
      </c>
      <c r="F28" s="69">
        <f t="shared" si="12"/>
        <v>0</v>
      </c>
      <c r="G28" s="69">
        <f t="shared" si="19"/>
        <v>8.8000000000000007</v>
      </c>
      <c r="H28" s="74" cm="1">
        <f t="array" ref="H28">SUMPRODUCT(--(Category="Gr_Cat_1"),--(Product="Ground"),--(SC_Name=$A28),(SC_Count))</f>
        <v>0</v>
      </c>
      <c r="I28" s="75">
        <f t="shared" si="20"/>
        <v>0</v>
      </c>
      <c r="J28" s="75">
        <f t="shared" si="13"/>
        <v>0</v>
      </c>
      <c r="K28" s="75">
        <f t="shared" si="21"/>
        <v>0</v>
      </c>
      <c r="L28" s="272" cm="1">
        <f t="array" ref="L28">SUMPRODUCT(--(D_Category="Gr_Cat_2"),--(D_EffDate="Eff_Date_1"),--(D_Product="GR"),--(D_SC_Name=$A28),(D_Percent))</f>
        <v>0</v>
      </c>
      <c r="M28" s="272" cm="1">
        <f t="array" ref="M28">SUMPRODUCT(--(D_Category="Gr_Cat_2"),--(D_EffDate="Eff_Date_2"),--(D_Product="GR"),--(D_SC_Name=$A28),(D_Percent))</f>
        <v>0</v>
      </c>
      <c r="N28" s="69">
        <f t="shared" si="22"/>
        <v>8.8000000000000007</v>
      </c>
      <c r="O28" s="69">
        <f t="shared" si="14"/>
        <v>0</v>
      </c>
      <c r="P28" s="69">
        <f t="shared" si="23"/>
        <v>8.8000000000000007</v>
      </c>
      <c r="Q28" s="74" cm="1">
        <f t="array" ref="Q28">SUMPRODUCT(--(Category="Gr_Cat_2"),--(OpCo="Ground"),--(SC_Name=$A28),(SC_Count))</f>
        <v>0</v>
      </c>
      <c r="R28" s="75">
        <f t="shared" si="24"/>
        <v>0</v>
      </c>
      <c r="S28" s="75">
        <f t="shared" si="15"/>
        <v>0</v>
      </c>
      <c r="T28" s="75">
        <f t="shared" si="25"/>
        <v>0</v>
      </c>
      <c r="U28" s="277" cm="1">
        <f t="array" ref="U28">SUMPRODUCT(--(D_Category="Gr_Cat_3"),--(D_EffDate="Eff_Date_1"),--(D_Product="GR"),--(D_SC_Name=$A28),(D_Percent))</f>
        <v>0</v>
      </c>
      <c r="V28" s="277" cm="1">
        <f t="array" ref="V28">SUMPRODUCT(--(D_Category="Gr_Cat_3"),--(D_EffDate="Eff_Date_2"),--(D_Product="GR"),--(D_SC_Name=$A28),(D_Percent))</f>
        <v>0</v>
      </c>
      <c r="W28" s="69">
        <f t="shared" si="26"/>
        <v>8.8000000000000007</v>
      </c>
      <c r="X28" s="69">
        <f t="shared" si="16"/>
        <v>0</v>
      </c>
      <c r="Y28" s="69">
        <f t="shared" si="27"/>
        <v>8.8000000000000007</v>
      </c>
      <c r="Z28" s="74" cm="1">
        <f t="array" ref="Z28">SUMPRODUCT(--(Category="Gr_Cat_3"),--(OpCo="Ground"),--(SC_Name=$A28),(SC_Count))</f>
        <v>0</v>
      </c>
      <c r="AA28" s="75">
        <f t="shared" si="28"/>
        <v>0</v>
      </c>
      <c r="AB28" s="75">
        <f t="shared" si="17"/>
        <v>0</v>
      </c>
      <c r="AC28" s="76">
        <f t="shared" si="29"/>
        <v>0</v>
      </c>
    </row>
    <row r="29" spans="1:29" x14ac:dyDescent="0.35">
      <c r="A29" s="73" t="s">
        <v>952</v>
      </c>
      <c r="B29" s="69">
        <v>16.75</v>
      </c>
      <c r="C29" s="302" cm="1">
        <f t="array" ref="C29">SUMPRODUCT(--(D_Category="Gr_Cat_1"),--(D_EffDate="Eff_Date_1"),--(D_Product="GR"),--(D_SC_Name=$A29),(D_Percent))</f>
        <v>0</v>
      </c>
      <c r="D29" s="302" cm="1">
        <f t="array" ref="D29">SUMPRODUCT(--(D_Category="Gr_Cat_1"),--(D_EffDate="Eff_Date_2"),--(D_Product="GR"),--(D_SC_Name=$A29),(D_Percent))</f>
        <v>0</v>
      </c>
      <c r="E29" s="69">
        <f t="shared" si="18"/>
        <v>16.75</v>
      </c>
      <c r="F29" s="69">
        <f t="shared" si="12"/>
        <v>0</v>
      </c>
      <c r="G29" s="69">
        <f t="shared" si="19"/>
        <v>16.75</v>
      </c>
      <c r="H29" s="74" cm="1">
        <f t="array" ref="H29">SUMPRODUCT(--(Category="Gr_Cat_1"),--(Product="Ground"),--(SC_Name=$A29),(SC_Count))</f>
        <v>0</v>
      </c>
      <c r="I29" s="75">
        <f t="shared" si="20"/>
        <v>0</v>
      </c>
      <c r="J29" s="75">
        <f t="shared" si="13"/>
        <v>0</v>
      </c>
      <c r="K29" s="75">
        <f t="shared" si="21"/>
        <v>0</v>
      </c>
      <c r="L29" s="272" cm="1">
        <f t="array" ref="L29">SUMPRODUCT(--(D_Category="Gr_Cat_2"),--(D_EffDate="Eff_Date_1"),--(D_Product="GR"),--(D_SC_Name=$A29),(D_Percent))</f>
        <v>0</v>
      </c>
      <c r="M29" s="272" cm="1">
        <f t="array" ref="M29">SUMPRODUCT(--(D_Category="Gr_Cat_2"),--(D_EffDate="Eff_Date_2"),--(D_Product="GR"),--(D_SC_Name=$A29),(D_Percent))</f>
        <v>0</v>
      </c>
      <c r="N29" s="69">
        <f t="shared" si="22"/>
        <v>16.75</v>
      </c>
      <c r="O29" s="69">
        <f t="shared" si="14"/>
        <v>0</v>
      </c>
      <c r="P29" s="69">
        <f t="shared" si="23"/>
        <v>16.75</v>
      </c>
      <c r="Q29" s="74" cm="1">
        <f t="array" ref="Q29">SUMPRODUCT(--(Category="Gr_Cat_2"),--(OpCo="Ground"),--(SC_Name=$A29),(SC_Count))</f>
        <v>0</v>
      </c>
      <c r="R29" s="75">
        <f t="shared" si="24"/>
        <v>0</v>
      </c>
      <c r="S29" s="75">
        <f t="shared" si="15"/>
        <v>0</v>
      </c>
      <c r="T29" s="75">
        <f t="shared" si="25"/>
        <v>0</v>
      </c>
      <c r="U29" s="277" cm="1">
        <f t="array" ref="U29">SUMPRODUCT(--(D_Category="Gr_Cat_3"),--(D_EffDate="Eff_Date_1"),--(D_Product="GR"),--(D_SC_Name=$A29),(D_Percent))</f>
        <v>0</v>
      </c>
      <c r="V29" s="277" cm="1">
        <f t="array" ref="V29">SUMPRODUCT(--(D_Category="Gr_Cat_3"),--(D_EffDate="Eff_Date_2"),--(D_Product="GR"),--(D_SC_Name=$A29),(D_Percent))</f>
        <v>0</v>
      </c>
      <c r="W29" s="69">
        <f t="shared" si="26"/>
        <v>16.75</v>
      </c>
      <c r="X29" s="69">
        <f t="shared" si="16"/>
        <v>0</v>
      </c>
      <c r="Y29" s="69">
        <f t="shared" si="27"/>
        <v>16.75</v>
      </c>
      <c r="Z29" s="74" cm="1">
        <f t="array" ref="Z29">SUMPRODUCT(--(Category="Gr_Cat_3"),--(OpCo="Ground"),--(SC_Name=$A29),(SC_Count))</f>
        <v>0</v>
      </c>
      <c r="AA29" s="75">
        <f t="shared" si="28"/>
        <v>0</v>
      </c>
      <c r="AB29" s="75">
        <f t="shared" si="17"/>
        <v>0</v>
      </c>
      <c r="AC29" s="76">
        <f t="shared" si="29"/>
        <v>0</v>
      </c>
    </row>
    <row r="30" spans="1:29" x14ac:dyDescent="0.35">
      <c r="A30" s="73" t="s">
        <v>304</v>
      </c>
      <c r="B30" s="69">
        <v>46</v>
      </c>
      <c r="C30" s="302" cm="1">
        <f t="array" ref="C30">SUMPRODUCT(--(D_Category="Gr_Cat_1"),--(D_EffDate="Eff_Date_1"),--(D_Product="GR"),--(D_SC_Name=$A30),(D_Percent))</f>
        <v>0</v>
      </c>
      <c r="D30" s="302" cm="1">
        <f t="array" ref="D30">SUMPRODUCT(--(D_Category="Gr_Cat_1"),--(D_EffDate="Eff_Date_2"),--(D_Product="GR"),--(D_SC_Name=$A30),(D_Percent))</f>
        <v>0</v>
      </c>
      <c r="E30" s="69">
        <f t="shared" si="18"/>
        <v>46</v>
      </c>
      <c r="F30" s="69">
        <f t="shared" si="12"/>
        <v>0</v>
      </c>
      <c r="G30" s="69">
        <f t="shared" si="19"/>
        <v>46</v>
      </c>
      <c r="H30" s="74" cm="1">
        <f t="array" ref="H30">SUMPRODUCT(--(Category="Gr_Cat_1"),--(OpCo="Ground"),--(SC_Name=$A30),(SC_Count))</f>
        <v>0</v>
      </c>
      <c r="I30" s="75">
        <f t="shared" si="20"/>
        <v>0</v>
      </c>
      <c r="J30" s="75">
        <f t="shared" si="13"/>
        <v>0</v>
      </c>
      <c r="K30" s="75">
        <f t="shared" si="21"/>
        <v>0</v>
      </c>
      <c r="L30" s="272" cm="1">
        <f t="array" ref="L30">SUMPRODUCT(--(D_Category="Gr_Cat_2"),--(D_EffDate="Eff_Date_1"),--(D_Product="GR"),--(D_SC_Name=$A30),(D_Percent))</f>
        <v>0</v>
      </c>
      <c r="M30" s="272" cm="1">
        <f t="array" ref="M30">SUMPRODUCT(--(D_Category="Gr_Cat_2"),--(D_EffDate="Eff_Date_2"),--(D_Product="GR"),--(D_SC_Name=$A30),(D_Percent))</f>
        <v>0</v>
      </c>
      <c r="N30" s="69">
        <f t="shared" si="22"/>
        <v>46</v>
      </c>
      <c r="O30" s="69">
        <f t="shared" si="14"/>
        <v>0</v>
      </c>
      <c r="P30" s="69">
        <f t="shared" si="23"/>
        <v>46</v>
      </c>
      <c r="Q30" s="74" cm="1">
        <f t="array" ref="Q30">SUMPRODUCT(--(Category="Gr_Cat_2"),--(OpCo="Ground"),--(SC_Name=$A30),(SC_Count))</f>
        <v>0</v>
      </c>
      <c r="R30" s="75">
        <f t="shared" si="24"/>
        <v>0</v>
      </c>
      <c r="S30" s="75">
        <f t="shared" si="15"/>
        <v>0</v>
      </c>
      <c r="T30" s="75">
        <f t="shared" si="25"/>
        <v>0</v>
      </c>
      <c r="U30" s="277" cm="1">
        <f t="array" ref="U30">SUMPRODUCT(--(D_Category="Gr_Cat_3"),--(D_EffDate="Eff_Date_1"),--(D_Product="GR"),--(D_SC_Name=$A30),(D_Percent))</f>
        <v>0</v>
      </c>
      <c r="V30" s="277" cm="1">
        <f t="array" ref="V30">SUMPRODUCT(--(D_Category="Gr_Cat_3"),--(D_EffDate="Eff_Date_2"),--(D_Product="GR"),--(D_SC_Name=$A30),(D_Percent))</f>
        <v>0</v>
      </c>
      <c r="W30" s="69">
        <f t="shared" si="26"/>
        <v>46</v>
      </c>
      <c r="X30" s="69">
        <f t="shared" si="16"/>
        <v>0</v>
      </c>
      <c r="Y30" s="69">
        <f t="shared" si="27"/>
        <v>46</v>
      </c>
      <c r="Z30" s="74" cm="1">
        <f t="array" ref="Z30">SUMPRODUCT(--(Category="Gr_Cat_3"),--(OpCo="Ground"),--(SC_Name=$A30),(SC_Count))</f>
        <v>0</v>
      </c>
      <c r="AA30" s="75">
        <f t="shared" si="28"/>
        <v>0</v>
      </c>
      <c r="AB30" s="75">
        <f t="shared" si="17"/>
        <v>0</v>
      </c>
      <c r="AC30" s="76">
        <f t="shared" si="29"/>
        <v>0</v>
      </c>
    </row>
    <row r="31" spans="1:29" x14ac:dyDescent="0.35">
      <c r="A31" s="73" t="s">
        <v>305</v>
      </c>
      <c r="B31" s="69">
        <v>46</v>
      </c>
      <c r="C31" s="302" cm="1">
        <f t="array" ref="C31">SUMPRODUCT(--(D_Category="Gr_Cat_1"),--(D_EffDate="Eff_Date_1"),--(D_Product="GR"),--(D_SC_Name=$A31),(D_Percent))</f>
        <v>0</v>
      </c>
      <c r="D31" s="302" cm="1">
        <f t="array" ref="D31">SUMPRODUCT(--(D_Category="Gr_Cat_1"),--(D_EffDate="Eff_Date_2"),--(D_Product="GR"),--(D_SC_Name=$A31),(D_Percent))</f>
        <v>0</v>
      </c>
      <c r="E31" s="69">
        <f t="shared" si="18"/>
        <v>46</v>
      </c>
      <c r="F31" s="69">
        <f t="shared" si="12"/>
        <v>0</v>
      </c>
      <c r="G31" s="69">
        <f t="shared" si="19"/>
        <v>46</v>
      </c>
      <c r="H31" s="74" cm="1">
        <f t="array" ref="H31">SUMPRODUCT(--(Category="Gr_Cat_1"),--(OpCo="Ground"),--(SC_Name=$A31),(SC_Count))</f>
        <v>0</v>
      </c>
      <c r="I31" s="75">
        <f t="shared" si="20"/>
        <v>0</v>
      </c>
      <c r="J31" s="75">
        <f t="shared" si="13"/>
        <v>0</v>
      </c>
      <c r="K31" s="75">
        <f t="shared" si="21"/>
        <v>0</v>
      </c>
      <c r="L31" s="272" cm="1">
        <f t="array" ref="L31">SUMPRODUCT(--(D_Category="Gr_Cat_2"),--(D_EffDate="Eff_Date_1"),--(D_Product="GR"),--(D_SC_Name=$A31),(D_Percent))</f>
        <v>0</v>
      </c>
      <c r="M31" s="272" cm="1">
        <f t="array" ref="M31">SUMPRODUCT(--(D_Category="Gr_Cat_2"),--(D_EffDate="Eff_Date_2"),--(D_Product="GR"),--(D_SC_Name=$A31),(D_Percent))</f>
        <v>0</v>
      </c>
      <c r="N31" s="69">
        <f t="shared" si="22"/>
        <v>46</v>
      </c>
      <c r="O31" s="69">
        <f t="shared" si="14"/>
        <v>0</v>
      </c>
      <c r="P31" s="69">
        <f t="shared" si="23"/>
        <v>46</v>
      </c>
      <c r="Q31" s="74" cm="1">
        <f t="array" ref="Q31">SUMPRODUCT(--(Category="Gr_Cat_2"),--(OpCo="Ground"),--(SC_Name=$A31),(SC_Count))</f>
        <v>0</v>
      </c>
      <c r="R31" s="75">
        <f t="shared" si="24"/>
        <v>0</v>
      </c>
      <c r="S31" s="75">
        <f t="shared" si="15"/>
        <v>0</v>
      </c>
      <c r="T31" s="75">
        <f t="shared" si="25"/>
        <v>0</v>
      </c>
      <c r="U31" s="277" cm="1">
        <f t="array" ref="U31">SUMPRODUCT(--(D_Category="Gr_Cat_3"),--(D_EffDate="Eff_Date_1"),--(D_Product="GR"),--(D_SC_Name=$A31),(D_Percent))</f>
        <v>0</v>
      </c>
      <c r="V31" s="277" cm="1">
        <f t="array" ref="V31">SUMPRODUCT(--(D_Category="Gr_Cat_3"),--(D_EffDate="Eff_Date_2"),--(D_Product="GR"),--(D_SC_Name=$A31),(D_Percent))</f>
        <v>0</v>
      </c>
      <c r="W31" s="69">
        <f t="shared" si="26"/>
        <v>46</v>
      </c>
      <c r="X31" s="69">
        <f t="shared" si="16"/>
        <v>0</v>
      </c>
      <c r="Y31" s="69">
        <f t="shared" si="27"/>
        <v>46</v>
      </c>
      <c r="Z31" s="74" cm="1">
        <f t="array" ref="Z31">SUMPRODUCT(--(Category="Gr_Cat_3"),--(OpCo="Ground"),--(SC_Name=$A31),(SC_Count))</f>
        <v>0</v>
      </c>
      <c r="AA31" s="75">
        <f t="shared" si="28"/>
        <v>0</v>
      </c>
      <c r="AB31" s="75">
        <f t="shared" si="17"/>
        <v>0</v>
      </c>
      <c r="AC31" s="76">
        <f t="shared" si="29"/>
        <v>0</v>
      </c>
    </row>
    <row r="32" spans="1:29" x14ac:dyDescent="0.35">
      <c r="A32" s="73" t="s">
        <v>308</v>
      </c>
      <c r="B32" s="69">
        <v>16.25</v>
      </c>
      <c r="C32" s="302" cm="1">
        <f t="array" ref="C32">SUMPRODUCT(--(D_Category="Gr_Cat_1"),--(D_EffDate="Eff_Date_1"),--(D_Product="GR"),--(D_SC_Name=$A32),(D_Percent))</f>
        <v>0</v>
      </c>
      <c r="D32" s="302" cm="1">
        <f t="array" ref="D32">SUMPRODUCT(--(D_Category="Gr_Cat_1"),--(D_EffDate="Eff_Date_2"),--(D_Product="GR"),--(D_SC_Name=$A32),(D_Percent))</f>
        <v>0</v>
      </c>
      <c r="E32" s="69">
        <f t="shared" si="18"/>
        <v>16.25</v>
      </c>
      <c r="F32" s="69">
        <f t="shared" si="12"/>
        <v>0</v>
      </c>
      <c r="G32" s="69">
        <f t="shared" si="19"/>
        <v>16.25</v>
      </c>
      <c r="H32" s="74" cm="1">
        <f t="array" ref="H32">SUMPRODUCT(--(Category="Gr_Cat_1"),--(OpCo="Ground"),--(SC_Name=$A32),(SC_Count))</f>
        <v>0</v>
      </c>
      <c r="I32" s="75">
        <f t="shared" si="20"/>
        <v>0</v>
      </c>
      <c r="J32" s="75">
        <f t="shared" si="13"/>
        <v>0</v>
      </c>
      <c r="K32" s="75">
        <f t="shared" si="21"/>
        <v>0</v>
      </c>
      <c r="L32" s="272" cm="1">
        <f t="array" ref="L32">SUMPRODUCT(--(D_Category="Gr_Cat_2"),--(D_EffDate="Eff_Date_1"),--(D_Product="GR"),--(D_SC_Name=$A32),(D_Percent))</f>
        <v>0</v>
      </c>
      <c r="M32" s="272" cm="1">
        <f t="array" ref="M32">SUMPRODUCT(--(D_Category="Gr_Cat_2"),--(D_EffDate="Eff_Date_2"),--(D_Product="GR"),--(D_SC_Name=$A32),(D_Percent))</f>
        <v>0</v>
      </c>
      <c r="N32" s="69">
        <f t="shared" si="22"/>
        <v>16.25</v>
      </c>
      <c r="O32" s="69">
        <f t="shared" si="14"/>
        <v>0</v>
      </c>
      <c r="P32" s="69">
        <f t="shared" si="23"/>
        <v>16.25</v>
      </c>
      <c r="Q32" s="74" cm="1">
        <f t="array" ref="Q32">SUMPRODUCT(--(Category="Gr_Cat_2"),--(OpCo="Ground"),--(SC_Name=$A32),(SC_Count))</f>
        <v>0</v>
      </c>
      <c r="R32" s="75">
        <f t="shared" si="24"/>
        <v>0</v>
      </c>
      <c r="S32" s="75">
        <f t="shared" si="15"/>
        <v>0</v>
      </c>
      <c r="T32" s="75">
        <f t="shared" si="25"/>
        <v>0</v>
      </c>
      <c r="U32" s="277" cm="1">
        <f t="array" ref="U32">SUMPRODUCT(--(D_Category="Gr_Cat_3"),--(D_EffDate="Eff_Date_1"),--(D_Product="GR"),--(D_SC_Name=$A32),(D_Percent))</f>
        <v>0</v>
      </c>
      <c r="V32" s="277" cm="1">
        <f t="array" ref="V32">SUMPRODUCT(--(D_Category="Gr_Cat_3"),--(D_EffDate="Eff_Date_2"),--(D_Product="GR"),--(D_SC_Name=$A32),(D_Percent))</f>
        <v>0</v>
      </c>
      <c r="W32" s="69">
        <f t="shared" si="26"/>
        <v>16.25</v>
      </c>
      <c r="X32" s="69">
        <f t="shared" si="16"/>
        <v>0</v>
      </c>
      <c r="Y32" s="69">
        <f t="shared" si="27"/>
        <v>16.25</v>
      </c>
      <c r="Z32" s="74" cm="1">
        <f t="array" ref="Z32">SUMPRODUCT(--(Category="Gr_Cat_3"),--(OpCo="Ground"),--(SC_Name=$A32),(SC_Count))</f>
        <v>0</v>
      </c>
      <c r="AA32" s="75">
        <f t="shared" si="28"/>
        <v>0</v>
      </c>
      <c r="AB32" s="75">
        <f t="shared" si="17"/>
        <v>0</v>
      </c>
      <c r="AC32" s="76">
        <f t="shared" si="29"/>
        <v>0</v>
      </c>
    </row>
    <row r="33" spans="1:29" x14ac:dyDescent="0.35">
      <c r="A33" s="73" t="s">
        <v>309</v>
      </c>
      <c r="B33" s="69">
        <v>16.25</v>
      </c>
      <c r="C33" s="302" cm="1">
        <f t="array" ref="C33">SUMPRODUCT(--(D_Category="Gr_Cat_1"),--(D_EffDate="Eff_Date_1"),--(D_Product="GR"),--(D_SC_Name=$A33),(D_Percent))</f>
        <v>0</v>
      </c>
      <c r="D33" s="302" cm="1">
        <f t="array" ref="D33">SUMPRODUCT(--(D_Category="Gr_Cat_1"),--(D_EffDate="Eff_Date_2"),--(D_Product="GR"),--(D_SC_Name=$A33),(D_Percent))</f>
        <v>0</v>
      </c>
      <c r="E33" s="69">
        <f t="shared" si="18"/>
        <v>16.25</v>
      </c>
      <c r="F33" s="69">
        <f t="shared" si="12"/>
        <v>0</v>
      </c>
      <c r="G33" s="69">
        <f t="shared" si="19"/>
        <v>16.25</v>
      </c>
      <c r="H33" s="74" cm="1">
        <f t="array" ref="H33">SUMPRODUCT(--(Category="Gr_Cat_1"),--(OpCo="Ground"),--(SC_Name=$A33),(SC_Count))</f>
        <v>0</v>
      </c>
      <c r="I33" s="75">
        <f t="shared" si="20"/>
        <v>0</v>
      </c>
      <c r="J33" s="75">
        <f t="shared" si="13"/>
        <v>0</v>
      </c>
      <c r="K33" s="75">
        <f t="shared" si="21"/>
        <v>0</v>
      </c>
      <c r="L33" s="272" cm="1">
        <f t="array" ref="L33">SUMPRODUCT(--(D_Category="Gr_Cat_2"),--(D_EffDate="Eff_Date_1"),--(D_Product="GR"),--(D_SC_Name=$A33),(D_Percent))</f>
        <v>0</v>
      </c>
      <c r="M33" s="272" cm="1">
        <f t="array" ref="M33">SUMPRODUCT(--(D_Category="Gr_Cat_2"),--(D_EffDate="Eff_Date_2"),--(D_Product="GR"),--(D_SC_Name=$A33),(D_Percent))</f>
        <v>0</v>
      </c>
      <c r="N33" s="69">
        <f t="shared" si="22"/>
        <v>16.25</v>
      </c>
      <c r="O33" s="69">
        <f t="shared" si="14"/>
        <v>0</v>
      </c>
      <c r="P33" s="69">
        <f t="shared" si="23"/>
        <v>16.25</v>
      </c>
      <c r="Q33" s="74" cm="1">
        <f t="array" ref="Q33">SUMPRODUCT(--(Category="Gr_Cat_2"),--(OpCo="Ground"),--(SC_Name=$A33),(SC_Count))</f>
        <v>0</v>
      </c>
      <c r="R33" s="75">
        <f t="shared" si="24"/>
        <v>0</v>
      </c>
      <c r="S33" s="75">
        <f t="shared" si="15"/>
        <v>0</v>
      </c>
      <c r="T33" s="75">
        <f t="shared" si="25"/>
        <v>0</v>
      </c>
      <c r="U33" s="277" cm="1">
        <f t="array" ref="U33">SUMPRODUCT(--(D_Category="Gr_Cat_3"),--(D_EffDate="Eff_Date_1"),--(D_Product="GR"),--(D_SC_Name=$A33),(D_Percent))</f>
        <v>0</v>
      </c>
      <c r="V33" s="277" cm="1">
        <f t="array" ref="V33">SUMPRODUCT(--(D_Category="Gr_Cat_3"),--(D_EffDate="Eff_Date_2"),--(D_Product="GR"),--(D_SC_Name=$A33),(D_Percent))</f>
        <v>0</v>
      </c>
      <c r="W33" s="69">
        <f t="shared" si="26"/>
        <v>16.25</v>
      </c>
      <c r="X33" s="69">
        <f t="shared" si="16"/>
        <v>0</v>
      </c>
      <c r="Y33" s="69">
        <f t="shared" si="27"/>
        <v>16.25</v>
      </c>
      <c r="Z33" s="74" cm="1">
        <f t="array" ref="Z33">SUMPRODUCT(--(Category="Gr_Cat_3"),--(OpCo="Ground"),--(SC_Name=$A33),(SC_Count))</f>
        <v>0</v>
      </c>
      <c r="AA33" s="75">
        <f t="shared" si="28"/>
        <v>0</v>
      </c>
      <c r="AB33" s="75">
        <f t="shared" si="17"/>
        <v>0</v>
      </c>
      <c r="AC33" s="76">
        <f t="shared" si="29"/>
        <v>0</v>
      </c>
    </row>
    <row r="34" spans="1:29" x14ac:dyDescent="0.35">
      <c r="A34" s="73" t="s">
        <v>310</v>
      </c>
      <c r="B34" s="69">
        <v>1.1000000000000001</v>
      </c>
      <c r="C34" s="302" cm="1">
        <f t="array" ref="C34">SUMPRODUCT(--(D_Category="Gr_Cat_1"),--(D_EffDate="Eff_Date_1"),--(D_Product="GR"),--(D_SC_Name=$A34),(D_Percent))</f>
        <v>0</v>
      </c>
      <c r="D34" s="302" cm="1">
        <f t="array" ref="D34">SUMPRODUCT(--(D_Category="Gr_Cat_1"),--(D_EffDate="Eff_Date_2"),--(D_Product="GR"),--(D_SC_Name=$A34),(D_Percent))</f>
        <v>0</v>
      </c>
      <c r="E34" s="69">
        <f t="shared" si="18"/>
        <v>1.1000000000000001</v>
      </c>
      <c r="F34" s="69">
        <f t="shared" si="12"/>
        <v>0</v>
      </c>
      <c r="G34" s="69">
        <f t="shared" si="19"/>
        <v>1.1000000000000001</v>
      </c>
      <c r="H34" s="74" cm="1">
        <f t="array" ref="H34">SUMPRODUCT(--(Category="Gr_Cat_1"),--(OpCo="Ground"),--(SC_Name=$A34),(SC_Count))</f>
        <v>0</v>
      </c>
      <c r="I34" s="75">
        <f t="shared" si="20"/>
        <v>0</v>
      </c>
      <c r="J34" s="75">
        <f t="shared" si="13"/>
        <v>0</v>
      </c>
      <c r="K34" s="75">
        <f t="shared" si="21"/>
        <v>0</v>
      </c>
      <c r="L34" s="272" cm="1">
        <f t="array" ref="L34">SUMPRODUCT(--(D_Category="Gr_Cat_2"),--(D_EffDate="Eff_Date_1"),--(D_Product="GR"),--(D_SC_Name=$A34),(D_Percent))</f>
        <v>0</v>
      </c>
      <c r="M34" s="272" cm="1">
        <f t="array" ref="M34">SUMPRODUCT(--(D_Category="Gr_Cat_2"),--(D_EffDate="Eff_Date_2"),--(D_Product="GR"),--(D_SC_Name=$A34),(D_Percent))</f>
        <v>0</v>
      </c>
      <c r="N34" s="69">
        <f t="shared" si="22"/>
        <v>1.1000000000000001</v>
      </c>
      <c r="O34" s="69">
        <f t="shared" si="14"/>
        <v>0</v>
      </c>
      <c r="P34" s="69">
        <f t="shared" si="23"/>
        <v>1.1000000000000001</v>
      </c>
      <c r="Q34" s="74" cm="1">
        <f t="array" ref="Q34">SUMPRODUCT(--(Category="Gr_Cat_2"),--(OpCo="Ground"),--(SC_Name=$A34),(SC_Count))</f>
        <v>0</v>
      </c>
      <c r="R34" s="75">
        <f t="shared" si="24"/>
        <v>0</v>
      </c>
      <c r="S34" s="75">
        <f t="shared" si="15"/>
        <v>0</v>
      </c>
      <c r="T34" s="75">
        <f t="shared" si="25"/>
        <v>0</v>
      </c>
      <c r="U34" s="277" cm="1">
        <f t="array" ref="U34">SUMPRODUCT(--(D_Category="Gr_Cat_3"),--(D_EffDate="Eff_Date_1"),--(D_Product="GR"),--(D_SC_Name=$A34),(D_Percent))</f>
        <v>0</v>
      </c>
      <c r="V34" s="277" cm="1">
        <f t="array" ref="V34">SUMPRODUCT(--(D_Category="Gr_Cat_3"),--(D_EffDate="Eff_Date_2"),--(D_Product="GR"),--(D_SC_Name=$A34),(D_Percent))</f>
        <v>0</v>
      </c>
      <c r="W34" s="69">
        <f t="shared" si="26"/>
        <v>1.1000000000000001</v>
      </c>
      <c r="X34" s="69">
        <f t="shared" si="16"/>
        <v>0</v>
      </c>
      <c r="Y34" s="69">
        <f t="shared" si="27"/>
        <v>1.1000000000000001</v>
      </c>
      <c r="Z34" s="74" cm="1">
        <f t="array" ref="Z34">SUMPRODUCT(--(Category="Gr_Cat_3"),--(OpCo="Ground"),--(SC_Name=$A34),(SC_Count))</f>
        <v>0</v>
      </c>
      <c r="AA34" s="75">
        <f t="shared" si="28"/>
        <v>0</v>
      </c>
      <c r="AB34" s="75">
        <f t="shared" si="17"/>
        <v>0</v>
      </c>
      <c r="AC34" s="76">
        <f t="shared" si="29"/>
        <v>0</v>
      </c>
    </row>
    <row r="35" spans="1:29" x14ac:dyDescent="0.35">
      <c r="A35" s="73" t="s">
        <v>311</v>
      </c>
      <c r="B35" s="69">
        <v>1.1000000000000001</v>
      </c>
      <c r="C35" s="302" cm="1">
        <f t="array" ref="C35">SUMPRODUCT(--(D_Category="Gr_Cat_1"),--(D_EffDate="Eff_Date_1"),--(D_Product="GR"),--(D_SC_Name=$A35),(D_Percent))</f>
        <v>0</v>
      </c>
      <c r="D35" s="302" cm="1">
        <f t="array" ref="D35">SUMPRODUCT(--(D_Category="Gr_Cat_1"),--(D_EffDate="Eff_Date_2"),--(D_Product="GR"),--(D_SC_Name=$A35),(D_Percent))</f>
        <v>0</v>
      </c>
      <c r="E35" s="69">
        <f t="shared" si="18"/>
        <v>1.1000000000000001</v>
      </c>
      <c r="F35" s="69">
        <f t="shared" si="12"/>
        <v>0</v>
      </c>
      <c r="G35" s="69">
        <f t="shared" si="19"/>
        <v>1.1000000000000001</v>
      </c>
      <c r="H35" s="74" cm="1">
        <f t="array" ref="H35">SUMPRODUCT(--(Category="Gr_Cat_1"),--(OpCo="Ground"),--(SC_Name=$A35),(SC_Count))</f>
        <v>0</v>
      </c>
      <c r="I35" s="75">
        <f t="shared" si="20"/>
        <v>0</v>
      </c>
      <c r="J35" s="75">
        <f t="shared" si="13"/>
        <v>0</v>
      </c>
      <c r="K35" s="75">
        <f t="shared" si="21"/>
        <v>0</v>
      </c>
      <c r="L35" s="272" cm="1">
        <f t="array" ref="L35">SUMPRODUCT(--(D_Category="Gr_Cat_2"),--(D_EffDate="Eff_Date_1"),--(D_Product="GR"),--(D_SC_Name=$A35),(D_Percent))</f>
        <v>0</v>
      </c>
      <c r="M35" s="272" cm="1">
        <f t="array" ref="M35">SUMPRODUCT(--(D_Category="Gr_Cat_2"),--(D_EffDate="Eff_Date_2"),--(D_Product="GR"),--(D_SC_Name=$A35),(D_Percent))</f>
        <v>0</v>
      </c>
      <c r="N35" s="69">
        <f t="shared" si="22"/>
        <v>1.1000000000000001</v>
      </c>
      <c r="O35" s="69">
        <f t="shared" si="14"/>
        <v>0</v>
      </c>
      <c r="P35" s="69">
        <f t="shared" si="23"/>
        <v>1.1000000000000001</v>
      </c>
      <c r="Q35" s="74" cm="1">
        <f t="array" ref="Q35">SUMPRODUCT(--(Category="Gr_Cat_2"),--(OpCo="Ground"),--(SC_Name=$A35),(SC_Count))</f>
        <v>0</v>
      </c>
      <c r="R35" s="75">
        <f t="shared" si="24"/>
        <v>0</v>
      </c>
      <c r="S35" s="75">
        <f t="shared" si="15"/>
        <v>0</v>
      </c>
      <c r="T35" s="75">
        <f t="shared" si="25"/>
        <v>0</v>
      </c>
      <c r="U35" s="277" cm="1">
        <f t="array" ref="U35">SUMPRODUCT(--(D_Category="Gr_Cat_3"),--(D_EffDate="Eff_Date_1"),--(D_Product="GR"),--(D_SC_Name=$A35),(D_Percent))</f>
        <v>0</v>
      </c>
      <c r="V35" s="277" cm="1">
        <f t="array" ref="V35">SUMPRODUCT(--(D_Category="Gr_Cat_3"),--(D_EffDate="Eff_Date_2"),--(D_Product="GR"),--(D_SC_Name=$A35),(D_Percent))</f>
        <v>0</v>
      </c>
      <c r="W35" s="69">
        <f t="shared" si="26"/>
        <v>1.1000000000000001</v>
      </c>
      <c r="X35" s="69">
        <f t="shared" si="16"/>
        <v>0</v>
      </c>
      <c r="Y35" s="69">
        <f t="shared" si="27"/>
        <v>1.1000000000000001</v>
      </c>
      <c r="Z35" s="74" cm="1">
        <f t="array" ref="Z35">SUMPRODUCT(--(Category="Gr_Cat_3"),--(OpCo="Ground"),--(SC_Name=$A35),(SC_Count))</f>
        <v>0</v>
      </c>
      <c r="AA35" s="75">
        <f t="shared" si="28"/>
        <v>0</v>
      </c>
      <c r="AB35" s="75">
        <f t="shared" si="17"/>
        <v>0</v>
      </c>
      <c r="AC35" s="76">
        <f t="shared" si="29"/>
        <v>0</v>
      </c>
    </row>
    <row r="36" spans="1:29" x14ac:dyDescent="0.35">
      <c r="A36" s="73" t="s">
        <v>881</v>
      </c>
      <c r="B36" s="69">
        <v>6.6</v>
      </c>
      <c r="C36" s="302" cm="1">
        <f t="array" ref="C36">SUMPRODUCT(--(D_Category="Gr_Cat_1"),--(D_EffDate="Eff_Date_1"),--(D_Product="HD"),--(D_SC_Name=$A36),(D_Percent))</f>
        <v>0</v>
      </c>
      <c r="D36" s="302" cm="1">
        <f t="array" ref="D36">SUMPRODUCT(--(D_Category="Gr_Cat_1"),--(D_EffDate="Eff_Date_2"),--(D_Product="HD"),--(D_SC_Name=$A36),(D_Percent))</f>
        <v>0</v>
      </c>
      <c r="E36" s="69">
        <f t="shared" si="18"/>
        <v>6.6</v>
      </c>
      <c r="F36" s="69">
        <f t="shared" si="12"/>
        <v>0</v>
      </c>
      <c r="G36" s="69">
        <f t="shared" si="19"/>
        <v>6.6</v>
      </c>
      <c r="H36" s="74" cm="1">
        <f t="array" ref="H36">SUMPRODUCT(--(Category="Gr_Cat_1"),--(OpCo="Ground"),--(SC_Name=$A36),(SC_Count))</f>
        <v>0</v>
      </c>
      <c r="I36" s="75">
        <f t="shared" si="20"/>
        <v>0</v>
      </c>
      <c r="J36" s="75">
        <f t="shared" si="13"/>
        <v>0</v>
      </c>
      <c r="K36" s="75">
        <f t="shared" si="21"/>
        <v>0</v>
      </c>
      <c r="L36" s="272" cm="1">
        <f t="array" ref="L36">SUMPRODUCT(--(D_Category="Gr_Cat_2"),--(D_EffDate="Eff_Date_1"),--(D_Product="HD"),--(D_SC_Name=$A36),(D_Percent))</f>
        <v>0</v>
      </c>
      <c r="M36" s="272" cm="1">
        <f t="array" ref="M36">SUMPRODUCT(--(D_Category="Gr_Cat_2"),--(D_EffDate="Eff_Date_2"),--(D_Product="HD"),--(D_SC_Name=$A36),(D_Percent))</f>
        <v>0</v>
      </c>
      <c r="N36" s="69">
        <f t="shared" si="22"/>
        <v>6.6</v>
      </c>
      <c r="O36" s="69">
        <f t="shared" si="14"/>
        <v>0</v>
      </c>
      <c r="P36" s="69">
        <f t="shared" si="23"/>
        <v>6.6</v>
      </c>
      <c r="Q36" s="74" cm="1">
        <f t="array" ref="Q36">SUMPRODUCT(--(Category="Gr_Cat_2"),--(OpCo="Ground"),--(SC_Name=$A36),(SC_Count))</f>
        <v>0</v>
      </c>
      <c r="R36" s="75">
        <f t="shared" si="24"/>
        <v>0</v>
      </c>
      <c r="S36" s="75">
        <f t="shared" si="15"/>
        <v>0</v>
      </c>
      <c r="T36" s="75">
        <f t="shared" si="25"/>
        <v>0</v>
      </c>
      <c r="U36" s="277" cm="1">
        <f t="array" ref="U36">SUMPRODUCT(--(D_Category="Gr_Cat_3"),--(D_EffDate="Eff_Date_1"),--(D_Product="HD"),--(D_SC_Name=$A36),(D_Percent))</f>
        <v>0</v>
      </c>
      <c r="V36" s="277" cm="1">
        <f t="array" ref="V36">SUMPRODUCT(--(D_Category="Gr_Cat_3"),--(D_EffDate="Eff_Date_2"),--(D_Product="HD"),--(D_SC_Name=$A36),(D_Percent))</f>
        <v>0</v>
      </c>
      <c r="W36" s="69">
        <f t="shared" si="26"/>
        <v>6.6</v>
      </c>
      <c r="X36" s="69">
        <f t="shared" si="16"/>
        <v>0</v>
      </c>
      <c r="Y36" s="69">
        <f t="shared" si="27"/>
        <v>6.6</v>
      </c>
      <c r="Z36" s="74" cm="1">
        <f t="array" ref="Z36">SUMPRODUCT(--(Category="Gr_Cat_3"),--(OpCo="Ground"),--(SC_Name=$A36),(SC_Count))</f>
        <v>0</v>
      </c>
      <c r="AA36" s="75">
        <f t="shared" si="28"/>
        <v>0</v>
      </c>
      <c r="AB36" s="75">
        <f t="shared" si="17"/>
        <v>0</v>
      </c>
      <c r="AC36" s="76">
        <f t="shared" si="29"/>
        <v>0</v>
      </c>
    </row>
    <row r="37" spans="1:29" x14ac:dyDescent="0.35">
      <c r="A37" s="73" t="s">
        <v>882</v>
      </c>
      <c r="B37" s="151">
        <v>8.8000000000000007</v>
      </c>
      <c r="C37" s="302" cm="1">
        <f t="array" ref="C37">SUMPRODUCT(--(D_Category="Gr_Cat_1"),--(D_EffDate="Eff_Date_1"),--(D_Product="HD"),--(D_SC_Name=$A37),(D_Percent))</f>
        <v>0</v>
      </c>
      <c r="D37" s="302" cm="1">
        <f t="array" ref="D37">SUMPRODUCT(--(D_Category="Gr_Cat_1"),--(D_EffDate="Eff_Date_2"),--(D_Product="HD"),--(D_SC_Name=$A37),(D_Percent))</f>
        <v>0</v>
      </c>
      <c r="E37" s="69">
        <f t="shared" si="18"/>
        <v>8.8000000000000007</v>
      </c>
      <c r="F37" s="69">
        <f t="shared" si="12"/>
        <v>0</v>
      </c>
      <c r="G37" s="69">
        <f t="shared" si="19"/>
        <v>8.8000000000000007</v>
      </c>
      <c r="H37" s="74" cm="1">
        <f t="array" ref="H37">SUMPRODUCT(--(Category="Gr_Cat_1"),--(OpCo="Ground"),--(SC_Name=$A37),(SC_Count))</f>
        <v>0</v>
      </c>
      <c r="I37" s="75">
        <f t="shared" si="20"/>
        <v>0</v>
      </c>
      <c r="J37" s="75">
        <f t="shared" si="13"/>
        <v>0</v>
      </c>
      <c r="K37" s="75">
        <f t="shared" si="21"/>
        <v>0</v>
      </c>
      <c r="L37" s="272" cm="1">
        <f t="array" ref="L37">SUMPRODUCT(--(D_Category="Gr_Cat_2"),--(D_EffDate="Eff_Date_1"),--(D_Product="HD"),--(D_SC_Name=$A37),(D_Percent))</f>
        <v>0</v>
      </c>
      <c r="M37" s="272" cm="1">
        <f t="array" ref="M37">SUMPRODUCT(--(D_Category="Gr_Cat_2"),--(D_EffDate="Eff_Date_2"),--(D_Product="HD"),--(D_SC_Name=$A37),(D_Percent))</f>
        <v>0</v>
      </c>
      <c r="N37" s="69">
        <f t="shared" si="22"/>
        <v>8.8000000000000007</v>
      </c>
      <c r="O37" s="69">
        <f t="shared" si="14"/>
        <v>0</v>
      </c>
      <c r="P37" s="69">
        <f t="shared" si="23"/>
        <v>8.8000000000000007</v>
      </c>
      <c r="Q37" s="74" cm="1">
        <f t="array" ref="Q37">SUMPRODUCT(--(Category="Gr_Cat_2"),--(OpCo="Ground"),--(SC_Name=$A37),(SC_Count))</f>
        <v>0</v>
      </c>
      <c r="R37" s="75">
        <f t="shared" si="24"/>
        <v>0</v>
      </c>
      <c r="S37" s="75">
        <f t="shared" si="15"/>
        <v>0</v>
      </c>
      <c r="T37" s="75">
        <f t="shared" si="25"/>
        <v>0</v>
      </c>
      <c r="U37" s="277" cm="1">
        <f t="array" ref="U37">SUMPRODUCT(--(D_Category="Gr_Cat_3"),--(D_EffDate="Eff_Date_1"),--(D_Product="HD"),--(D_SC_Name=$A37),(D_Percent))</f>
        <v>0</v>
      </c>
      <c r="V37" s="277" cm="1">
        <f t="array" ref="V37">SUMPRODUCT(--(D_Category="Gr_Cat_3"),--(D_EffDate="Eff_Date_2"),--(D_Product="HD"),--(D_SC_Name=$A37),(D_Percent))</f>
        <v>0</v>
      </c>
      <c r="W37" s="69">
        <f t="shared" si="26"/>
        <v>8.8000000000000007</v>
      </c>
      <c r="X37" s="69">
        <f t="shared" si="16"/>
        <v>0</v>
      </c>
      <c r="Y37" s="69">
        <f t="shared" si="27"/>
        <v>8.8000000000000007</v>
      </c>
      <c r="Z37" s="74" cm="1">
        <f t="array" ref="Z37">SUMPRODUCT(--(Category="Gr_Cat_3"),--(OpCo="Ground"),--(SC_Name=$A37),(SC_Count))</f>
        <v>0</v>
      </c>
      <c r="AA37" s="75">
        <f t="shared" si="28"/>
        <v>0</v>
      </c>
      <c r="AB37" s="75">
        <f t="shared" si="17"/>
        <v>0</v>
      </c>
      <c r="AC37" s="76">
        <f t="shared" si="29"/>
        <v>0</v>
      </c>
    </row>
    <row r="38" spans="1:29" x14ac:dyDescent="0.35">
      <c r="A38" s="73" t="s">
        <v>1260</v>
      </c>
      <c r="B38" s="69">
        <v>16.75</v>
      </c>
      <c r="C38" s="302" cm="1">
        <f t="array" ref="C38">SUMPRODUCT(--(D_Category="Gr_Cat_1"),--(D_EffDate="Eff_Date_1"),--(D_Product="HD"),--(D_SC_Name=$A38),(D_Percent))</f>
        <v>0</v>
      </c>
      <c r="D38" s="302" cm="1">
        <f t="array" ref="D38">SUMPRODUCT(--(D_Category="Gr_Cat_1"),--(D_EffDate="Eff_Date_2"),--(D_Product="HD"),--(D_SC_Name=$A38),(D_Percent))</f>
        <v>0</v>
      </c>
      <c r="E38" s="69">
        <f t="shared" si="18"/>
        <v>16.75</v>
      </c>
      <c r="F38" s="69">
        <f t="shared" si="12"/>
        <v>0</v>
      </c>
      <c r="G38" s="69">
        <f t="shared" si="19"/>
        <v>16.75</v>
      </c>
      <c r="H38" s="74" cm="1">
        <f t="array" ref="H38">SUMPRODUCT(--(Category="Gr_Cat_1"),--(Product="Home Delivery"),--(SC_Name=$A29),(SC_Count))</f>
        <v>0</v>
      </c>
      <c r="I38" s="75">
        <f t="shared" si="20"/>
        <v>0</v>
      </c>
      <c r="J38" s="75">
        <f t="shared" si="13"/>
        <v>0</v>
      </c>
      <c r="K38" s="75">
        <f t="shared" si="21"/>
        <v>0</v>
      </c>
      <c r="L38" s="272" cm="1">
        <f t="array" ref="L38">SUMPRODUCT(--(D_Category="Gr_Cat_2"),--(D_EffDate="Eff_Date_1"),--(D_Product="HD"),--(D_SC_Name=$A38),(D_Percent))</f>
        <v>0</v>
      </c>
      <c r="M38" s="272" cm="1">
        <f t="array" ref="M38">SUMPRODUCT(--(D_Category="Gr_Cat_2"),--(D_EffDate="Eff_Date_2"),--(D_Product="HD"),--(D_SC_Name=$A38),(D_Percent))</f>
        <v>0</v>
      </c>
      <c r="N38" s="69">
        <f t="shared" si="22"/>
        <v>16.75</v>
      </c>
      <c r="O38" s="69">
        <f t="shared" si="14"/>
        <v>0</v>
      </c>
      <c r="P38" s="69">
        <f t="shared" si="23"/>
        <v>16.75</v>
      </c>
      <c r="Q38" s="74" cm="1">
        <f t="array" ref="Q38">SUMPRODUCT(--(Category="Gr_Cat_2"),--(OpCo="Ground"),--(SC_Name=$A38),(SC_Count))</f>
        <v>0</v>
      </c>
      <c r="R38" s="75">
        <f t="shared" si="24"/>
        <v>0</v>
      </c>
      <c r="S38" s="75">
        <f t="shared" si="15"/>
        <v>0</v>
      </c>
      <c r="T38" s="75">
        <f t="shared" si="25"/>
        <v>0</v>
      </c>
      <c r="U38" s="277" cm="1">
        <f t="array" ref="U38">SUMPRODUCT(--(D_Category="Gr_Cat_3"),--(D_EffDate="Eff_Date_1"),--(D_Product="HD"),--(D_SC_Name=$A38),(D_Percent))</f>
        <v>0</v>
      </c>
      <c r="V38" s="277" cm="1">
        <f t="array" ref="V38">SUMPRODUCT(--(D_Category="Gr_Cat_3"),--(D_EffDate="Eff_Date_2"),--(D_Product="HD"),--(D_SC_Name=$A38),(D_Percent))</f>
        <v>0</v>
      </c>
      <c r="W38" s="69">
        <f t="shared" si="26"/>
        <v>16.75</v>
      </c>
      <c r="X38" s="69">
        <f t="shared" si="16"/>
        <v>0</v>
      </c>
      <c r="Y38" s="69">
        <f t="shared" si="27"/>
        <v>16.75</v>
      </c>
      <c r="Z38" s="74" cm="1">
        <f t="array" ref="Z38">SUMPRODUCT(--(Category="Gr_Cat_3"),--(OpCo="Ground"),--(SC_Name=$A38),(SC_Count))</f>
        <v>0</v>
      </c>
      <c r="AA38" s="75">
        <f t="shared" si="28"/>
        <v>0</v>
      </c>
      <c r="AB38" s="75">
        <f t="shared" si="17"/>
        <v>0</v>
      </c>
      <c r="AC38" s="76">
        <f t="shared" si="29"/>
        <v>0</v>
      </c>
    </row>
    <row r="39" spans="1:29" x14ac:dyDescent="0.35">
      <c r="A39" s="71" t="s">
        <v>286</v>
      </c>
      <c r="B39" s="67"/>
      <c r="C39" s="302"/>
      <c r="D39" s="302"/>
      <c r="E39" s="67"/>
      <c r="F39" s="67">
        <f t="shared" si="12"/>
        <v>0</v>
      </c>
      <c r="G39" s="67"/>
      <c r="H39" s="79"/>
      <c r="I39" s="80"/>
      <c r="J39" s="80">
        <f t="shared" si="13"/>
        <v>0</v>
      </c>
      <c r="K39" s="80"/>
      <c r="L39" s="272"/>
      <c r="M39" s="272"/>
      <c r="N39" s="67"/>
      <c r="O39" s="67">
        <f t="shared" si="14"/>
        <v>0</v>
      </c>
      <c r="P39" s="67"/>
      <c r="Q39" s="79"/>
      <c r="R39" s="80"/>
      <c r="S39" s="80">
        <f t="shared" si="15"/>
        <v>0</v>
      </c>
      <c r="T39" s="80"/>
      <c r="U39" s="277"/>
      <c r="V39" s="277"/>
      <c r="W39" s="67"/>
      <c r="X39" s="67">
        <f t="shared" si="16"/>
        <v>0</v>
      </c>
      <c r="Y39" s="67"/>
      <c r="Z39" s="79"/>
      <c r="AA39" s="80"/>
      <c r="AB39" s="80">
        <f t="shared" si="17"/>
        <v>0</v>
      </c>
      <c r="AC39" s="81"/>
    </row>
    <row r="40" spans="1:29" x14ac:dyDescent="0.35">
      <c r="A40" s="72" t="s">
        <v>288</v>
      </c>
      <c r="B40" s="67">
        <v>10</v>
      </c>
      <c r="C40" s="302" cm="1">
        <f t="array" ref="C40">SUMPRODUCT(--(D_Category="Gr_Cat_1"),--(D_EffDate="Eff_Date_1"),--(D_Product="GR"),--(D_SC_Name=$A40),(D_Percent))</f>
        <v>0</v>
      </c>
      <c r="D40" s="302" cm="1">
        <f t="array" ref="D40">SUMPRODUCT(--(D_Category="Gr_Cat_1"),--(D_EffDate="Eff_Date_2"),--(D_Product="GR"),--(D_SC_Name=$A40),(D_Percent))</f>
        <v>0</v>
      </c>
      <c r="E40" s="67">
        <f>ROUND(($B40*(1-C40)),2)</f>
        <v>10</v>
      </c>
      <c r="F40" s="67">
        <f t="shared" si="12"/>
        <v>0</v>
      </c>
      <c r="G40" s="67">
        <f>ROUND(($B40*(1-D40)),2)</f>
        <v>10</v>
      </c>
      <c r="H40" s="79" cm="1">
        <f t="array" ref="H40">SUMPRODUCT(--(Category="Gr_Cat_1"),--(OpCo="Ground"),--(SC_Name=$A40),(SC_Count))</f>
        <v>0</v>
      </c>
      <c r="I40" s="80">
        <f>H40*E40</f>
        <v>0</v>
      </c>
      <c r="J40" s="80">
        <f t="shared" si="13"/>
        <v>0</v>
      </c>
      <c r="K40" s="80">
        <f>H40*G40</f>
        <v>0</v>
      </c>
      <c r="L40" s="272" cm="1">
        <f t="array" ref="L40">SUMPRODUCT(--(D_Category="Gr_Cat_2"),--(D_EffDate="Eff_Date_1"),--(D_Product="GR"),--(D_SC_Name=$A40),(D_Percent))</f>
        <v>0</v>
      </c>
      <c r="M40" s="272" cm="1">
        <f t="array" ref="M40">SUMPRODUCT(--(D_Category="Gr_Cat_2"),--(D_EffDate="Eff_Date_2"),--(D_Product="GR"),--(D_SC_Name=$A40),(D_Percent))</f>
        <v>0</v>
      </c>
      <c r="N40" s="67">
        <f>ROUND(($B40*(1-L40)),2)</f>
        <v>10</v>
      </c>
      <c r="O40" s="67">
        <f t="shared" si="14"/>
        <v>0</v>
      </c>
      <c r="P40" s="67">
        <f>ROUND(($B40*(1-M40)),2)</f>
        <v>10</v>
      </c>
      <c r="Q40" s="79" cm="1">
        <f t="array" ref="Q40">SUMPRODUCT(--(Category="Gr_Cat_2"),--(OpCo="Ground"),--(SC_Name=$A40),(SC_Count))</f>
        <v>0</v>
      </c>
      <c r="R40" s="80">
        <f>Q40*N40</f>
        <v>0</v>
      </c>
      <c r="S40" s="80">
        <f t="shared" si="15"/>
        <v>0</v>
      </c>
      <c r="T40" s="80">
        <f>Q40*P40</f>
        <v>0</v>
      </c>
      <c r="U40" s="277" cm="1">
        <f t="array" ref="U40">SUMPRODUCT(--(D_Category="Gr_Cat_3"),--(D_EffDate="Eff_Date_1"),--(D_Product="GR"),--(D_SC_Name=$A40),(D_Percent))</f>
        <v>0</v>
      </c>
      <c r="V40" s="277" cm="1">
        <f t="array" ref="V40">SUMPRODUCT(--(D_Category="Gr_Cat_3"),--(D_EffDate="Eff_Date_2"),--(D_Product="GR"),--(D_SC_Name=$A40),(D_Percent))</f>
        <v>0</v>
      </c>
      <c r="W40" s="67">
        <f>ROUND(($B40*(1-U40)),2)</f>
        <v>10</v>
      </c>
      <c r="X40" s="67">
        <f t="shared" si="16"/>
        <v>0</v>
      </c>
      <c r="Y40" s="67">
        <f>ROUND(($B40*(1-V40)),2)</f>
        <v>10</v>
      </c>
      <c r="Z40" s="79" cm="1">
        <f t="array" ref="Z40">SUMPRODUCT(--(Category="Gr_Cat_3"),--(OpCo="Ground"),--(SC_Name=$A40),(SC_Count))</f>
        <v>0</v>
      </c>
      <c r="AA40" s="80">
        <f>Z40*W40</f>
        <v>0</v>
      </c>
      <c r="AB40" s="80">
        <f t="shared" si="17"/>
        <v>0</v>
      </c>
      <c r="AC40" s="81">
        <f>Z40*Y40</f>
        <v>0</v>
      </c>
    </row>
    <row r="41" spans="1:29" x14ac:dyDescent="0.35">
      <c r="A41" s="72" t="s">
        <v>285</v>
      </c>
      <c r="B41" s="67">
        <v>7.6</v>
      </c>
      <c r="C41" s="302" cm="1">
        <f t="array" ref="C41">SUMPRODUCT(--(D_Category="Gr_Cat_1"),--(D_EffDate="Eff_Date_1"),--(D_Product="GR"),--(D_SC_Name=$A41),(D_Percent))</f>
        <v>0</v>
      </c>
      <c r="D41" s="302" cm="1">
        <f t="array" ref="D41">SUMPRODUCT(--(D_Category="Gr_Cat_1"),--(D_EffDate="Eff_Date_2"),--(D_Product="GR"),--(D_SC_Name=$A41),(D_Percent))</f>
        <v>0</v>
      </c>
      <c r="E41" s="67">
        <f>ROUND(($B41*(1-C41)),2)</f>
        <v>7.6</v>
      </c>
      <c r="F41" s="67">
        <f t="shared" si="12"/>
        <v>0</v>
      </c>
      <c r="G41" s="67">
        <f>ROUND(($B41*(1-D41)),2)</f>
        <v>7.6</v>
      </c>
      <c r="H41" s="79" cm="1">
        <f t="array" ref="H41">SUMPRODUCT(--(Category="Gr_Cat_1"),--(OpCo="Ground"),--(SC_Name=$A41),(SC_Count))</f>
        <v>0</v>
      </c>
      <c r="I41" s="80">
        <f>H41*E41</f>
        <v>0</v>
      </c>
      <c r="J41" s="80">
        <f t="shared" si="13"/>
        <v>0</v>
      </c>
      <c r="K41" s="80">
        <f>H41*G41</f>
        <v>0</v>
      </c>
      <c r="L41" s="272" cm="1">
        <f t="array" ref="L41">SUMPRODUCT(--(D_Category="Gr_Cat_2"),--(D_EffDate="Eff_Date_1"),--(D_Product="GR"),--(D_SC_Name=$A41),(D_Percent))</f>
        <v>0</v>
      </c>
      <c r="M41" s="272" cm="1">
        <f t="array" ref="M41">SUMPRODUCT(--(D_Category="Gr_Cat_2"),--(D_EffDate="Eff_Date_2"),--(D_Product="GR"),--(D_SC_Name=$A41),(D_Percent))</f>
        <v>0</v>
      </c>
      <c r="N41" s="67">
        <f>ROUND(($B41*(1-L41)),2)</f>
        <v>7.6</v>
      </c>
      <c r="O41" s="67">
        <f t="shared" si="14"/>
        <v>0</v>
      </c>
      <c r="P41" s="67">
        <f>ROUND(($B41*(1-M41)),2)</f>
        <v>7.6</v>
      </c>
      <c r="Q41" s="79" cm="1">
        <f t="array" ref="Q41">SUMPRODUCT(--(Category="Gr_Cat_2"),--(OpCo="Ground"),--(SC_Name=$A41),(SC_Count))</f>
        <v>0</v>
      </c>
      <c r="R41" s="80">
        <f>Q41*N41</f>
        <v>0</v>
      </c>
      <c r="S41" s="80">
        <f t="shared" si="15"/>
        <v>0</v>
      </c>
      <c r="T41" s="80">
        <f>Q41*P41</f>
        <v>0</v>
      </c>
      <c r="U41" s="277" cm="1">
        <f t="array" ref="U41">SUMPRODUCT(--(D_Category="Gr_Cat_3"),--(D_EffDate="Eff_Date_1"),--(D_Product="GR"),--(D_SC_Name=$A41),(D_Percent))</f>
        <v>0</v>
      </c>
      <c r="V41" s="277" cm="1">
        <f t="array" ref="V41">SUMPRODUCT(--(D_Category="Gr_Cat_3"),--(D_EffDate="Eff_Date_2"),--(D_Product="GR"),--(D_SC_Name=$A41),(D_Percent))</f>
        <v>0</v>
      </c>
      <c r="W41" s="67">
        <f>ROUND(($B41*(1-U41)),2)</f>
        <v>7.6</v>
      </c>
      <c r="X41" s="67">
        <f t="shared" si="16"/>
        <v>0</v>
      </c>
      <c r="Y41" s="67">
        <f>ROUND(($B41*(1-V41)),2)</f>
        <v>7.6</v>
      </c>
      <c r="Z41" s="79" cm="1">
        <f t="array" ref="Z41">SUMPRODUCT(--(Category="Gr_Cat_3"),--(OpCo="Ground"),--(SC_Name=$A41),(SC_Count))</f>
        <v>0</v>
      </c>
      <c r="AA41" s="80">
        <f>Z41*W41</f>
        <v>0</v>
      </c>
      <c r="AB41" s="80">
        <f t="shared" si="17"/>
        <v>0</v>
      </c>
      <c r="AC41" s="81">
        <f>Z41*Y41</f>
        <v>0</v>
      </c>
    </row>
    <row r="42" spans="1:29" x14ac:dyDescent="0.35">
      <c r="A42" s="72" t="s">
        <v>287</v>
      </c>
      <c r="B42" s="67">
        <v>7.6</v>
      </c>
      <c r="C42" s="302" cm="1">
        <f t="array" ref="C42">SUMPRODUCT(--(D_Category="Gr_Cat_1"),--(D_EffDate="Eff_Date_1"),--(D_Product="GR"),--(D_SC_Name=$A42),(D_Percent))</f>
        <v>0</v>
      </c>
      <c r="D42" s="302" cm="1">
        <f t="array" ref="D42">SUMPRODUCT(--(D_Category="Gr_Cat_1"),--(D_EffDate="Eff_Date_2"),--(D_Product="GR"),--(D_SC_Name=$A42),(D_Percent))</f>
        <v>0</v>
      </c>
      <c r="E42" s="67">
        <f>ROUND(($B42*(1-C42)),2)</f>
        <v>7.6</v>
      </c>
      <c r="F42" s="67">
        <f t="shared" si="12"/>
        <v>0</v>
      </c>
      <c r="G42" s="67">
        <f>ROUND(($B42*(1-D42)),2)</f>
        <v>7.6</v>
      </c>
      <c r="H42" s="79" cm="1">
        <f t="array" ref="H42">SUMPRODUCT(--(Category="Gr_Cat_1"),--(OpCo="Ground"),--(SC_Name=$A42),(SC_Count))</f>
        <v>0</v>
      </c>
      <c r="I42" s="80">
        <f>H42*E42</f>
        <v>0</v>
      </c>
      <c r="J42" s="80">
        <f t="shared" si="13"/>
        <v>0</v>
      </c>
      <c r="K42" s="80">
        <f>H42*G42</f>
        <v>0</v>
      </c>
      <c r="L42" s="272" cm="1">
        <f t="array" ref="L42">SUMPRODUCT(--(D_Category="Gr_Cat_2"),--(D_EffDate="Eff_Date_1"),--(D_Product="GR"),--(D_SC_Name=$A42),(D_Percent))</f>
        <v>0</v>
      </c>
      <c r="M42" s="272" cm="1">
        <f t="array" ref="M42">SUMPRODUCT(--(D_Category="Gr_Cat_2"),--(D_EffDate="Eff_Date_2"),--(D_Product="GR"),--(D_SC_Name=$A42),(D_Percent))</f>
        <v>0</v>
      </c>
      <c r="N42" s="67">
        <f>ROUND(($B42*(1-L42)),2)</f>
        <v>7.6</v>
      </c>
      <c r="O42" s="67">
        <f t="shared" si="14"/>
        <v>0</v>
      </c>
      <c r="P42" s="67">
        <f>ROUND(($B42*(1-M42)),2)</f>
        <v>7.6</v>
      </c>
      <c r="Q42" s="79" cm="1">
        <f t="array" ref="Q42">SUMPRODUCT(--(Category="Gr_Cat_2"),--(OpCo="Ground"),--(SC_Name=$A42),(SC_Count))</f>
        <v>0</v>
      </c>
      <c r="R42" s="80">
        <f>Q42*N42</f>
        <v>0</v>
      </c>
      <c r="S42" s="80">
        <f t="shared" si="15"/>
        <v>0</v>
      </c>
      <c r="T42" s="80">
        <f>Q42*P42</f>
        <v>0</v>
      </c>
      <c r="U42" s="277" cm="1">
        <f t="array" ref="U42">SUMPRODUCT(--(D_Category="Gr_Cat_3"),--(D_EffDate="Eff_Date_1"),--(D_Product="GR"),--(D_SC_Name=$A42),(D_Percent))</f>
        <v>0</v>
      </c>
      <c r="V42" s="277" cm="1">
        <f t="array" ref="V42">SUMPRODUCT(--(D_Category="Gr_Cat_3"),--(D_EffDate="Eff_Date_2"),--(D_Product="GR"),--(D_SC_Name=$A42),(D_Percent))</f>
        <v>0</v>
      </c>
      <c r="W42" s="67">
        <f>ROUND(($B42*(1-U42)),2)</f>
        <v>7.6</v>
      </c>
      <c r="X42" s="67">
        <f t="shared" si="16"/>
        <v>0</v>
      </c>
      <c r="Y42" s="67">
        <f>ROUND(($B42*(1-V42)),2)</f>
        <v>7.6</v>
      </c>
      <c r="Z42" s="79" cm="1">
        <f t="array" ref="Z42">SUMPRODUCT(--(Category="Gr_Cat_3"),--(OpCo="Ground"),--(SC_Name=$A42),(SC_Count))</f>
        <v>0</v>
      </c>
      <c r="AA42" s="80">
        <f>Z42*W42</f>
        <v>0</v>
      </c>
      <c r="AB42" s="80">
        <f t="shared" si="17"/>
        <v>0</v>
      </c>
      <c r="AC42" s="81">
        <f>Z42*Y42</f>
        <v>0</v>
      </c>
    </row>
    <row r="43" spans="1:29" x14ac:dyDescent="0.35">
      <c r="A43" s="70" t="s">
        <v>18</v>
      </c>
      <c r="B43" s="158"/>
      <c r="C43" s="302" cm="1">
        <f t="array" ref="C43">SUMPRODUCT(--(D_Category="Gr_Cat_1"),--(D_EffDate="Eff_Date_1"),--(D_Product="GR"),--(D_SC_Name=$A43),(D_Percent))</f>
        <v>0</v>
      </c>
      <c r="D43" s="302" cm="1">
        <f t="array" ref="D43">SUMPRODUCT(--(D_Category="Gr_Cat_1"),--(D_EffDate="Eff_Date_2"),--(D_Product="GR"),--(D_SC_Name=$A43),(D_Percent))</f>
        <v>0</v>
      </c>
      <c r="E43" s="158"/>
      <c r="F43" s="158"/>
      <c r="G43" s="158"/>
      <c r="H43" s="147" cm="1">
        <f t="array" ref="H43">SUMPRODUCT(--(Category="Gr_Cat_1"),--(OpCo="Ground"),--(SC_Name=$A43),(SC_Count))</f>
        <v>0</v>
      </c>
      <c r="I43" s="257"/>
      <c r="J43" s="371"/>
      <c r="K43" s="370"/>
      <c r="L43" s="272" cm="1">
        <f t="array" ref="L43">SUMPRODUCT(--(D_Category="Gr_Cat_2"),--(D_EffDate="Eff_Date_1"),--(D_Product="GR"),--(D_SC_Name=$A43),(D_Percent))</f>
        <v>0</v>
      </c>
      <c r="M43" s="272" cm="1">
        <f t="array" ref="M43">SUMPRODUCT(--(D_Category="Gr_Cat_2"),--(D_EffDate="Eff_Date_2"),--(D_Product="GR"),--(D_SC_Name=$A43),(D_Percent))</f>
        <v>0</v>
      </c>
      <c r="N43" s="158"/>
      <c r="O43" s="158"/>
      <c r="P43" s="158"/>
      <c r="Q43" s="147" cm="1">
        <f t="array" ref="Q43">SUMPRODUCT(--(Category="Gr_Cat_2"),--(OpCo="Ground"),--(SC_Name=$A43),(SC_Count))</f>
        <v>0</v>
      </c>
      <c r="R43" s="257"/>
      <c r="S43" s="371"/>
      <c r="T43" s="370"/>
      <c r="U43" s="277" cm="1">
        <f t="array" ref="U43">SUMPRODUCT(--(D_Category="Gr_Cat_3"),--(D_EffDate="Eff_Date_1"),--(D_Product="GR"),--(D_SC_Name=$A43),(D_Percent))</f>
        <v>0</v>
      </c>
      <c r="V43" s="277" cm="1">
        <f t="array" ref="V43">SUMPRODUCT(--(D_Category="Gr_Cat_3"),--(D_EffDate="Eff_Date_2"),--(D_Product="GR"),--(D_SC_Name=$A43),(D_Percent))</f>
        <v>0</v>
      </c>
      <c r="W43" s="158"/>
      <c r="X43" s="158"/>
      <c r="Y43" s="158"/>
      <c r="Z43" s="147" cm="1">
        <f t="array" ref="Z43">SUMPRODUCT(--(Category="Gr_Cat_3"),--(OpCo="Ground"),--(SC_Name=$A43),(SC_Count))</f>
        <v>0</v>
      </c>
      <c r="AA43" s="257"/>
      <c r="AB43" s="371"/>
      <c r="AC43" s="370"/>
    </row>
    <row r="44" spans="1:29" x14ac:dyDescent="0.35">
      <c r="A44" s="71" t="s">
        <v>100</v>
      </c>
      <c r="B44" s="67">
        <v>57.25</v>
      </c>
      <c r="C44" s="302" cm="1">
        <f t="array" ref="C44">SUMPRODUCT(--(D_Category="Gr_Cat_1"),--(D_EffDate="Eff_Date_1"),--(D_Product="GR"),--(D_SC_Category=$A44),(D_Percent))</f>
        <v>0</v>
      </c>
      <c r="D44" s="302" cm="1">
        <f t="array" ref="D44">SUMPRODUCT(--(D_Category="Gr_Cat_1"),--(D_EffDate="Eff_Date_2"),--(D_Product="GR"),--(D_SC_Category=$A44),(D_Percent))</f>
        <v>0</v>
      </c>
      <c r="E44" s="67">
        <f>ROUND(($B44*(1-C44)),2)</f>
        <v>57.25</v>
      </c>
      <c r="F44" s="67">
        <f t="shared" si="12"/>
        <v>0</v>
      </c>
      <c r="G44" s="67">
        <f>ROUND(($B44*(1-D44)),2)</f>
        <v>57.25</v>
      </c>
      <c r="H44" s="79" cm="1">
        <f t="array" ref="H44">SUMPRODUCT(--(Category="Gr_Cat_1"),--(OpCo="Ground"),--(SC_Cat=$A44),(SC_Count))</f>
        <v>0</v>
      </c>
      <c r="I44" s="80">
        <f>H44*E44</f>
        <v>0</v>
      </c>
      <c r="J44" s="80">
        <f t="shared" si="13"/>
        <v>0</v>
      </c>
      <c r="K44" s="80">
        <f>H44*G44</f>
        <v>0</v>
      </c>
      <c r="L44" s="272" cm="1">
        <f t="array" ref="L44">SUMPRODUCT(--(D_Category="Gr_Cat_2"),--(D_EffDate="Eff_Date_1"),--(D_Product="GR"),--(D_SC_Category=$A44),(D_Percent))</f>
        <v>0</v>
      </c>
      <c r="M44" s="272" cm="1">
        <f t="array" ref="M44">SUMPRODUCT(--(D_Category="Gr_Cat_2"),--(D_EffDate="Eff_Date_2"),--(D_Product="GR"),--(D_SC_Category=$A44),(D_Percent))</f>
        <v>0</v>
      </c>
      <c r="N44" s="67">
        <f>ROUND(($B44*(1-L44)),2)</f>
        <v>57.25</v>
      </c>
      <c r="O44" s="67">
        <f t="shared" si="14"/>
        <v>0</v>
      </c>
      <c r="P44" s="67">
        <f>ROUND(($B44*(1-M44)),2)</f>
        <v>57.25</v>
      </c>
      <c r="Q44" s="79" cm="1">
        <f t="array" ref="Q44">SUMPRODUCT(--(Category="Gr_Cat_2"),--(OpCo="Ground"),--(SC_Cat=$A44),(SC_Count))</f>
        <v>0</v>
      </c>
      <c r="R44" s="80">
        <f>Q44*N44</f>
        <v>0</v>
      </c>
      <c r="S44" s="80">
        <f t="shared" si="15"/>
        <v>0</v>
      </c>
      <c r="T44" s="80">
        <f>Q44*P44</f>
        <v>0</v>
      </c>
      <c r="U44" s="277" cm="1">
        <f t="array" ref="U44">SUMPRODUCT(--(D_Category="Gr_Cat_3"),--(D_EffDate="Eff_Date_1"),--(D_Product="GR"),--(D_SC_Category=$A44),(D_Percent))</f>
        <v>0</v>
      </c>
      <c r="V44" s="277" cm="1">
        <f t="array" ref="V44">SUMPRODUCT(--(D_Category="Gr_Cat_3"),--(D_EffDate="Eff_Date_2"),--(D_Product="GR"),--(D_SC_Category=$A44),(D_Percent))</f>
        <v>0</v>
      </c>
      <c r="W44" s="67">
        <f>ROUND(($B44*(1-U44)),2)</f>
        <v>57.25</v>
      </c>
      <c r="X44" s="67">
        <f t="shared" si="16"/>
        <v>0</v>
      </c>
      <c r="Y44" s="67">
        <f>ROUND(($B44*(1-V44)),2)</f>
        <v>57.25</v>
      </c>
      <c r="Z44" s="79" cm="1">
        <f t="array" ref="Z44">SUMPRODUCT(--(Category="Gr_Cat_3"),--(OpCo="Ground"),--(SC_Cat=$A44),(SC_Count))</f>
        <v>0</v>
      </c>
      <c r="AA44" s="80">
        <f>Z44*W44</f>
        <v>0</v>
      </c>
      <c r="AB44" s="80">
        <f t="shared" si="17"/>
        <v>0</v>
      </c>
      <c r="AC44" s="81">
        <f>Z44*Y44</f>
        <v>0</v>
      </c>
    </row>
    <row r="45" spans="1:29" x14ac:dyDescent="0.35">
      <c r="A45" s="70" t="s">
        <v>57</v>
      </c>
      <c r="B45" s="69">
        <v>25.5</v>
      </c>
      <c r="C45" s="302" cm="1">
        <f t="array" ref="C45">SUMPRODUCT(--(D_Category="Gr_Cat_1"),--(D_EffDate="Eff_Date_1"),--(D_Product="GR")+--(D_Product="All"),--(D_SC_Category=$A45),(D_Percent))</f>
        <v>0</v>
      </c>
      <c r="D45" s="302" cm="1">
        <f t="array" ref="D45">SUMPRODUCT(--(D_Category="Gr_Cat_1"),--(D_EffDate="Eff_Date_2"),--(D_Product="GR")+--(D_Product="All"),--(D_SC_Category=$A45),(D_Percent))</f>
        <v>0</v>
      </c>
      <c r="E45" s="69">
        <f>ROUND(($B45*(1-C45)),2)</f>
        <v>25.5</v>
      </c>
      <c r="F45" s="69">
        <f t="shared" si="12"/>
        <v>0</v>
      </c>
      <c r="G45" s="69">
        <f>ROUND(($B45*(1-D45)),2)</f>
        <v>25.5</v>
      </c>
      <c r="H45" s="74" cm="1">
        <f t="array" ref="H45">SUMPRODUCT(--(Category="Gr_Cat_1"),--(OpCo="Ground"),--(SC_Cat=$A45),(SC_Count))</f>
        <v>0</v>
      </c>
      <c r="I45" s="75">
        <f>H45*E45</f>
        <v>0</v>
      </c>
      <c r="J45" s="75">
        <f t="shared" si="13"/>
        <v>0</v>
      </c>
      <c r="K45" s="75">
        <f>H45*G45</f>
        <v>0</v>
      </c>
      <c r="L45" s="272" cm="1">
        <f t="array" ref="L45">SUMPRODUCT(--(D_Category="Gr_Cat_2"),--(D_EffDate="Eff_Date_1"),--(D_Product="GR")+--(D_Product="All"),--(D_SC_Category=$A45),(D_Percent))</f>
        <v>0</v>
      </c>
      <c r="M45" s="272" cm="1">
        <f t="array" ref="M45">SUMPRODUCT(--(D_Category="Gr_Cat_2"),--(D_EffDate="Eff_Date_2"),--(D_Product="GR")+--(D_Product="All"),--(D_SC_Category=$A45),(D_Percent))</f>
        <v>0</v>
      </c>
      <c r="N45" s="69">
        <f>ROUND(($B45*(1-L45)),2)</f>
        <v>25.5</v>
      </c>
      <c r="O45" s="69">
        <f t="shared" si="14"/>
        <v>0</v>
      </c>
      <c r="P45" s="69">
        <f>ROUND(($B45*(1-M45)),2)</f>
        <v>25.5</v>
      </c>
      <c r="Q45" s="74" cm="1">
        <f t="array" ref="Q45">SUMPRODUCT(--(Category="Gr_Cat_2"),--(OpCo="Ground"),--(SC_Cat=$A45),(SC_Count))</f>
        <v>0</v>
      </c>
      <c r="R45" s="75">
        <f>Q45*N45</f>
        <v>0</v>
      </c>
      <c r="S45" s="75">
        <f t="shared" si="15"/>
        <v>0</v>
      </c>
      <c r="T45" s="75">
        <f>Q45*P45</f>
        <v>0</v>
      </c>
      <c r="U45" s="277" cm="1">
        <f t="array" ref="U45">SUMPRODUCT(--(D_Category="Gr_Cat_3"),--(D_EffDate="Eff_Date_1"),--(D_Product="GR")+--(D_Product="All"),--(D_SC_Category=$A45),(D_Percent))</f>
        <v>0</v>
      </c>
      <c r="V45" s="277" cm="1">
        <f t="array" ref="V45">SUMPRODUCT(--(D_Category="Gr_Cat_3"),--(D_EffDate="Eff_Date_2"),--(D_Product="GR")+--(D_Product="All"),--(D_SC_Category=$A45),(D_Percent))</f>
        <v>0</v>
      </c>
      <c r="W45" s="69">
        <f>ROUND(($B45*(1-U45)),2)</f>
        <v>25.5</v>
      </c>
      <c r="X45" s="69">
        <f t="shared" si="16"/>
        <v>0</v>
      </c>
      <c r="Y45" s="69">
        <f>ROUND(($B45*(1-V45)),2)</f>
        <v>25.5</v>
      </c>
      <c r="Z45" s="74" cm="1">
        <f t="array" ref="Z45">SUMPRODUCT(--(Category="Gr_Cat_3"),--(OpCo="Ground"),--(SC_Cat=$A45),(SC_Count))</f>
        <v>0</v>
      </c>
      <c r="AA45" s="75">
        <f>Z45*W45</f>
        <v>0</v>
      </c>
      <c r="AB45" s="75">
        <f t="shared" si="17"/>
        <v>0</v>
      </c>
      <c r="AC45" s="76">
        <f>Z45*Y45</f>
        <v>0</v>
      </c>
    </row>
    <row r="46" spans="1:29" x14ac:dyDescent="0.35">
      <c r="A46" s="71" t="s">
        <v>40</v>
      </c>
      <c r="B46" s="375"/>
      <c r="C46" s="272"/>
      <c r="D46" s="272"/>
      <c r="E46" s="375"/>
      <c r="F46" s="375"/>
      <c r="G46" s="375"/>
      <c r="H46" s="79"/>
      <c r="I46" s="374"/>
      <c r="J46" s="375"/>
      <c r="K46" s="376"/>
      <c r="L46" s="272"/>
      <c r="M46" s="272"/>
      <c r="N46" s="375"/>
      <c r="O46" s="375"/>
      <c r="P46" s="375"/>
      <c r="Q46" s="79"/>
      <c r="R46" s="374"/>
      <c r="S46" s="375"/>
      <c r="T46" s="376"/>
      <c r="U46" s="272"/>
      <c r="V46" s="272"/>
      <c r="W46" s="375"/>
      <c r="X46" s="375"/>
      <c r="Y46" s="375"/>
      <c r="Z46" s="79"/>
      <c r="AA46" s="374"/>
      <c r="AB46" s="375"/>
      <c r="AC46" s="376"/>
    </row>
    <row r="47" spans="1:29" x14ac:dyDescent="0.35">
      <c r="A47" s="294" t="s">
        <v>947</v>
      </c>
      <c r="B47" s="631" t="s">
        <v>1742</v>
      </c>
      <c r="C47" s="631"/>
      <c r="D47" s="631"/>
      <c r="E47" s="293"/>
      <c r="F47" s="293"/>
      <c r="G47" s="293"/>
      <c r="H47" s="297"/>
      <c r="I47" s="296"/>
      <c r="J47" s="293"/>
      <c r="K47" s="293"/>
      <c r="L47" s="293"/>
      <c r="M47" s="293"/>
      <c r="N47" s="293"/>
      <c r="O47" s="293"/>
      <c r="P47" s="293"/>
      <c r="Q47" s="297"/>
      <c r="R47" s="296"/>
      <c r="S47" s="293"/>
      <c r="T47" s="293"/>
      <c r="U47" s="293"/>
      <c r="V47" s="293"/>
      <c r="W47" s="293"/>
      <c r="X47" s="293"/>
      <c r="Y47" s="293"/>
      <c r="Z47" s="297"/>
      <c r="AA47" s="296"/>
      <c r="AB47" s="293"/>
      <c r="AC47" s="384"/>
    </row>
    <row r="48" spans="1:29" ht="15.5" x14ac:dyDescent="0.35">
      <c r="A48" s="73" t="s">
        <v>953</v>
      </c>
      <c r="B48" s="83">
        <v>208</v>
      </c>
      <c r="C48" s="302" cm="1">
        <f t="array" ref="C48">SUMPRODUCT(--(D_Category="Gr_Cat_1"),--(D_EffDate="Eff_Date_1"),--(D_Product="IG"),--(D_SC_Name="Oversize Charge"),(D_Percent))</f>
        <v>0</v>
      </c>
      <c r="D48" s="302" cm="1">
        <f t="array" ref="D48">SUMPRODUCT(--(D_Category="Gr_Cat_1"),--(D_EffDate="Eff_Date_2"),--(D_Product="IG"),--(D_SC_Name="Oversize Charge"),(D_Percent))</f>
        <v>0</v>
      </c>
      <c r="E48" s="69">
        <f>ROUND(($B48*(1-C48)),2)</f>
        <v>208</v>
      </c>
      <c r="F48" s="69">
        <f t="shared" ref="F48:F57" si="30">G48-E48</f>
        <v>0</v>
      </c>
      <c r="G48" s="69">
        <f>ROUND(($B48*(1-D48)),2)</f>
        <v>208</v>
      </c>
      <c r="H48" s="157" cm="1">
        <f t="array" ref="H48">SUMPRODUCT(--(Category="Gr_Cat_1"),--(OpCo="Ground"),--(Intl="International"),--(SC_Name="Oversize Charge"),(SC_Count))</f>
        <v>0</v>
      </c>
      <c r="I48" s="75">
        <f>H48*E48</f>
        <v>0</v>
      </c>
      <c r="J48" s="75">
        <f t="shared" ref="J48:J57" si="31">K48-I48</f>
        <v>0</v>
      </c>
      <c r="K48" s="75">
        <f>H48*G48</f>
        <v>0</v>
      </c>
      <c r="L48" s="272" cm="1">
        <f t="array" ref="L48">SUMPRODUCT(--(D_Category="Gr_Cat_2"),--(D_EffDate="Eff_Date_1"),--(D_Product="GR"),--(D_SC_Name=$A48),(D_Percent))</f>
        <v>0</v>
      </c>
      <c r="M48" s="272" cm="1">
        <f t="array" ref="M48">SUMPRODUCT(--(D_Category="Gr_Cat_2"),--(D_EffDate="Eff_Date_2"),--(D_Product="GR"),--(D_SC_Name=$A48),(D_Percent))</f>
        <v>0</v>
      </c>
      <c r="N48" s="69">
        <f>ROUND(($B48*(1-L48)),2)</f>
        <v>208</v>
      </c>
      <c r="O48" s="69">
        <f t="shared" ref="O48:O57" si="32">P48-N48</f>
        <v>0</v>
      </c>
      <c r="P48" s="69">
        <f>ROUND(($B48*(1-M48)),2)</f>
        <v>208</v>
      </c>
      <c r="Q48" s="157" cm="1">
        <f t="array" ref="Q48">SUMPRODUCT(--(Category="Gr_Cat_2"),--(OpCo="Ground"),--(Intl="International"),--(SC_Name="Oversize Charge"),(SC_Count))</f>
        <v>0</v>
      </c>
      <c r="R48" s="75">
        <f>Q48*N48</f>
        <v>0</v>
      </c>
      <c r="S48" s="75">
        <f t="shared" ref="S48:S57" si="33">T48-R48</f>
        <v>0</v>
      </c>
      <c r="T48" s="75">
        <f>Q48*P48</f>
        <v>0</v>
      </c>
      <c r="U48" s="277" cm="1">
        <f t="array" ref="U48">SUMPRODUCT(--(D_Category="Gr_Cat_3"),--(D_EffDate="Eff_Date_1"),--(D_Product="GR"),--(D_SC_Name=$A48),(D_Percent))</f>
        <v>0</v>
      </c>
      <c r="V48" s="277" cm="1">
        <f t="array" ref="V48">SUMPRODUCT(--(D_Category="Gr_Cat_3"),--(D_EffDate="Eff_Date_2"),--(D_Product="GR"),--(D_SC_Name=$A48),(D_Percent))</f>
        <v>0</v>
      </c>
      <c r="W48" s="69">
        <f>ROUND(($B48*(1-U48)),2)</f>
        <v>208</v>
      </c>
      <c r="X48" s="69">
        <f t="shared" ref="X48:X57" si="34">Y48-W48</f>
        <v>0</v>
      </c>
      <c r="Y48" s="69">
        <f>ROUND(($B48*(1-V48)),2)</f>
        <v>208</v>
      </c>
      <c r="Z48" s="157" cm="1">
        <f t="array" ref="Z48">SUMPRODUCT(--(Category="Gr_Cat_3"),--(OpCo="Ground"),--(Intl="International"),--(SC_Name="Oversize Charge"),(SC_Count))</f>
        <v>0</v>
      </c>
      <c r="AA48" s="75">
        <f>Z48*W48</f>
        <v>0</v>
      </c>
      <c r="AB48" s="75">
        <f t="shared" ref="AB48:AB57" si="35">AC48-AA48</f>
        <v>0</v>
      </c>
      <c r="AC48" s="76">
        <f>Z48*Y48</f>
        <v>0</v>
      </c>
    </row>
    <row r="49" spans="1:29" s="3" customFormat="1" x14ac:dyDescent="0.35">
      <c r="A49" s="71" t="s">
        <v>852</v>
      </c>
      <c r="B49" s="67">
        <v>25.5</v>
      </c>
      <c r="C49" s="302" cm="1">
        <f t="array" ref="C49">SUMPRODUCT(--(D_Category="Gr_Cat_1"),--(D_EffDate="Eff_Date_1"),--(D_Product="GR")+--(D_Product="All"),--(D_SC_Category=$A49),(D_Percent))</f>
        <v>0</v>
      </c>
      <c r="D49" s="302" cm="1">
        <f t="array" ref="D49">SUMPRODUCT(--(D_Category="Gr_Cat_1"),--(D_EffDate="Eff_Date_2"),--(D_Product="GR")+--(D_Product="All"),--(D_SC_Category=$A49),(D_Percent))</f>
        <v>0</v>
      </c>
      <c r="E49" s="67">
        <f>ROUND(($B49*(1-C49)),2)</f>
        <v>25.5</v>
      </c>
      <c r="F49" s="67">
        <f t="shared" si="30"/>
        <v>0</v>
      </c>
      <c r="G49" s="67">
        <f>ROUND(($B49*(1-D49)),2)</f>
        <v>25.5</v>
      </c>
      <c r="H49" s="79" cm="1">
        <f t="array" ref="H49">SUMPRODUCT(--(Category="Gr_Cat_1"),--(OpCo="Ground"),--(SC_Name=$A49),(SC_Count))</f>
        <v>0</v>
      </c>
      <c r="I49" s="80">
        <f>H49*E49</f>
        <v>0</v>
      </c>
      <c r="J49" s="80">
        <f t="shared" si="31"/>
        <v>0</v>
      </c>
      <c r="K49" s="80">
        <f>H49*G49</f>
        <v>0</v>
      </c>
      <c r="L49" s="272" cm="1">
        <f t="array" ref="L49">SUMPRODUCT(--(D_Category="Gr_Cat_2"),--(D_EffDate="Eff_Date_1"),--(D_Product="GR")+--(D_Product="All"),--(D_SC_Category=$A49),(D_Percent))</f>
        <v>0</v>
      </c>
      <c r="M49" s="272" cm="1">
        <f t="array" ref="M49">SUMPRODUCT(--(D_Category="Gr_Cat_2"),--(D_EffDate="Eff_Date_2"),--(D_Product="GR")+--(D_Product="All"),--(D_SC_Category=$A49),(D_Percent))</f>
        <v>0</v>
      </c>
      <c r="N49" s="67">
        <f>ROUND(($B49*(1-L49)),2)</f>
        <v>25.5</v>
      </c>
      <c r="O49" s="67">
        <f t="shared" si="32"/>
        <v>0</v>
      </c>
      <c r="P49" s="67">
        <f>ROUND(($B49*(1-M49)),2)</f>
        <v>25.5</v>
      </c>
      <c r="Q49" s="79" cm="1">
        <f t="array" ref="Q49">SUMPRODUCT(--(Category="Gr_Cat_2"),--(OpCo="Ground"),--(SC_Name=$A49),(SC_Count))</f>
        <v>0</v>
      </c>
      <c r="R49" s="80">
        <f>Q49*N49</f>
        <v>0</v>
      </c>
      <c r="S49" s="80">
        <f t="shared" si="33"/>
        <v>0</v>
      </c>
      <c r="T49" s="80">
        <f>Q49*P49</f>
        <v>0</v>
      </c>
      <c r="U49" s="277" cm="1">
        <f t="array" ref="U49">SUMPRODUCT(--(D_Category="Gr_Cat_3"),--(D_EffDate="Eff_Date_1"),--(D_Product="GR")+--(D_Product="All"),--(D_SC_Category=$A49),(D_Percent))</f>
        <v>0</v>
      </c>
      <c r="V49" s="277" cm="1">
        <f t="array" ref="V49">SUMPRODUCT(--(D_Category="Gr_Cat_3"),--(D_EffDate="Eff_Date_2"),--(D_Product="GR")+--(D_Product="All"),--(D_SC_Category=$A49),(D_Percent))</f>
        <v>0</v>
      </c>
      <c r="W49" s="67">
        <f>ROUND(($B49*(1-U49)),2)</f>
        <v>25.5</v>
      </c>
      <c r="X49" s="67">
        <f t="shared" si="34"/>
        <v>0</v>
      </c>
      <c r="Y49" s="67">
        <f>ROUND(($B49*(1-V49)),2)</f>
        <v>25.5</v>
      </c>
      <c r="Z49" s="79" cm="1">
        <f t="array" ref="Z49">SUMPRODUCT(--(Category="Gr_Cat_3"),--(OpCo="Ground"),--(SC_Name=$A49),(SC_Count))</f>
        <v>0</v>
      </c>
      <c r="AA49" s="80">
        <f>Z49*W49</f>
        <v>0</v>
      </c>
      <c r="AB49" s="80">
        <f t="shared" si="35"/>
        <v>0</v>
      </c>
      <c r="AC49" s="81">
        <f>Z49*Y49</f>
        <v>0</v>
      </c>
    </row>
    <row r="50" spans="1:29" s="3" customFormat="1" x14ac:dyDescent="0.35">
      <c r="A50" s="70" t="s">
        <v>25</v>
      </c>
      <c r="B50" s="69"/>
      <c r="C50" s="302"/>
      <c r="D50" s="302"/>
      <c r="E50" s="69"/>
      <c r="F50" s="69"/>
      <c r="G50" s="69"/>
      <c r="H50" s="74"/>
      <c r="I50" s="75"/>
      <c r="J50" s="75"/>
      <c r="K50" s="75"/>
      <c r="L50" s="272"/>
      <c r="M50" s="272"/>
      <c r="N50" s="69"/>
      <c r="O50" s="69"/>
      <c r="P50" s="69"/>
      <c r="Q50" s="74"/>
      <c r="R50" s="75"/>
      <c r="S50" s="75"/>
      <c r="T50" s="75"/>
      <c r="U50" s="277"/>
      <c r="V50" s="277"/>
      <c r="W50" s="69"/>
      <c r="X50" s="69"/>
      <c r="Y50" s="69"/>
      <c r="Z50" s="74"/>
      <c r="AA50" s="75"/>
      <c r="AB50" s="75"/>
      <c r="AC50" s="76"/>
    </row>
    <row r="51" spans="1:29" s="3" customFormat="1" x14ac:dyDescent="0.35">
      <c r="A51" s="73" t="s">
        <v>879</v>
      </c>
      <c r="B51" s="69">
        <v>6.45</v>
      </c>
      <c r="C51" s="302" cm="1">
        <f t="array" ref="C51">SUMPRODUCT(--(D_Category="Gr_Cat_1"),--(D_EffDate="Eff_Date_1"),--(D_Product="GR"),--(D_SC_Name="Residential Delivery"),(D_Percent))</f>
        <v>0</v>
      </c>
      <c r="D51" s="302" cm="1">
        <f t="array" ref="D51">SUMPRODUCT(--(D_Category="Gr_Cat_1"),--(D_EffDate="Eff_Date_2"),--(D_Product="GR"),--(D_SC_Name="Residential Delivery"),(D_Percent))</f>
        <v>0</v>
      </c>
      <c r="E51" s="69">
        <f>ROUND(($B51*(1-C51)),2)</f>
        <v>6.45</v>
      </c>
      <c r="F51" s="69">
        <f t="shared" si="30"/>
        <v>0</v>
      </c>
      <c r="G51" s="69">
        <f>ROUND(($B51*(1-D51)),2)</f>
        <v>6.45</v>
      </c>
      <c r="H51" s="74" cm="1">
        <f t="array" ref="H51">SUMPRODUCT(--(Category="Gr_Cat_1"),--(OpCo="Ground"),--(Product="Ground"),--(SC_Name="Residential Delivery"),(SC_Count))</f>
        <v>0</v>
      </c>
      <c r="I51" s="75">
        <f>H51*E51</f>
        <v>0</v>
      </c>
      <c r="J51" s="75">
        <f t="shared" si="31"/>
        <v>0</v>
      </c>
      <c r="K51" s="75">
        <f>H51*G51</f>
        <v>0</v>
      </c>
      <c r="L51" s="272" cm="1">
        <f t="array" ref="L51">SUMPRODUCT(--(D_Category="Gr_Cat_2"),--(D_EffDate="Eff_Date_1"),--(D_Product="GR"),--(D_SC_Name="Residential Delivery"),(D_Percent))</f>
        <v>0</v>
      </c>
      <c r="M51" s="272" cm="1">
        <f t="array" ref="M51">SUMPRODUCT(--(D_Category="Gr_Cat_2"),--(D_EffDate="Eff_Date_2"),--(D_Product="GR"),--(D_SC_Name="Residential Delivery"),(D_Percent))</f>
        <v>0</v>
      </c>
      <c r="N51" s="69">
        <f>ROUND(($B51*(1-L51)),2)</f>
        <v>6.45</v>
      </c>
      <c r="O51" s="69">
        <f t="shared" si="32"/>
        <v>0</v>
      </c>
      <c r="P51" s="69">
        <f>ROUND(($B51*(1-M51)),2)</f>
        <v>6.45</v>
      </c>
      <c r="Q51" s="74" cm="1">
        <f t="array" ref="Q51">SUMPRODUCT(--(Category="Gr_Cat_2"),--(OpCo="Ground"),--(Product="Ground"),--(SC_Name="Residential Delivery"),(SC_Count))</f>
        <v>0</v>
      </c>
      <c r="R51" s="75">
        <f>Q51*N51</f>
        <v>0</v>
      </c>
      <c r="S51" s="75">
        <f t="shared" si="33"/>
        <v>0</v>
      </c>
      <c r="T51" s="75">
        <f>Q51*P51</f>
        <v>0</v>
      </c>
      <c r="U51" s="277" cm="1">
        <f t="array" ref="U51">SUMPRODUCT(--(D_Category="Gr_Cat_3"),--(D_EffDate="Eff_Date_1"),--(D_Product="GR"),--(D_SC_Name="Residential Delivery"),(D_Percent))</f>
        <v>0</v>
      </c>
      <c r="V51" s="277" cm="1">
        <f t="array" ref="V51">SUMPRODUCT(--(D_Category="Gr_Cat_3"),--(D_EffDate="Eff_Date_2"),--(D_Product="GR"),--(D_SC_Name="Residential Delivery"),(D_Percent))</f>
        <v>0</v>
      </c>
      <c r="W51" s="69">
        <f>ROUND(($B51*(1-U51)),2)</f>
        <v>6.45</v>
      </c>
      <c r="X51" s="69">
        <f t="shared" si="34"/>
        <v>0</v>
      </c>
      <c r="Y51" s="69">
        <f>ROUND(($B51*(1-V51)),2)</f>
        <v>6.45</v>
      </c>
      <c r="Z51" s="74" cm="1">
        <f t="array" ref="Z51">SUMPRODUCT(--(Category="Gr_Cat_3"),--(OpCo="Ground"),--(Product="Ground"),--(SC_Name="Residential Delivery"),(SC_Count))</f>
        <v>0</v>
      </c>
      <c r="AA51" s="75">
        <f>Z51*W51</f>
        <v>0</v>
      </c>
      <c r="AB51" s="75">
        <f t="shared" si="35"/>
        <v>0</v>
      </c>
      <c r="AC51" s="76">
        <f>Z51*Y51</f>
        <v>0</v>
      </c>
    </row>
    <row r="52" spans="1:29" s="3" customFormat="1" x14ac:dyDescent="0.35">
      <c r="A52" s="73" t="s">
        <v>880</v>
      </c>
      <c r="B52" s="69">
        <v>6.45</v>
      </c>
      <c r="C52" s="302" cm="1">
        <f t="array" ref="C52">SUMPRODUCT(--(D_Category="Gr_Cat_1"),--(D_EffDate="Eff_Date_1"),--(D_Product="HD"),--(D_SC_Name="Residential Delivery"),(D_Percent))</f>
        <v>0</v>
      </c>
      <c r="D52" s="302" cm="1">
        <f t="array" ref="D52">SUMPRODUCT(--(D_Category="Gr_Cat_1"),--(D_EffDate="Eff_Date_2"),--(D_Product="HD"),--(D_SC_Name="Residential Delivery"),(D_Percent))</f>
        <v>0</v>
      </c>
      <c r="E52" s="69">
        <f>ROUND(($B52*(1-C52)),2)</f>
        <v>6.45</v>
      </c>
      <c r="F52" s="69">
        <f t="shared" si="30"/>
        <v>0</v>
      </c>
      <c r="G52" s="69">
        <f>ROUND(($B52*(1-D52)),2)</f>
        <v>6.45</v>
      </c>
      <c r="H52" s="74" cm="1">
        <f t="array" ref="H52">SUMPRODUCT(--(Category="Gr_Cat_1"),--(OpCo="Ground"),--(Product="Home Delivery"),--(SC_Name="Residential Delivery"),(SC_Count))</f>
        <v>0</v>
      </c>
      <c r="I52" s="75">
        <f>H52*E52</f>
        <v>0</v>
      </c>
      <c r="J52" s="75">
        <f t="shared" si="31"/>
        <v>0</v>
      </c>
      <c r="K52" s="75">
        <f>H52*G52</f>
        <v>0</v>
      </c>
      <c r="L52" s="272" cm="1">
        <f t="array" ref="L52">SUMPRODUCT(--(D_Category="Gr_Cat_2"),--(D_EffDate="Eff_Date_1"),--(D_Product="HD"),--(D_SC_Name="Residential Delivery"),(D_Percent))</f>
        <v>0</v>
      </c>
      <c r="M52" s="272" cm="1">
        <f t="array" ref="M52">SUMPRODUCT(--(D_Category="Gr_Cat_2"),--(D_EffDate="Eff_Date_2"),--(D_Product="HD"),--(D_SC_Name="Residential Delivery"),(D_Percent))</f>
        <v>0</v>
      </c>
      <c r="N52" s="69">
        <f>ROUND(($B52*(1-L52)),2)</f>
        <v>6.45</v>
      </c>
      <c r="O52" s="69">
        <f t="shared" si="32"/>
        <v>0</v>
      </c>
      <c r="P52" s="69">
        <f>ROUND(($B52*(1-M52)),2)</f>
        <v>6.45</v>
      </c>
      <c r="Q52" s="74" cm="1">
        <f t="array" ref="Q52">SUMPRODUCT(--(Category="Gr_Cat_2"),--(OpCo="Ground"),--(Product="Home Delivery"),--(SC_Name="Residential Delivery"),(SC_Count))</f>
        <v>0</v>
      </c>
      <c r="R52" s="75">
        <f>Q52*N52</f>
        <v>0</v>
      </c>
      <c r="S52" s="75">
        <f t="shared" si="33"/>
        <v>0</v>
      </c>
      <c r="T52" s="75">
        <f>Q52*P52</f>
        <v>0</v>
      </c>
      <c r="U52" s="277" cm="1">
        <f t="array" ref="U52">SUMPRODUCT(--(D_Category="Gr_Cat_3"),--(D_EffDate="Eff_Date_1"),--(D_Product="HD"),--(D_SC_Name="Residential Delivery"),(D_Percent))</f>
        <v>0</v>
      </c>
      <c r="V52" s="277" cm="1">
        <f t="array" ref="V52">SUMPRODUCT(--(D_Category="Gr_Cat_3"),--(D_EffDate="Eff_Date_2"),--(D_Product="HD"),--(D_SC_Name="Residential Delivery"),(D_Percent))</f>
        <v>0</v>
      </c>
      <c r="W52" s="69">
        <f>ROUND(($B52*(1-U52)),2)</f>
        <v>6.45</v>
      </c>
      <c r="X52" s="69">
        <f t="shared" si="34"/>
        <v>0</v>
      </c>
      <c r="Y52" s="69">
        <f>ROUND(($B52*(1-V52)),2)</f>
        <v>6.45</v>
      </c>
      <c r="Z52" s="74" cm="1">
        <f t="array" ref="Z52">SUMPRODUCT(--(Category="Gr_Cat_3"),--(OpCo="Ground"),--(Product="Home Delivery"),--(SC_Name="Residential Delivery"),(SC_Count))</f>
        <v>0</v>
      </c>
      <c r="AA52" s="75">
        <f>Z52*W52</f>
        <v>0</v>
      </c>
      <c r="AB52" s="75">
        <f t="shared" si="35"/>
        <v>0</v>
      </c>
      <c r="AC52" s="76">
        <f>Z52*Y52</f>
        <v>0</v>
      </c>
    </row>
    <row r="53" spans="1:29" s="3" customFormat="1" x14ac:dyDescent="0.35">
      <c r="A53" s="70" t="s">
        <v>1733</v>
      </c>
      <c r="B53" s="69">
        <v>2.65</v>
      </c>
      <c r="C53" s="302" cm="1">
        <f t="array" ref="C53">SUMPRODUCT(--(D_Category="Gr_Cat_1"),--(D_EffDate="Eff_Date_1"),--(D_Product="IG"),--(D_SC_Name="US Inbound Processing Fee"),(D_Percent))</f>
        <v>0</v>
      </c>
      <c r="D53" s="302" cm="1">
        <f t="array" ref="D53">SUMPRODUCT(--(D_Category="Gr_Cat_1"),--(D_EffDate="Eff_Date_2"),--(D_Product="IG"),--(D_SC_Name="US Inbound Processing Fee"),(D_Percent))</f>
        <v>0</v>
      </c>
      <c r="E53" s="69">
        <f>ROUND(($B53*(1-C53)),2)</f>
        <v>2.65</v>
      </c>
      <c r="F53" s="69">
        <f t="shared" si="30"/>
        <v>0</v>
      </c>
      <c r="G53" s="69">
        <f>ROUND(($B53*(1-D53)),2)</f>
        <v>2.65</v>
      </c>
      <c r="H53" s="74" cm="1">
        <f t="array" ref="H53">SUMPRODUCT(--(Category="Gr_Cat_1"),--(OpCo="Ground"),--(Intl="International"),--(SC_Name="US Inbound Processing Fee"),(SC_Count))</f>
        <v>0</v>
      </c>
      <c r="I53" s="75">
        <f>H53*E53</f>
        <v>0</v>
      </c>
      <c r="J53" s="75">
        <f t="shared" si="31"/>
        <v>0</v>
      </c>
      <c r="K53" s="75">
        <f>H53*G53</f>
        <v>0</v>
      </c>
      <c r="L53" s="272" cm="1">
        <f t="array" ref="L53">SUMPRODUCT(--(D_Category="Gr_Cat_2"),--(D_EffDate="Eff_Date_1"),--(D_Product="IG"),--(D_SC_Name="US Inbound Processing Fee"),(D_Percent))</f>
        <v>0</v>
      </c>
      <c r="M53" s="272" cm="1">
        <f t="array" ref="M53">SUMPRODUCT(--(D_Category="Gr_Cat_2"),--(D_EffDate="Eff_Date_2"),--(D_Product="IG"),--(D_SC_Name="US Inbound Processing Fee"),(D_Percent))</f>
        <v>0</v>
      </c>
      <c r="N53" s="69">
        <f>ROUND(($B53*(1-L53)),2)</f>
        <v>2.65</v>
      </c>
      <c r="O53" s="69">
        <f t="shared" si="32"/>
        <v>0</v>
      </c>
      <c r="P53" s="69">
        <f>ROUND(($B53*(1-M53)),2)</f>
        <v>2.65</v>
      </c>
      <c r="Q53" s="74" cm="1">
        <f t="array" ref="Q53">SUMPRODUCT(--(Category="Gr_Cat_2"),--(OpCo="Ground"),--(Intl="International"),--(SC_Name="US Inbound Processing Fee"),(SC_Count))</f>
        <v>0</v>
      </c>
      <c r="R53" s="75">
        <f>Q53*N53</f>
        <v>0</v>
      </c>
      <c r="S53" s="75">
        <f t="shared" si="33"/>
        <v>0</v>
      </c>
      <c r="T53" s="75">
        <f>Q53*P53</f>
        <v>0</v>
      </c>
      <c r="U53" s="277" cm="1">
        <f t="array" ref="U53">SUMPRODUCT(--(D_Category="Gr_Cat_3"),--(D_EffDate="Eff_Date_1"),--(D_Product="IG"),--(D_SC_Name="US Inbound Processing Fee"),(D_Percent))</f>
        <v>0</v>
      </c>
      <c r="V53" s="277" cm="1">
        <f t="array" ref="V53">SUMPRODUCT(--(D_Category="Gr_Cat_3"),--(D_EffDate="Eff_Date_2"),--(D_Product="IG"),--(D_SC_Name="US Inbound Processing Fee"),(D_Percent))</f>
        <v>0</v>
      </c>
      <c r="W53" s="69">
        <f>ROUND(($B53*(1-U53)),2)</f>
        <v>2.65</v>
      </c>
      <c r="X53" s="69">
        <f t="shared" si="34"/>
        <v>0</v>
      </c>
      <c r="Y53" s="69">
        <f>ROUND(($B53*(1-V53)),2)</f>
        <v>2.65</v>
      </c>
      <c r="Z53" s="74" cm="1">
        <f t="array" ref="Z53">SUMPRODUCT(--(Category="Gr_Cat_3"),--(OpCo="Ground"),--(Intl="International"),--(SC_Name="US Inbound Processing Fee"),(SC_Count))</f>
        <v>0</v>
      </c>
      <c r="AA53" s="75">
        <f>Z53*W53</f>
        <v>0</v>
      </c>
      <c r="AB53" s="75">
        <f t="shared" si="35"/>
        <v>0</v>
      </c>
      <c r="AC53" s="76">
        <f>Z53*Y53</f>
        <v>0</v>
      </c>
    </row>
    <row r="54" spans="1:29" s="3" customFormat="1" x14ac:dyDescent="0.35">
      <c r="A54" s="71" t="s">
        <v>283</v>
      </c>
      <c r="B54" s="67"/>
      <c r="C54" s="302"/>
      <c r="D54" s="302"/>
      <c r="E54" s="67"/>
      <c r="F54" s="67"/>
      <c r="G54" s="67"/>
      <c r="H54" s="79"/>
      <c r="I54" s="80"/>
      <c r="J54" s="80"/>
      <c r="K54" s="80"/>
      <c r="L54" s="272"/>
      <c r="M54" s="272"/>
      <c r="N54" s="67"/>
      <c r="O54" s="67"/>
      <c r="P54" s="67"/>
      <c r="Q54" s="79"/>
      <c r="R54" s="80"/>
      <c r="S54" s="80"/>
      <c r="T54" s="80"/>
      <c r="U54" s="277"/>
      <c r="V54" s="277"/>
      <c r="W54" s="67"/>
      <c r="X54" s="67"/>
      <c r="Y54" s="67"/>
      <c r="Z54" s="79"/>
      <c r="AA54" s="80"/>
      <c r="AB54" s="80"/>
      <c r="AC54" s="81"/>
    </row>
    <row r="55" spans="1:29" s="3" customFormat="1" x14ac:dyDescent="0.35">
      <c r="A55" s="72" t="s">
        <v>1003</v>
      </c>
      <c r="B55" s="67">
        <v>1.05</v>
      </c>
      <c r="C55" s="302" cm="1">
        <f t="array" ref="C55">SUMPRODUCT(--(D_Category="Gr_Cat_1"),--(D_EffDate="Eff_Date_1"),--(D_Product="GR"),--(D_SC_Name=$A55),(D_Percent))</f>
        <v>0</v>
      </c>
      <c r="D55" s="302" cm="1">
        <f t="array" ref="D55">SUMPRODUCT(--(D_Category="Gr_Cat_1"),--(D_EffDate="Eff_Date_2"),--(D_Product="GR"),--(D_SC_Name=$A55),(D_Percent))</f>
        <v>0</v>
      </c>
      <c r="E55" s="67">
        <f>ROUND(($B55*(1-C55)),2)</f>
        <v>1.05</v>
      </c>
      <c r="F55" s="67">
        <f t="shared" si="30"/>
        <v>0</v>
      </c>
      <c r="G55" s="67">
        <f>ROUND(($B55*(1-D55)),2)</f>
        <v>1.05</v>
      </c>
      <c r="H55" s="79" cm="1">
        <f t="array" ref="H55">SUMPRODUCT(--(Category="Gr_Cat_1"),--(OpCo="Ground"),--(SC_Name=$A55),(SC_Count))</f>
        <v>0</v>
      </c>
      <c r="I55" s="80">
        <f>H55*E55</f>
        <v>0</v>
      </c>
      <c r="J55" s="80">
        <f t="shared" si="31"/>
        <v>0</v>
      </c>
      <c r="K55" s="80">
        <f>H55*G55</f>
        <v>0</v>
      </c>
      <c r="L55" s="272" cm="1">
        <f t="array" ref="L55">SUMPRODUCT(--(D_Category="Gr_Cat_2"),--(D_EffDate="Eff_Date_1"),--(D_Product="GR"),--(D_SC_Name=$A55),(D_Percent))</f>
        <v>0</v>
      </c>
      <c r="M55" s="272" cm="1">
        <f t="array" ref="M55">SUMPRODUCT(--(D_Category="Gr_Cat_2"),--(D_EffDate="Eff_Date_2"),--(D_Product="GR"),--(D_SC_Name=$A55),(D_Percent))</f>
        <v>0</v>
      </c>
      <c r="N55" s="67">
        <f>ROUND(($B55*(1-L55)),2)</f>
        <v>1.05</v>
      </c>
      <c r="O55" s="67">
        <f t="shared" si="32"/>
        <v>0</v>
      </c>
      <c r="P55" s="67">
        <f>ROUND(($B55*(1-M55)),2)</f>
        <v>1.05</v>
      </c>
      <c r="Q55" s="79" cm="1">
        <f t="array" ref="Q55">SUMPRODUCT(--(Category="Gr_Cat_2"),--(OpCo="Ground"),--(SC_Name=$A55),(SC_Count))</f>
        <v>0</v>
      </c>
      <c r="R55" s="80">
        <f>Q55*N55</f>
        <v>0</v>
      </c>
      <c r="S55" s="80">
        <f t="shared" si="33"/>
        <v>0</v>
      </c>
      <c r="T55" s="80">
        <f>Q55*P55</f>
        <v>0</v>
      </c>
      <c r="U55" s="277" cm="1">
        <f t="array" ref="U55">SUMPRODUCT(--(D_Category="Gr_Cat_3"),--(D_EffDate="Eff_Date_1"),--(D_Product="GR"),--(D_SC_Name=$A55),(D_Percent))</f>
        <v>0</v>
      </c>
      <c r="V55" s="277" cm="1">
        <f t="array" ref="V55">SUMPRODUCT(--(D_Category="Gr_Cat_3"),--(D_EffDate="Eff_Date_2"),--(D_Product="GR"),--(D_SC_Name=$A55),(D_Percent))</f>
        <v>0</v>
      </c>
      <c r="W55" s="67">
        <f>ROUND(($B55*(1-U55)),2)</f>
        <v>1.05</v>
      </c>
      <c r="X55" s="67">
        <f t="shared" si="34"/>
        <v>0</v>
      </c>
      <c r="Y55" s="67">
        <f>ROUND(($B55*(1-V55)),2)</f>
        <v>1.05</v>
      </c>
      <c r="Z55" s="79" cm="1">
        <f t="array" ref="Z55">SUMPRODUCT(--(Category="Gr_Cat_3"),--(OpCo="Ground"),--(SC_Name=$A55),(SC_Count))</f>
        <v>0</v>
      </c>
      <c r="AA55" s="80">
        <f>Z55*W55</f>
        <v>0</v>
      </c>
      <c r="AB55" s="80">
        <f t="shared" si="35"/>
        <v>0</v>
      </c>
      <c r="AC55" s="81">
        <f>Z55*Y55</f>
        <v>0</v>
      </c>
    </row>
    <row r="56" spans="1:29" s="3" customFormat="1" x14ac:dyDescent="0.35">
      <c r="A56" s="72" t="s">
        <v>1005</v>
      </c>
      <c r="B56" s="67">
        <v>1.05</v>
      </c>
      <c r="C56" s="302" cm="1">
        <f t="array" ref="C56">SUMPRODUCT(--(D_Category="Gr_Cat_1"),--(D_EffDate="Eff_Date_1"),--(D_Product="GR"),--(D_SC_Name=$A56),(D_Percent))</f>
        <v>0</v>
      </c>
      <c r="D56" s="302" cm="1">
        <f t="array" ref="D56">SUMPRODUCT(--(D_Category="Gr_Cat_1"),--(D_EffDate="Eff_Date_2"),--(D_Product="GR"),--(D_SC_Name=$A56),(D_Percent))</f>
        <v>0</v>
      </c>
      <c r="E56" s="67">
        <f>ROUND(($B56*(1-C56)),2)</f>
        <v>1.05</v>
      </c>
      <c r="F56" s="67">
        <f t="shared" si="30"/>
        <v>0</v>
      </c>
      <c r="G56" s="67">
        <f>ROUND(($B56*(1-D56)),2)</f>
        <v>1.05</v>
      </c>
      <c r="H56" s="79" cm="1">
        <f t="array" ref="H56">SUMPRODUCT(--(Category="Gr_Cat_1"),--(OpCo="Ground"),--(SC_Name=$A56),(SC_Count))</f>
        <v>0</v>
      </c>
      <c r="I56" s="80">
        <f>H56*E56</f>
        <v>0</v>
      </c>
      <c r="J56" s="80">
        <f t="shared" si="31"/>
        <v>0</v>
      </c>
      <c r="K56" s="80">
        <f>H56*G56</f>
        <v>0</v>
      </c>
      <c r="L56" s="272" cm="1">
        <f t="array" ref="L56">SUMPRODUCT(--(D_Category="Gr_Cat_2"),--(D_EffDate="Eff_Date_1"),--(D_Product="GR"),--(D_SC_Name=$A56),(D_Percent))</f>
        <v>0</v>
      </c>
      <c r="M56" s="272" cm="1">
        <f t="array" ref="M56">SUMPRODUCT(--(D_Category="Gr_Cat_2"),--(D_EffDate="Eff_Date_2"),--(D_Product="GR"),--(D_SC_Name=$A56),(D_Percent))</f>
        <v>0</v>
      </c>
      <c r="N56" s="67">
        <f>ROUND(($B56*(1-L56)),2)</f>
        <v>1.05</v>
      </c>
      <c r="O56" s="67">
        <f t="shared" si="32"/>
        <v>0</v>
      </c>
      <c r="P56" s="67">
        <f>ROUND(($B56*(1-M56)),2)</f>
        <v>1.05</v>
      </c>
      <c r="Q56" s="79" cm="1">
        <f t="array" ref="Q56">SUMPRODUCT(--(Category="Gr_Cat_2"),--(OpCo="Ground"),--(SC_Name=$A56),(SC_Count))</f>
        <v>0</v>
      </c>
      <c r="R56" s="80">
        <f>Q56*N56</f>
        <v>0</v>
      </c>
      <c r="S56" s="80">
        <f t="shared" si="33"/>
        <v>0</v>
      </c>
      <c r="T56" s="80">
        <f>Q56*P56</f>
        <v>0</v>
      </c>
      <c r="U56" s="277" cm="1">
        <f t="array" ref="U56">SUMPRODUCT(--(D_Category="Gr_Cat_3"),--(D_EffDate="Eff_Date_1"),--(D_Product="GR"),--(D_SC_Name=$A56),(D_Percent))</f>
        <v>0</v>
      </c>
      <c r="V56" s="277" cm="1">
        <f t="array" ref="V56">SUMPRODUCT(--(D_Category="Gr_Cat_3"),--(D_EffDate="Eff_Date_2"),--(D_Product="GR"),--(D_SC_Name=$A56),(D_Percent))</f>
        <v>0</v>
      </c>
      <c r="W56" s="67">
        <f>ROUND(($B56*(1-U56)),2)</f>
        <v>1.05</v>
      </c>
      <c r="X56" s="67">
        <f t="shared" si="34"/>
        <v>0</v>
      </c>
      <c r="Y56" s="67">
        <f>ROUND(($B56*(1-V56)),2)</f>
        <v>1.05</v>
      </c>
      <c r="Z56" s="79" cm="1">
        <f t="array" ref="Z56">SUMPRODUCT(--(Category="Gr_Cat_3"),--(OpCo="Ground"),--(SC_Name=$A56),(SC_Count))</f>
        <v>0</v>
      </c>
      <c r="AA56" s="80">
        <f>Z56*W56</f>
        <v>0</v>
      </c>
      <c r="AB56" s="80">
        <f t="shared" si="35"/>
        <v>0</v>
      </c>
      <c r="AC56" s="81">
        <f>Z56*Y56</f>
        <v>0</v>
      </c>
    </row>
    <row r="57" spans="1:29" s="3" customFormat="1" x14ac:dyDescent="0.35">
      <c r="A57" s="70" t="s">
        <v>884</v>
      </c>
      <c r="B57" s="69">
        <v>1875</v>
      </c>
      <c r="C57" s="302" cm="1">
        <f t="array" ref="C57">SUMPRODUCT(--(D_Category="Gr_Cat_1"),--(D_EffDate="Eff_Date_1"),--(D_Product="GR"),--(D_SC_Name=$A57),(D_Percent))</f>
        <v>0</v>
      </c>
      <c r="D57" s="302" cm="1">
        <f t="array" ref="D57">SUMPRODUCT(--(D_Category="Gr_Cat_1"),--(D_EffDate="Eff_Date_2"),--(D_Product="GR"),--(D_SC_Name=$A57),(D_Percent))</f>
        <v>0</v>
      </c>
      <c r="E57" s="69">
        <f>ROUND(($B57*(1-C57)),2)</f>
        <v>1875</v>
      </c>
      <c r="F57" s="69">
        <f t="shared" si="30"/>
        <v>0</v>
      </c>
      <c r="G57" s="69">
        <f>ROUND(($B57*(1-D57)),2)</f>
        <v>1875</v>
      </c>
      <c r="H57" s="74" cm="1">
        <f t="array" ref="H57">SUMPRODUCT(--(Category="Gr_Cat_1"),--(OpCo="Ground"),--(SC_Name=A57),(SC_Count))</f>
        <v>0</v>
      </c>
      <c r="I57" s="75">
        <f>H57*E57</f>
        <v>0</v>
      </c>
      <c r="J57" s="75">
        <f t="shared" si="31"/>
        <v>0</v>
      </c>
      <c r="K57" s="75">
        <f>H57*G57</f>
        <v>0</v>
      </c>
      <c r="L57" s="272" cm="1">
        <f t="array" ref="L57">SUMPRODUCT(--(D_Category="Gr_Cat_2"),--(D_EffDate="Eff_Date_1"),--(D_Product="GR"),--(D_SC_Name=$A57),(D_Percent))</f>
        <v>0</v>
      </c>
      <c r="M57" s="272" cm="1">
        <f t="array" ref="M57">SUMPRODUCT(--(D_Category="Gr_Cat_2"),--(D_EffDate="Eff_Date_2"),--(D_Product="GR"),--(D_SC_Name=$A57),(D_Percent))</f>
        <v>0</v>
      </c>
      <c r="N57" s="69">
        <f>ROUND(($B57*(1-L57)),2)</f>
        <v>1875</v>
      </c>
      <c r="O57" s="69">
        <f t="shared" si="32"/>
        <v>0</v>
      </c>
      <c r="P57" s="69">
        <f>ROUND(($B57*(1-M57)),2)</f>
        <v>1875</v>
      </c>
      <c r="Q57" s="74" cm="1">
        <f t="array" ref="Q57">SUMPRODUCT(--(Category="Gr_Cat_2"),--(OpCo="Ground"),--(SC_Name=A57),(SC_Count))</f>
        <v>0</v>
      </c>
      <c r="R57" s="75">
        <f>Q57*N57</f>
        <v>0</v>
      </c>
      <c r="S57" s="75">
        <f t="shared" si="33"/>
        <v>0</v>
      </c>
      <c r="T57" s="75">
        <f>Q57*P57</f>
        <v>0</v>
      </c>
      <c r="U57" s="277" cm="1">
        <f t="array" ref="U57">SUMPRODUCT(--(D_Category="Gr_Cat_3"),--(D_EffDate="Eff_Date_1"),--(D_Product="GR"),--(D_SC_Name=$A57),(D_Percent))</f>
        <v>0</v>
      </c>
      <c r="V57" s="277" cm="1">
        <f t="array" ref="V57">SUMPRODUCT(--(D_Category="Gr_Cat_3"),--(D_EffDate="Eff_Date_2"),--(D_Product="GR"),--(D_SC_Name=$A57),(D_Percent))</f>
        <v>0</v>
      </c>
      <c r="W57" s="69">
        <f>ROUND(($B57*(1-U57)),2)</f>
        <v>1875</v>
      </c>
      <c r="X57" s="69">
        <f t="shared" si="34"/>
        <v>0</v>
      </c>
      <c r="Y57" s="69">
        <f>ROUND(($B57*(1-V57)),2)</f>
        <v>1875</v>
      </c>
      <c r="Z57" s="74" cm="1">
        <f t="array" ref="Z57">SUMPRODUCT(--(Category="Gr_Cat_3"),--(OpCo="Ground"),--(SC_Name=$A57),(SC_Count))</f>
        <v>0</v>
      </c>
      <c r="AA57" s="75">
        <f>Z57*W57</f>
        <v>0</v>
      </c>
      <c r="AB57" s="75">
        <f t="shared" si="35"/>
        <v>0</v>
      </c>
      <c r="AC57" s="76">
        <f>Z57*Y57</f>
        <v>0</v>
      </c>
    </row>
    <row r="58" spans="1:29" s="3" customFormat="1" ht="15" customHeight="1" x14ac:dyDescent="0.35">
      <c r="A58" s="620" t="s">
        <v>1743</v>
      </c>
      <c r="B58" s="620"/>
      <c r="C58" s="620"/>
      <c r="D58" s="620"/>
      <c r="E58" s="620"/>
      <c r="F58" s="620"/>
      <c r="G58" s="620"/>
      <c r="H58" s="620"/>
      <c r="I58" s="620"/>
      <c r="J58" s="620"/>
      <c r="K58" s="620"/>
      <c r="L58" s="473"/>
      <c r="M58" s="473"/>
      <c r="N58" s="473"/>
      <c r="O58" s="458"/>
      <c r="P58" s="458"/>
      <c r="Q58" s="458"/>
      <c r="R58" s="458"/>
      <c r="S58" s="458"/>
      <c r="T58" s="458"/>
      <c r="U58" s="458"/>
      <c r="V58" s="458"/>
      <c r="W58" s="458"/>
      <c r="X58" s="458"/>
      <c r="Y58" s="458"/>
      <c r="Z58" s="458"/>
      <c r="AA58" s="458"/>
      <c r="AB58" s="458"/>
      <c r="AC58" s="458"/>
    </row>
    <row r="59" spans="1:29" s="3" customFormat="1" x14ac:dyDescent="0.35">
      <c r="A59" s="621"/>
      <c r="B59" s="621"/>
      <c r="C59" s="621"/>
      <c r="D59" s="621"/>
      <c r="E59" s="621"/>
      <c r="F59" s="621"/>
      <c r="G59" s="621"/>
      <c r="H59" s="621"/>
      <c r="I59" s="621"/>
      <c r="J59" s="621"/>
      <c r="K59" s="621"/>
      <c r="L59" s="457"/>
      <c r="M59" s="457"/>
      <c r="N59" s="457"/>
      <c r="O59" s="268"/>
      <c r="P59" s="268"/>
      <c r="Q59" s="268"/>
      <c r="R59" s="268"/>
      <c r="S59" s="268"/>
      <c r="T59" s="268"/>
      <c r="U59" s="268"/>
      <c r="V59" s="268"/>
      <c r="W59" s="268"/>
      <c r="X59" s="268"/>
      <c r="Y59" s="268"/>
      <c r="Z59" s="268"/>
      <c r="AA59" s="268"/>
      <c r="AB59" s="268"/>
      <c r="AC59" s="268"/>
    </row>
    <row r="60" spans="1:29" s="3" customFormat="1" x14ac:dyDescent="0.35">
      <c r="A60" s="621"/>
      <c r="B60" s="621"/>
      <c r="C60" s="621"/>
      <c r="D60" s="621"/>
      <c r="E60" s="621"/>
      <c r="F60" s="621"/>
      <c r="G60" s="621"/>
      <c r="H60" s="621"/>
      <c r="I60" s="621"/>
      <c r="J60" s="621"/>
      <c r="K60" s="621"/>
      <c r="L60" s="457"/>
      <c r="M60" s="457"/>
      <c r="N60" s="457"/>
      <c r="O60" s="268"/>
      <c r="P60" s="268"/>
      <c r="Q60" s="268"/>
      <c r="R60" s="268"/>
      <c r="S60" s="268"/>
      <c r="T60" s="268"/>
      <c r="U60" s="268"/>
      <c r="V60" s="268"/>
      <c r="W60" s="268"/>
      <c r="X60" s="268"/>
      <c r="Y60" s="268"/>
      <c r="Z60" s="268"/>
      <c r="AA60" s="268"/>
      <c r="AB60" s="268"/>
      <c r="AC60" s="268"/>
    </row>
    <row r="61" spans="1:29" s="3" customFormat="1" x14ac:dyDescent="0.35">
      <c r="A61" s="621"/>
      <c r="B61" s="621"/>
      <c r="C61" s="621"/>
      <c r="D61" s="621"/>
      <c r="E61" s="621"/>
      <c r="F61" s="621"/>
      <c r="G61" s="621"/>
      <c r="H61" s="621"/>
      <c r="I61" s="621"/>
      <c r="J61" s="621"/>
      <c r="K61" s="621"/>
      <c r="L61" s="457"/>
      <c r="M61" s="457"/>
      <c r="N61" s="457"/>
      <c r="O61" s="268"/>
      <c r="P61" s="268"/>
      <c r="Q61" s="268"/>
      <c r="R61" s="268"/>
      <c r="S61" s="268"/>
      <c r="T61" s="268"/>
      <c r="U61" s="268"/>
      <c r="V61" s="268"/>
      <c r="W61" s="268"/>
      <c r="X61" s="268"/>
      <c r="Y61" s="268"/>
      <c r="Z61" s="268"/>
      <c r="AA61" s="268"/>
      <c r="AB61" s="268"/>
      <c r="AC61" s="268"/>
    </row>
    <row r="62" spans="1:29" s="3" customFormat="1" x14ac:dyDescent="0.35">
      <c r="A62" s="621"/>
      <c r="B62" s="621"/>
      <c r="C62" s="621"/>
      <c r="D62" s="621"/>
      <c r="E62" s="621"/>
      <c r="F62" s="621"/>
      <c r="G62" s="621"/>
      <c r="H62" s="621"/>
      <c r="I62" s="621"/>
      <c r="J62" s="621"/>
      <c r="K62" s="621"/>
      <c r="L62" s="457"/>
      <c r="M62" s="457"/>
      <c r="N62" s="457"/>
      <c r="O62" s="268"/>
      <c r="P62" s="268"/>
      <c r="Q62" s="268"/>
      <c r="R62" s="268"/>
      <c r="S62" s="268"/>
      <c r="T62" s="268"/>
      <c r="U62" s="268"/>
      <c r="V62" s="268"/>
      <c r="W62" s="268"/>
      <c r="X62" s="268"/>
      <c r="Y62" s="268"/>
      <c r="Z62" s="268"/>
      <c r="AA62" s="268"/>
      <c r="AB62" s="268"/>
      <c r="AC62" s="268"/>
    </row>
    <row r="63" spans="1:29" s="3" customFormat="1" x14ac:dyDescent="0.35">
      <c r="A63" s="621"/>
      <c r="B63" s="621"/>
      <c r="C63" s="621"/>
      <c r="D63" s="621"/>
      <c r="E63" s="621"/>
      <c r="F63" s="621"/>
      <c r="G63" s="621"/>
      <c r="H63" s="621"/>
      <c r="I63" s="621"/>
      <c r="J63" s="621"/>
      <c r="K63" s="621"/>
      <c r="L63" s="457"/>
      <c r="M63" s="457"/>
      <c r="N63" s="457"/>
      <c r="O63" s="268"/>
      <c r="P63" s="268"/>
      <c r="Q63" s="268"/>
      <c r="R63" s="268"/>
      <c r="S63" s="268"/>
      <c r="T63" s="268"/>
      <c r="U63" s="268"/>
      <c r="V63" s="268"/>
      <c r="W63" s="268"/>
      <c r="X63" s="268"/>
      <c r="Y63" s="268"/>
      <c r="Z63" s="268"/>
      <c r="AA63" s="268"/>
      <c r="AB63" s="268"/>
      <c r="AC63" s="268"/>
    </row>
    <row r="64" spans="1:29" s="3" customFormat="1" x14ac:dyDescent="0.35">
      <c r="A64" s="621"/>
      <c r="B64" s="621"/>
      <c r="C64" s="621"/>
      <c r="D64" s="621"/>
      <c r="E64" s="621"/>
      <c r="F64" s="621"/>
      <c r="G64" s="621"/>
      <c r="H64" s="621"/>
      <c r="I64" s="621"/>
      <c r="J64" s="621"/>
      <c r="K64" s="621"/>
      <c r="L64" s="457"/>
      <c r="M64" s="457"/>
      <c r="N64" s="457"/>
      <c r="O64" s="268"/>
      <c r="P64" s="268"/>
      <c r="Q64" s="268"/>
      <c r="R64" s="268"/>
      <c r="S64" s="268"/>
      <c r="T64" s="268"/>
      <c r="U64" s="268"/>
      <c r="V64" s="268"/>
      <c r="W64" s="268"/>
      <c r="X64" s="268"/>
      <c r="Y64" s="268"/>
      <c r="Z64" s="268"/>
      <c r="AA64" s="268"/>
      <c r="AB64" s="268"/>
      <c r="AC64" s="268"/>
    </row>
    <row r="65" spans="1:29" s="3" customFormat="1" x14ac:dyDescent="0.35">
      <c r="A65" s="621"/>
      <c r="B65" s="621"/>
      <c r="C65" s="621"/>
      <c r="D65" s="621"/>
      <c r="E65" s="621"/>
      <c r="F65" s="621"/>
      <c r="G65" s="621"/>
      <c r="H65" s="621"/>
      <c r="I65" s="621"/>
      <c r="J65" s="621"/>
      <c r="K65" s="621"/>
      <c r="L65" s="457"/>
      <c r="M65" s="457"/>
      <c r="N65" s="457"/>
      <c r="O65" s="268"/>
      <c r="P65" s="268"/>
      <c r="Q65" s="268"/>
      <c r="R65" s="268"/>
      <c r="S65" s="268"/>
      <c r="T65" s="268"/>
      <c r="U65" s="268"/>
      <c r="V65" s="268"/>
      <c r="W65" s="268"/>
      <c r="X65" s="268"/>
      <c r="Y65" s="268"/>
      <c r="Z65" s="268"/>
      <c r="AA65" s="268"/>
      <c r="AB65" s="268"/>
      <c r="AC65" s="268"/>
    </row>
    <row r="66" spans="1:29" s="3" customFormat="1" x14ac:dyDescent="0.35">
      <c r="A66" s="621"/>
      <c r="B66" s="621"/>
      <c r="C66" s="621"/>
      <c r="D66" s="621"/>
      <c r="E66" s="621"/>
      <c r="F66" s="621"/>
      <c r="G66" s="621"/>
      <c r="H66" s="621"/>
      <c r="I66" s="621"/>
      <c r="J66" s="621"/>
      <c r="K66" s="621"/>
      <c r="L66" s="457"/>
      <c r="M66" s="457"/>
      <c r="N66" s="457"/>
      <c r="O66" s="268"/>
      <c r="P66" s="268"/>
      <c r="Q66" s="268"/>
      <c r="R66" s="268"/>
      <c r="S66" s="268"/>
      <c r="T66" s="268"/>
      <c r="U66" s="268"/>
      <c r="V66" s="268"/>
      <c r="W66" s="268"/>
      <c r="X66" s="268"/>
      <c r="Y66" s="268"/>
      <c r="Z66" s="268"/>
      <c r="AA66" s="268"/>
      <c r="AB66" s="268"/>
      <c r="AC66" s="268"/>
    </row>
  </sheetData>
  <mergeCells count="7">
    <mergeCell ref="A1:K1"/>
    <mergeCell ref="A58:K66"/>
    <mergeCell ref="U2:AC2"/>
    <mergeCell ref="C2:K2"/>
    <mergeCell ref="L2:T2"/>
    <mergeCell ref="B5:D5"/>
    <mergeCell ref="B47:D47"/>
  </mergeCells>
  <pageMargins left="0.25" right="0.25"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30821-D321-4624-8436-877DC6BF01A1}">
  <sheetPr codeName="Sheet8">
    <tabColor theme="7"/>
  </sheetPr>
  <dimension ref="A1:BK21"/>
  <sheetViews>
    <sheetView zoomScaleNormal="100" workbookViewId="0">
      <selection sqref="A1:K1"/>
    </sheetView>
  </sheetViews>
  <sheetFormatPr defaultColWidth="9.1796875" defaultRowHeight="14.5" x14ac:dyDescent="0.35"/>
  <cols>
    <col min="1" max="1" width="38.7265625" bestFit="1" customWidth="1"/>
    <col min="2" max="2" width="9.54296875" customWidth="1"/>
    <col min="3" max="4" width="11.1796875" customWidth="1"/>
    <col min="5" max="5" width="8.81640625" bestFit="1" customWidth="1"/>
    <col min="6" max="7" width="8.81640625" customWidth="1"/>
    <col min="8" max="8" width="11.81640625" bestFit="1" customWidth="1"/>
    <col min="9" max="9" width="13.26953125" bestFit="1" customWidth="1"/>
    <col min="10" max="10" width="12.1796875" bestFit="1" customWidth="1"/>
    <col min="11" max="11" width="13.26953125" bestFit="1" customWidth="1"/>
    <col min="12" max="13" width="8.7265625" hidden="1" customWidth="1"/>
    <col min="14" max="16" width="8.81640625" hidden="1" customWidth="1"/>
    <col min="17" max="17" width="11.81640625" style="3" hidden="1" customWidth="1"/>
    <col min="18" max="20" width="11.7265625" style="3" hidden="1" customWidth="1"/>
    <col min="21" max="22" width="8.7265625" style="3" hidden="1" customWidth="1"/>
    <col min="23" max="25" width="8.81640625" style="3" hidden="1" customWidth="1"/>
    <col min="26" max="28" width="11.81640625" style="3" hidden="1" customWidth="1"/>
    <col min="29" max="29" width="10.26953125" style="3" hidden="1" customWidth="1"/>
    <col min="30" max="63" width="9.1796875" style="3"/>
  </cols>
  <sheetData>
    <row r="1" spans="1:29" ht="26" x14ac:dyDescent="0.6">
      <c r="A1" s="632" t="s">
        <v>943</v>
      </c>
      <c r="B1" s="633"/>
      <c r="C1" s="633"/>
      <c r="D1" s="633"/>
      <c r="E1" s="633"/>
      <c r="F1" s="633"/>
      <c r="G1" s="633"/>
      <c r="H1" s="633"/>
      <c r="I1" s="633"/>
      <c r="J1" s="633"/>
      <c r="K1" s="633"/>
      <c r="L1" s="307"/>
      <c r="M1" s="307"/>
      <c r="N1" s="307"/>
      <c r="O1" s="307"/>
      <c r="P1" s="307"/>
      <c r="Q1" s="307"/>
      <c r="R1" s="307"/>
      <c r="S1" s="307"/>
      <c r="T1" s="307"/>
      <c r="U1" s="307"/>
      <c r="V1" s="307"/>
      <c r="W1" s="307"/>
      <c r="X1" s="307"/>
      <c r="Y1" s="307"/>
      <c r="Z1" s="307"/>
      <c r="AA1" s="307"/>
      <c r="AB1" s="307"/>
      <c r="AC1" s="308"/>
    </row>
    <row r="2" spans="1:29" ht="23.5" x14ac:dyDescent="0.55000000000000004">
      <c r="A2" s="306"/>
      <c r="B2" s="385"/>
      <c r="C2" s="640" t="s">
        <v>1341</v>
      </c>
      <c r="D2" s="641"/>
      <c r="E2" s="641"/>
      <c r="F2" s="641"/>
      <c r="G2" s="641"/>
      <c r="H2" s="641"/>
      <c r="I2" s="641"/>
      <c r="J2" s="641"/>
      <c r="K2" s="642"/>
      <c r="L2" s="637" t="s">
        <v>1350</v>
      </c>
      <c r="M2" s="638"/>
      <c r="N2" s="638"/>
      <c r="O2" s="638"/>
      <c r="P2" s="638"/>
      <c r="Q2" s="638"/>
      <c r="R2" s="638"/>
      <c r="S2" s="638"/>
      <c r="T2" s="639"/>
      <c r="U2" s="634" t="s">
        <v>1351</v>
      </c>
      <c r="V2" s="635"/>
      <c r="W2" s="635"/>
      <c r="X2" s="635"/>
      <c r="Y2" s="635"/>
      <c r="Z2" s="635"/>
      <c r="AA2" s="635"/>
      <c r="AB2" s="635"/>
      <c r="AC2" s="636"/>
    </row>
    <row r="3" spans="1:29" ht="29" x14ac:dyDescent="0.35">
      <c r="A3" s="305" t="s">
        <v>345</v>
      </c>
      <c r="B3" s="381" t="s">
        <v>1739</v>
      </c>
      <c r="C3" s="401" t="s">
        <v>1712</v>
      </c>
      <c r="D3" s="405" t="s">
        <v>1714</v>
      </c>
      <c r="E3" s="405" t="s">
        <v>1709</v>
      </c>
      <c r="F3" s="401" t="s">
        <v>1427</v>
      </c>
      <c r="G3" s="406" t="s">
        <v>1715</v>
      </c>
      <c r="H3" s="407" t="s">
        <v>9</v>
      </c>
      <c r="I3" s="407" t="s">
        <v>1711</v>
      </c>
      <c r="J3" s="407" t="s">
        <v>1427</v>
      </c>
      <c r="K3" s="407" t="s">
        <v>1713</v>
      </c>
      <c r="L3" s="387" t="s">
        <v>1712</v>
      </c>
      <c r="M3" s="388" t="s">
        <v>1714</v>
      </c>
      <c r="N3" s="388" t="s">
        <v>1709</v>
      </c>
      <c r="O3" s="387" t="s">
        <v>1427</v>
      </c>
      <c r="P3" s="389" t="s">
        <v>1715</v>
      </c>
      <c r="Q3" s="390" t="s">
        <v>9</v>
      </c>
      <c r="R3" s="390" t="s">
        <v>1711</v>
      </c>
      <c r="S3" s="390" t="s">
        <v>1427</v>
      </c>
      <c r="T3" s="390" t="s">
        <v>1713</v>
      </c>
      <c r="U3" s="397" t="s">
        <v>1712</v>
      </c>
      <c r="V3" s="398" t="s">
        <v>1714</v>
      </c>
      <c r="W3" s="398" t="s">
        <v>1709</v>
      </c>
      <c r="X3" s="397" t="s">
        <v>1427</v>
      </c>
      <c r="Y3" s="399" t="s">
        <v>1715</v>
      </c>
      <c r="Z3" s="400" t="s">
        <v>9</v>
      </c>
      <c r="AA3" s="400" t="s">
        <v>1711</v>
      </c>
      <c r="AB3" s="400" t="s">
        <v>1427</v>
      </c>
      <c r="AC3" s="400" t="s">
        <v>1713</v>
      </c>
    </row>
    <row r="4" spans="1:29" x14ac:dyDescent="0.35">
      <c r="A4" s="70" t="s">
        <v>944</v>
      </c>
      <c r="B4" s="83">
        <v>1.1499999999999999</v>
      </c>
      <c r="C4" s="402" cm="1">
        <f t="array" ref="C4">SUMPRODUCT(--(D_Category="Gr_Cat_1"),--(D_EffDate="Eff_Date_1"),--(D_Product="GE"),--(D_SC_Name=$A4),(D_Percent))</f>
        <v>0</v>
      </c>
      <c r="D4" s="402" cm="1">
        <f t="array" ref="D4">SUMPRODUCT(--(D_Category="Gr_Cat_1"),--(D_EffDate="Eff_Date_2"),--(D_Product="GE"),--(D_SC_Name=$A4),(D_Percent))</f>
        <v>0</v>
      </c>
      <c r="E4" s="83">
        <f>ROUND(($B4*(1-C4)),2)</f>
        <v>1.1499999999999999</v>
      </c>
      <c r="F4" s="83">
        <f>G4-E4</f>
        <v>0</v>
      </c>
      <c r="G4" s="83">
        <f>ROUND(($B4*(1-D4)),2)</f>
        <v>1.1499999999999999</v>
      </c>
      <c r="H4" s="124" cm="1">
        <f t="array" ref="H4">SUMPRODUCT(--(Category="Gr_Cat_1"),--(OpCo="Ground Eco"),--(SC_Name=$A4),(SC_Count))</f>
        <v>0</v>
      </c>
      <c r="I4" s="83">
        <f>E4*H4</f>
        <v>0</v>
      </c>
      <c r="J4" s="83">
        <f>K4-I4</f>
        <v>0</v>
      </c>
      <c r="K4" s="83">
        <f>G4*H4</f>
        <v>0</v>
      </c>
      <c r="L4" s="391" cm="1">
        <f t="array" ref="L4">SUMPRODUCT(--(D_Category="Gr_Cat_2"),--(D_EffDate="Eff_Date_1"),--(D_Product="GE"),--(D_SC_Name=$A4),(D_Percent))</f>
        <v>0</v>
      </c>
      <c r="M4" s="391" cm="1">
        <f t="array" ref="M4">SUMPRODUCT(--(D_Category="Gr_Cat_2"),--(D_EffDate="Eff_Date_2"),--(D_Product="GE"),--(D_SC_Name=$A4),(D_Percent))</f>
        <v>0</v>
      </c>
      <c r="N4" s="83">
        <f>ROUND(($B4*(1-L4)),2)</f>
        <v>1.1499999999999999</v>
      </c>
      <c r="O4" s="83">
        <f>P4-N4</f>
        <v>0</v>
      </c>
      <c r="P4" s="83">
        <f>ROUND(($B4*(1-M4)),2)</f>
        <v>1.1499999999999999</v>
      </c>
      <c r="Q4" s="124" cm="1">
        <f t="array" ref="Q4">SUMPRODUCT(--(Category="Gr_Cat_2"),--(OpCo="Ground Eco"),--(SC_Name=$A4),(SC_Count))</f>
        <v>0</v>
      </c>
      <c r="R4" s="83">
        <f>N4*Q4</f>
        <v>0</v>
      </c>
      <c r="S4" s="83">
        <f>T4-R4</f>
        <v>0</v>
      </c>
      <c r="T4" s="83">
        <f>P4*Q4</f>
        <v>0</v>
      </c>
      <c r="U4" s="394" cm="1">
        <f t="array" ref="U4">SUMPRODUCT(--(D_Category="Gr_Cat_3"),--(D_EffDate="Eff_Date_1"),--(D_Product="GE"),--(D_SC_Name=$A4),(D_Percent))</f>
        <v>0</v>
      </c>
      <c r="V4" s="394" cm="1">
        <f t="array" ref="V4">SUMPRODUCT(--(D_Category="Gr_Cat_3"),--(D_EffDate="Eff_Date_2"),--(D_Product="GE"),--(D_SC_Name=$A4),(D_Percent))</f>
        <v>0</v>
      </c>
      <c r="W4" s="83">
        <f>ROUND(($B4*(1-U4)),2)</f>
        <v>1.1499999999999999</v>
      </c>
      <c r="X4" s="83">
        <f>Y4-W4</f>
        <v>0</v>
      </c>
      <c r="Y4" s="83">
        <f>ROUND(($B4*(1-V4)),2)</f>
        <v>1.1499999999999999</v>
      </c>
      <c r="Z4" s="124" cm="1">
        <f t="array" ref="Z4">SUMPRODUCT(--(Category="Gr_Cat_3"),--(OpCo="Ground Eco"),--(SC_Name=$A4),(SC_Count))</f>
        <v>0</v>
      </c>
      <c r="AA4" s="83">
        <f>W4*Z4</f>
        <v>0</v>
      </c>
      <c r="AB4" s="83">
        <f>AC4-AA4</f>
        <v>0</v>
      </c>
      <c r="AC4" s="83">
        <f>Y4*Z4</f>
        <v>0</v>
      </c>
    </row>
    <row r="5" spans="1:29" x14ac:dyDescent="0.35">
      <c r="A5" s="71" t="s">
        <v>69</v>
      </c>
      <c r="B5" s="153"/>
      <c r="C5" s="403"/>
      <c r="D5" s="403"/>
      <c r="E5" s="154"/>
      <c r="F5" s="154"/>
      <c r="G5" s="154"/>
      <c r="H5" s="155"/>
      <c r="I5" s="153"/>
      <c r="J5" s="153"/>
      <c r="K5" s="153"/>
      <c r="L5" s="392"/>
      <c r="M5" s="392"/>
      <c r="N5" s="154"/>
      <c r="O5" s="154"/>
      <c r="P5" s="154"/>
      <c r="Q5" s="155"/>
      <c r="R5" s="153"/>
      <c r="S5" s="153"/>
      <c r="T5" s="153"/>
      <c r="U5" s="395"/>
      <c r="V5" s="395"/>
      <c r="W5" s="154"/>
      <c r="X5" s="154"/>
      <c r="Y5" s="154"/>
      <c r="Z5" s="155"/>
      <c r="AA5" s="153"/>
      <c r="AB5" s="153"/>
      <c r="AC5" s="153"/>
    </row>
    <row r="6" spans="1:29" x14ac:dyDescent="0.35">
      <c r="A6" s="72" t="s">
        <v>336</v>
      </c>
      <c r="B6" s="153">
        <v>6.6</v>
      </c>
      <c r="C6" s="403" cm="1">
        <f t="array" ref="C6">SUMPRODUCT(--(D_Category="Gr_Cat_1"),--(D_EffDate="Eff_Date_1"),--(D_Product="GE"),--(D_SC_Name=$A6),(D_Percent))</f>
        <v>0</v>
      </c>
      <c r="D6" s="403" cm="1">
        <f t="array" ref="D6">SUMPRODUCT(--(D_Category="Gr_Cat_1"),--(D_EffDate="Eff_Date_2"),--(D_Product="GE"),--(D_SC_Name=$A6),(D_Percent))</f>
        <v>0</v>
      </c>
      <c r="E6" s="153">
        <f>ROUND(($B6*(1-C6)),2)</f>
        <v>6.6</v>
      </c>
      <c r="F6" s="153">
        <f t="shared" ref="F6:F12" si="0">G6-E6</f>
        <v>0</v>
      </c>
      <c r="G6" s="153">
        <f>ROUND(($B6*(1-D6)),2)</f>
        <v>6.6</v>
      </c>
      <c r="H6" s="155" cm="1">
        <f t="array" ref="H6">SUMPRODUCT(--(Category="Gr_Cat_1"),--(OpCo="Ground Eco"),--(SC_Name=$A6),(SC_Count))</f>
        <v>0</v>
      </c>
      <c r="I6" s="153">
        <f>E6*H6</f>
        <v>0</v>
      </c>
      <c r="J6" s="153">
        <f t="shared" ref="J6:J12" si="1">K6-I6</f>
        <v>0</v>
      </c>
      <c r="K6" s="153">
        <f t="shared" ref="K6:K12" si="2">G6*H6</f>
        <v>0</v>
      </c>
      <c r="L6" s="392" cm="1">
        <f t="array" ref="L6">SUMPRODUCT(--(D_Category="Gr_Cat_2"),--(D_EffDate="Eff_Date_1"),--(D_Product="GE"),--(D_SC_Name=$A6),(D_Percent))</f>
        <v>0</v>
      </c>
      <c r="M6" s="392" cm="1">
        <f t="array" ref="M6">SUMPRODUCT(--(D_Category="Gr_Cat_2"),--(D_EffDate="Eff_Date_2"),--(D_Product="GE"),--(D_SC_Name=$A6),(D_Percent))</f>
        <v>0</v>
      </c>
      <c r="N6" s="153">
        <f>ROUND(($B6*(1-L6)),2)</f>
        <v>6.6</v>
      </c>
      <c r="O6" s="153">
        <f t="shared" ref="O6:O12" si="3">P6-N6</f>
        <v>0</v>
      </c>
      <c r="P6" s="153">
        <f>ROUND(($B6*(1-M6)),2)</f>
        <v>6.6</v>
      </c>
      <c r="Q6" s="155" cm="1">
        <f t="array" ref="Q6">SUMPRODUCT(--(Category="Gr_Cat_2"),--(OpCo="Ground Eco"),--(SC_Name=$A6),(SC_Count))</f>
        <v>0</v>
      </c>
      <c r="R6" s="153">
        <f>N6*Q6</f>
        <v>0</v>
      </c>
      <c r="S6" s="153">
        <f t="shared" ref="S6:S12" si="4">T6-R6</f>
        <v>0</v>
      </c>
      <c r="T6" s="153">
        <f t="shared" ref="T6:T9" si="5">P6*Q6</f>
        <v>0</v>
      </c>
      <c r="U6" s="395" cm="1">
        <f t="array" ref="U6">SUMPRODUCT(--(D_Category="Gr_Cat_3"),--(D_EffDate="Eff_Date_1"),--(D_Product="GE"),--(D_SC_Name=$A6),(D_Percent))</f>
        <v>0</v>
      </c>
      <c r="V6" s="395" cm="1">
        <f t="array" ref="V6">SUMPRODUCT(--(D_Category="Gr_Cat_3"),--(D_EffDate="Eff_Date_2"),--(D_Product="GE"),--(D_SC_Name=$A6),(D_Percent))</f>
        <v>0</v>
      </c>
      <c r="W6" s="153">
        <f>ROUND(($B6*(1-U6)),2)</f>
        <v>6.6</v>
      </c>
      <c r="X6" s="153">
        <f t="shared" ref="X6:X12" si="6">Y6-W6</f>
        <v>0</v>
      </c>
      <c r="Y6" s="153">
        <f>ROUND(($B6*(1-V6)),2)</f>
        <v>6.6</v>
      </c>
      <c r="Z6" s="155" cm="1">
        <f t="array" ref="Z6">SUMPRODUCT(--(Category="Gr_Cat_3"),--(OpCo="Ground Eco"),--(SC_Name=$A6),(SC_Count))</f>
        <v>0</v>
      </c>
      <c r="AA6" s="153">
        <f>W6*Z6</f>
        <v>0</v>
      </c>
      <c r="AB6" s="153">
        <f t="shared" ref="AB6:AB12" si="7">AC6-AA6</f>
        <v>0</v>
      </c>
      <c r="AC6" s="153">
        <f t="shared" ref="AC6" si="8">Y6*Z6</f>
        <v>0</v>
      </c>
    </row>
    <row r="7" spans="1:29" x14ac:dyDescent="0.35">
      <c r="A7" s="72" t="s">
        <v>295</v>
      </c>
      <c r="B7" s="153">
        <v>8.8000000000000007</v>
      </c>
      <c r="C7" s="403" cm="1">
        <f t="array" ref="C7">SUMPRODUCT(--(D_Category="Gr_Cat_1"),--(D_EffDate="Eff_Date_1"),--(D_Product="GE"),--(D_SC_Name=$A7),(D_Percent))</f>
        <v>0</v>
      </c>
      <c r="D7" s="403" cm="1">
        <f t="array" ref="D7">SUMPRODUCT(--(D_Category="Gr_Cat_1"),--(D_EffDate="Eff_Date_2"),--(D_Product="GE"),--(D_SC_Name=$A7),(D_Percent))</f>
        <v>0</v>
      </c>
      <c r="E7" s="153">
        <f>ROUND(($B7*(1-C7)),2)</f>
        <v>8.8000000000000007</v>
      </c>
      <c r="F7" s="153">
        <f t="shared" si="0"/>
        <v>0</v>
      </c>
      <c r="G7" s="153">
        <f>ROUND(($B7*(1-D7)),2)</f>
        <v>8.8000000000000007</v>
      </c>
      <c r="H7" s="155" cm="1">
        <f t="array" ref="H7">SUMPRODUCT(--(Category="Gr_Cat_1"),--(OpCo="Ground Eco"),--(SC_Name=$A7),(SC_Count))</f>
        <v>0</v>
      </c>
      <c r="I7" s="153">
        <f>E7*H7</f>
        <v>0</v>
      </c>
      <c r="J7" s="153">
        <f t="shared" si="1"/>
        <v>0</v>
      </c>
      <c r="K7" s="153">
        <f t="shared" si="2"/>
        <v>0</v>
      </c>
      <c r="L7" s="392" cm="1">
        <f t="array" ref="L7">SUMPRODUCT(--(D_Category="Gr_Cat_2"),--(D_EffDate="Eff_Date_1"),--(D_Product="GE"),--(D_SC_Name=$A7),(D_Percent))</f>
        <v>0</v>
      </c>
      <c r="M7" s="392" cm="1">
        <f t="array" ref="M7">SUMPRODUCT(--(D_Category="Gr_Cat_2"),--(D_EffDate="Eff_Date_2"),--(D_Product="GE"),--(D_SC_Name=$A7),(D_Percent))</f>
        <v>0</v>
      </c>
      <c r="N7" s="153">
        <f>ROUND(($B7*(1-L7)),2)</f>
        <v>8.8000000000000007</v>
      </c>
      <c r="O7" s="153">
        <f t="shared" si="3"/>
        <v>0</v>
      </c>
      <c r="P7" s="153">
        <f>ROUND(($B7*(1-M7)),2)</f>
        <v>8.8000000000000007</v>
      </c>
      <c r="Q7" s="155" cm="1">
        <f t="array" ref="Q7">SUMPRODUCT(--(Category="Gr_Cat_2"),--(OpCo="Ground Eco"),--(SC_Name=$A7),(SC_Count))</f>
        <v>0</v>
      </c>
      <c r="R7" s="153">
        <f>N7*Q7</f>
        <v>0</v>
      </c>
      <c r="S7" s="153">
        <f t="shared" si="4"/>
        <v>0</v>
      </c>
      <c r="T7" s="153">
        <f>P7*Q7</f>
        <v>0</v>
      </c>
      <c r="U7" s="395" cm="1">
        <f t="array" ref="U7">SUMPRODUCT(--(D_Category="Gr_Cat_3"),--(D_EffDate="Eff_Date_1"),--(D_Product="GE"),--(D_SC_Name=$A7),(D_Percent))</f>
        <v>0</v>
      </c>
      <c r="V7" s="395" cm="1">
        <f t="array" ref="V7">SUMPRODUCT(--(D_Category="Gr_Cat_3"),--(D_EffDate="Eff_Date_2"),--(D_Product="GE"),--(D_SC_Name=$A7),(D_Percent))</f>
        <v>0</v>
      </c>
      <c r="W7" s="153">
        <f>ROUND(($B7*(1-U7)),2)</f>
        <v>8.8000000000000007</v>
      </c>
      <c r="X7" s="153">
        <f t="shared" si="6"/>
        <v>0</v>
      </c>
      <c r="Y7" s="153">
        <f>ROUND(($B7*(1-V7)),2)</f>
        <v>8.8000000000000007</v>
      </c>
      <c r="Z7" s="155" cm="1">
        <f t="array" ref="Z7">SUMPRODUCT(--(Category="Gr_Cat_3"),--(OpCo="Ground Eco"),--(SC_Name=$A7),(SC_Count))</f>
        <v>0</v>
      </c>
      <c r="AA7" s="153">
        <f>W7*Z7</f>
        <v>0</v>
      </c>
      <c r="AB7" s="153">
        <f t="shared" si="7"/>
        <v>0</v>
      </c>
      <c r="AC7" s="153">
        <f>Y7*Z7</f>
        <v>0</v>
      </c>
    </row>
    <row r="8" spans="1:29" x14ac:dyDescent="0.35">
      <c r="A8" s="72" t="s">
        <v>294</v>
      </c>
      <c r="B8" s="153">
        <v>8.8000000000000007</v>
      </c>
      <c r="C8" s="403" cm="1">
        <f t="array" ref="C8">SUMPRODUCT(--(D_Category="Gr_Cat_1"),--(D_EffDate="Eff_Date_1"),--(D_Product="GE"),--(D_SC_Name=$A8),(D_Percent))</f>
        <v>0</v>
      </c>
      <c r="D8" s="403" cm="1">
        <f t="array" ref="D8">SUMPRODUCT(--(D_Category="Gr_Cat_1"),--(D_EffDate="Eff_Date_2"),--(D_Product="GE"),--(D_SC_Name=$A8),(D_Percent))</f>
        <v>0</v>
      </c>
      <c r="E8" s="153">
        <f>ROUND(($B8*(1-C8)),2)</f>
        <v>8.8000000000000007</v>
      </c>
      <c r="F8" s="153">
        <f t="shared" si="0"/>
        <v>0</v>
      </c>
      <c r="G8" s="153">
        <f>ROUND(($B8*(1-D8)),2)</f>
        <v>8.8000000000000007</v>
      </c>
      <c r="H8" s="155" cm="1">
        <f t="array" ref="H8">SUMPRODUCT(--(Category="Gr_Cat_1"),--(OpCo="Ground Eco"),--(SC_Name=$A8),(SC_Count))</f>
        <v>0</v>
      </c>
      <c r="I8" s="386">
        <f>E8*H8</f>
        <v>0</v>
      </c>
      <c r="J8" s="153">
        <f t="shared" si="1"/>
        <v>0</v>
      </c>
      <c r="K8" s="153">
        <f t="shared" si="2"/>
        <v>0</v>
      </c>
      <c r="L8" s="392" cm="1">
        <f t="array" ref="L8">SUMPRODUCT(--(D_Category="Gr_Cat_2"),--(D_EffDate="Eff_Date_1"),--(D_Product="GE"),--(D_SC_Name=$A8),(D_Percent))</f>
        <v>0</v>
      </c>
      <c r="M8" s="392" cm="1">
        <f t="array" ref="M8">SUMPRODUCT(--(D_Category="Gr_Cat_2"),--(D_EffDate="Eff_Date_2"),--(D_Product="GE"),--(D_SC_Name=$A8),(D_Percent))</f>
        <v>0</v>
      </c>
      <c r="N8" s="153">
        <f>ROUND(($B8*(1-L8)),2)</f>
        <v>8.8000000000000007</v>
      </c>
      <c r="O8" s="153">
        <f t="shared" si="3"/>
        <v>0</v>
      </c>
      <c r="P8" s="153">
        <f>ROUND(($B8*(1-M8)),2)</f>
        <v>8.8000000000000007</v>
      </c>
      <c r="Q8" s="155" cm="1">
        <f t="array" ref="Q8">SUMPRODUCT(--(Category="Gr_Cat_2"),--(OpCo="Ground Eco"),--(SC_Name=$A8),(SC_Count))</f>
        <v>0</v>
      </c>
      <c r="R8" s="386">
        <f>N8*Q8</f>
        <v>0</v>
      </c>
      <c r="S8" s="153">
        <f t="shared" si="4"/>
        <v>0</v>
      </c>
      <c r="T8" s="153">
        <f t="shared" si="5"/>
        <v>0</v>
      </c>
      <c r="U8" s="395" cm="1">
        <f t="array" ref="U8">SUMPRODUCT(--(D_Category="Gr_Cat_3"),--(D_EffDate="Eff_Date_1"),--(D_Product="GE"),--(D_SC_Name=$A8),(D_Percent))</f>
        <v>0</v>
      </c>
      <c r="V8" s="395" cm="1">
        <f t="array" ref="V8">SUMPRODUCT(--(D_Category="Gr_Cat_3"),--(D_EffDate="Eff_Date_2"),--(D_Product="GE"),--(D_SC_Name=$A8),(D_Percent))</f>
        <v>0</v>
      </c>
      <c r="W8" s="153">
        <f>ROUND(($B8*(1-U8)),2)</f>
        <v>8.8000000000000007</v>
      </c>
      <c r="X8" s="153">
        <f t="shared" si="6"/>
        <v>0</v>
      </c>
      <c r="Y8" s="153">
        <f>ROUND(($B8*(1-V8)),2)</f>
        <v>8.8000000000000007</v>
      </c>
      <c r="Z8" s="155" cm="1">
        <f t="array" ref="Z8">SUMPRODUCT(--(Category="Gr_Cat_3"),--(OpCo="Ground Eco"),--(SC_Name=$A8),(SC_Count))</f>
        <v>0</v>
      </c>
      <c r="AA8" s="386">
        <f>W8*Z8</f>
        <v>0</v>
      </c>
      <c r="AB8" s="153">
        <f t="shared" si="7"/>
        <v>0</v>
      </c>
      <c r="AC8" s="153">
        <f t="shared" ref="AC8:AC9" si="9">Y8*Z8</f>
        <v>0</v>
      </c>
    </row>
    <row r="9" spans="1:29" x14ac:dyDescent="0.35">
      <c r="A9" s="72" t="s">
        <v>296</v>
      </c>
      <c r="B9" s="153">
        <v>8.8000000000000007</v>
      </c>
      <c r="C9" s="403" cm="1">
        <f t="array" ref="C9">SUMPRODUCT(--(D_Category="Gr_Cat_1"),--(D_EffDate="Eff_Date_1"),--(D_Product="GE"),--(D_SC_Name=$A9),(D_Percent))</f>
        <v>0</v>
      </c>
      <c r="D9" s="403" cm="1">
        <f t="array" ref="D9">SUMPRODUCT(--(D_Category="Gr_Cat_1"),--(D_EffDate="Eff_Date_2"),--(D_Product="GE"),--(D_SC_Name=$A9),(D_Percent))</f>
        <v>0</v>
      </c>
      <c r="E9" s="153">
        <f>ROUND(($B9*(1-C9)),2)</f>
        <v>8.8000000000000007</v>
      </c>
      <c r="F9" s="153">
        <f t="shared" si="0"/>
        <v>0</v>
      </c>
      <c r="G9" s="153">
        <f>ROUND(($B9*(1-D9)),2)</f>
        <v>8.8000000000000007</v>
      </c>
      <c r="H9" s="155" cm="1">
        <f t="array" ref="H9">SUMPRODUCT(--(Category="Gr_Cat_1"),--(OpCo="Ground Eco"),--(SC_Name=$A9),(SC_Count))</f>
        <v>0</v>
      </c>
      <c r="I9" s="386">
        <f>E9*H9</f>
        <v>0</v>
      </c>
      <c r="J9" s="153">
        <f t="shared" si="1"/>
        <v>0</v>
      </c>
      <c r="K9" s="153">
        <f t="shared" si="2"/>
        <v>0</v>
      </c>
      <c r="L9" s="392" cm="1">
        <f t="array" ref="L9">SUMPRODUCT(--(D_Category="Gr_Cat_2"),--(D_EffDate="Eff_Date_1"),--(D_Product="GE"),--(D_SC_Name=$A9),(D_Percent))</f>
        <v>0</v>
      </c>
      <c r="M9" s="392" cm="1">
        <f t="array" ref="M9">SUMPRODUCT(--(D_Category="Gr_Cat_2"),--(D_EffDate="Eff_Date_2"),--(D_Product="GE"),--(D_SC_Name=$A9),(D_Percent))</f>
        <v>0</v>
      </c>
      <c r="N9" s="153">
        <f>ROUND(($B9*(1-L9)),2)</f>
        <v>8.8000000000000007</v>
      </c>
      <c r="O9" s="153">
        <f t="shared" si="3"/>
        <v>0</v>
      </c>
      <c r="P9" s="153">
        <f>ROUND(($B9*(1-M9)),2)</f>
        <v>8.8000000000000007</v>
      </c>
      <c r="Q9" s="155" cm="1">
        <f t="array" ref="Q9">SUMPRODUCT(--(Category="Gr_Cat_2"),--(OpCo="Ground Eco"),--(SC_Name=$A9),(SC_Count))</f>
        <v>0</v>
      </c>
      <c r="R9" s="386">
        <f>N9*Q9</f>
        <v>0</v>
      </c>
      <c r="S9" s="153">
        <f t="shared" si="4"/>
        <v>0</v>
      </c>
      <c r="T9" s="153">
        <f t="shared" si="5"/>
        <v>0</v>
      </c>
      <c r="U9" s="395" cm="1">
        <f t="array" ref="U9">SUMPRODUCT(--(D_Category="Gr_Cat_3"),--(D_EffDate="Eff_Date_1"),--(D_Product="GE"),--(D_SC_Name=$A9),(D_Percent))</f>
        <v>0</v>
      </c>
      <c r="V9" s="395" cm="1">
        <f t="array" ref="V9">SUMPRODUCT(--(D_Category="Gr_Cat_3"),--(D_EffDate="Eff_Date_2"),--(D_Product="GE"),--(D_SC_Name=$A9),(D_Percent))</f>
        <v>0</v>
      </c>
      <c r="W9" s="153">
        <f>ROUND(($B9*(1-U9)),2)</f>
        <v>8.8000000000000007</v>
      </c>
      <c r="X9" s="153">
        <f t="shared" si="6"/>
        <v>0</v>
      </c>
      <c r="Y9" s="153">
        <f>ROUND(($B9*(1-V9)),2)</f>
        <v>8.8000000000000007</v>
      </c>
      <c r="Z9" s="155" cm="1">
        <f t="array" ref="Z9">SUMPRODUCT(--(Category="Gr_Cat_3"),--(OpCo="Ground Eco"),--(SC_Name=$A9),(SC_Count))</f>
        <v>0</v>
      </c>
      <c r="AA9" s="386">
        <f>W9*Z9</f>
        <v>0</v>
      </c>
      <c r="AB9" s="153">
        <f t="shared" si="7"/>
        <v>0</v>
      </c>
      <c r="AC9" s="153">
        <f t="shared" si="9"/>
        <v>0</v>
      </c>
    </row>
    <row r="10" spans="1:29" x14ac:dyDescent="0.35">
      <c r="A10" s="70" t="s">
        <v>18</v>
      </c>
      <c r="B10" s="158"/>
      <c r="C10" s="403" cm="1">
        <f t="array" ref="C10">SUMPRODUCT(--(D_Category="Gr_Cat_1"),--(D_EffDate="Eff_Date_1"),--(D_Product="GE"),--(D_SC_Name=$A10),(D_Percent))</f>
        <v>0</v>
      </c>
      <c r="D10" s="403" cm="1">
        <f t="array" ref="D10">SUMPRODUCT(--(D_Category="Gr_Cat_1"),--(D_EffDate="Eff_Date_2"),--(D_Product="GE"),--(D_SC_Name=$A10),(D_Percent))</f>
        <v>0</v>
      </c>
      <c r="E10" s="158"/>
      <c r="F10" s="158"/>
      <c r="G10" s="158"/>
      <c r="H10" s="124" cm="1">
        <f t="array" ref="H10">SUMPRODUCT(--(Category="Gr_Cat_1"),--(OpCo="Ground Eco"),--(SC_Name=$A10),(SC_Count))</f>
        <v>0</v>
      </c>
      <c r="I10" s="292"/>
      <c r="J10" s="158"/>
      <c r="K10" s="158"/>
      <c r="L10" s="392" cm="1">
        <f t="array" ref="L10">SUMPRODUCT(--(D_Category="Gr_Cat_2"),--(D_EffDate="Eff_Date_1"),--(D_Product="GE"),--(D_SC_Name=$A10),(D_Percent))</f>
        <v>0</v>
      </c>
      <c r="M10" s="392" cm="1">
        <f t="array" ref="M10">SUMPRODUCT(--(D_Category="Gr_Cat_2"),--(D_EffDate="Eff_Date_2"),--(D_Product="GE"),--(D_SC_Name=$A10),(D_Percent))</f>
        <v>0</v>
      </c>
      <c r="N10" s="158"/>
      <c r="O10" s="158"/>
      <c r="P10" s="158"/>
      <c r="Q10" s="124" cm="1">
        <f t="array" ref="Q10">SUMPRODUCT(--(Category="Gr_Cat_2"),--(OpCo="Ground Eco"),--(SC_Name=$A10),(SC_Count))</f>
        <v>0</v>
      </c>
      <c r="R10" s="292"/>
      <c r="S10" s="158"/>
      <c r="T10" s="158"/>
      <c r="U10" s="395" cm="1">
        <f t="array" ref="U10">SUMPRODUCT(--(D_Category="Gr_Cat_3"),--(D_EffDate="Eff_Date_1"),--(D_Product="GE"),--(D_SC_Name=$A10),(D_Percent))</f>
        <v>0</v>
      </c>
      <c r="V10" s="395" cm="1">
        <f t="array" ref="V10">SUMPRODUCT(--(D_Category="Gr_Cat_3"),--(D_EffDate="Eff_Date_2"),--(D_Product="GE"),--(D_SC_Name=$A10),(D_Percent))</f>
        <v>0</v>
      </c>
      <c r="W10" s="158"/>
      <c r="X10" s="158"/>
      <c r="Y10" s="158"/>
      <c r="Z10" s="124" cm="1">
        <f t="array" ref="Z10">SUMPRODUCT(--(Category="Gr_Cat_3"),--(OpCo="Ground Eco"),--(SC_Name=$A10),(SC_Count))</f>
        <v>0</v>
      </c>
      <c r="AA10" s="292"/>
      <c r="AB10" s="158"/>
      <c r="AC10" s="158"/>
    </row>
    <row r="11" spans="1:29" x14ac:dyDescent="0.35">
      <c r="A11" s="71" t="s">
        <v>331</v>
      </c>
      <c r="B11" s="153">
        <v>7.1</v>
      </c>
      <c r="C11" s="403" cm="1">
        <f t="array" ref="C11">SUMPRODUCT(--(D_Category="Gr_Cat_1"),--(D_EffDate="Eff_Date_1"),--(D_Product="GE"),--(D_SC_Name=$A11),(D_Percent))</f>
        <v>0</v>
      </c>
      <c r="D11" s="403" cm="1">
        <f t="array" ref="D11">SUMPRODUCT(--(D_Category="Gr_Cat_1"),--(D_EffDate="Eff_Date_2"),--(D_Product="GE"),--(D_SC_Name=$A11),(D_Percent))</f>
        <v>0</v>
      </c>
      <c r="E11" s="153">
        <f>ROUND(($B11*(1-C11)),2)</f>
        <v>7.1</v>
      </c>
      <c r="F11" s="153">
        <f t="shared" si="0"/>
        <v>0</v>
      </c>
      <c r="G11" s="153">
        <f>ROUND(($B11*(1-D11)),2)</f>
        <v>7.1</v>
      </c>
      <c r="H11" s="155" cm="1">
        <f t="array" ref="H11">SUMPRODUCT(--(Category="Gr_Cat_1"),--(OpCo="Ground Eco"),--(SC_Name=$A11),(SC_Count))</f>
        <v>0</v>
      </c>
      <c r="I11" s="153">
        <f>E11*H11</f>
        <v>0</v>
      </c>
      <c r="J11" s="153">
        <f t="shared" si="1"/>
        <v>0</v>
      </c>
      <c r="K11" s="153">
        <f t="shared" si="2"/>
        <v>0</v>
      </c>
      <c r="L11" s="392" cm="1">
        <f t="array" ref="L11">SUMPRODUCT(--(D_Category="Gr_Cat_2"),--(D_EffDate="Eff_Date_1"),--(D_Product="GE"),--(D_SC_Name=$A11),(D_Percent))</f>
        <v>0</v>
      </c>
      <c r="M11" s="392" cm="1">
        <f t="array" ref="M11">SUMPRODUCT(--(D_Category="Gr_Cat_2"),--(D_EffDate="Eff_Date_2"),--(D_Product="GE"),--(D_SC_Name=$A11),(D_Percent))</f>
        <v>0</v>
      </c>
      <c r="N11" s="153">
        <f>ROUND(($B11*(1-L11)),2)</f>
        <v>7.1</v>
      </c>
      <c r="O11" s="153">
        <f t="shared" si="3"/>
        <v>0</v>
      </c>
      <c r="P11" s="153">
        <f>ROUND(($B11*(1-M11)),2)</f>
        <v>7.1</v>
      </c>
      <c r="Q11" s="155" cm="1">
        <f t="array" ref="Q11">SUMPRODUCT(--(Category="Gr_Cat_2"),--(OpCo="Ground Eco"),--(SC_Name=$A11),(SC_Count))</f>
        <v>0</v>
      </c>
      <c r="R11" s="153">
        <f>N11*Q11</f>
        <v>0</v>
      </c>
      <c r="S11" s="153">
        <f t="shared" si="4"/>
        <v>0</v>
      </c>
      <c r="T11" s="153">
        <f t="shared" ref="T11:T12" si="10">P11*Q11</f>
        <v>0</v>
      </c>
      <c r="U11" s="395" cm="1">
        <f t="array" ref="U11">SUMPRODUCT(--(D_Category="Gr_Cat_3"),--(D_EffDate="Eff_Date_1"),--(D_Product="GE"),--(D_SC_Name=$A11),(D_Percent))</f>
        <v>0</v>
      </c>
      <c r="V11" s="395" cm="1">
        <f t="array" ref="V11">SUMPRODUCT(--(D_Category="Gr_Cat_3"),--(D_EffDate="Eff_Date_2"),--(D_Product="GE"),--(D_SC_Name=$A11),(D_Percent))</f>
        <v>0</v>
      </c>
      <c r="W11" s="153">
        <f>ROUND(($B11*(1-U11)),2)</f>
        <v>7.1</v>
      </c>
      <c r="X11" s="153">
        <f t="shared" si="6"/>
        <v>0</v>
      </c>
      <c r="Y11" s="153">
        <f>ROUND(($B11*(1-V11)),2)</f>
        <v>7.1</v>
      </c>
      <c r="Z11" s="155" cm="1">
        <f t="array" ref="Z11">SUMPRODUCT(--(Category="Gr_Cat_3"),--(OpCo="Ground Eco"),--(SC_Name=$A11),(SC_Count))</f>
        <v>0</v>
      </c>
      <c r="AA11" s="153">
        <f>W11*Z11</f>
        <v>0</v>
      </c>
      <c r="AB11" s="153">
        <f t="shared" si="7"/>
        <v>0</v>
      </c>
      <c r="AC11" s="153">
        <f t="shared" ref="AC11:AC12" si="11">Y11*Z11</f>
        <v>0</v>
      </c>
    </row>
    <row r="12" spans="1:29" x14ac:dyDescent="0.35">
      <c r="A12" s="152" t="s">
        <v>333</v>
      </c>
      <c r="B12" s="116">
        <v>1.05</v>
      </c>
      <c r="C12" s="404" cm="1">
        <f t="array" ref="C12">SUMPRODUCT(--(D_Category="Gr_Cat_1"),--(D_EffDate="Eff_Date_1"),--(D_Product="GE"),--(D_SC_Name=$A12),(D_Percent))</f>
        <v>0</v>
      </c>
      <c r="D12" s="404" cm="1">
        <f t="array" ref="D12">SUMPRODUCT(--(D_Category="Gr_Cat_1"),--(D_EffDate="Eff_Date_2"),--(D_Product="GE"),--(D_SC_Name=$A12),(D_Percent))</f>
        <v>0</v>
      </c>
      <c r="E12" s="83">
        <f>ROUND(($B12*(1-C12)),2)</f>
        <v>1.05</v>
      </c>
      <c r="F12" s="83">
        <f t="shared" si="0"/>
        <v>0</v>
      </c>
      <c r="G12" s="83">
        <f>ROUND(($B12*(1-D12)),2)</f>
        <v>1.05</v>
      </c>
      <c r="H12" s="138" cm="1">
        <f t="array" ref="H12">SUMPRODUCT(--(Category="Gr_Cat_1"),--(OpCo="Ground Eco"),--(SC_Name=$A12),(SC_Count))</f>
        <v>0</v>
      </c>
      <c r="I12" s="116">
        <f>E12*H12</f>
        <v>0</v>
      </c>
      <c r="J12" s="116">
        <f t="shared" si="1"/>
        <v>0</v>
      </c>
      <c r="K12" s="116">
        <f t="shared" si="2"/>
        <v>0</v>
      </c>
      <c r="L12" s="393" cm="1">
        <f t="array" ref="L12">SUMPRODUCT(--(D_Category="Gr_Cat_2"),--(D_EffDate="Eff_Date_1"),--(D_Product="GE"),--(D_SC_Name=$A12),(D_Percent))</f>
        <v>0</v>
      </c>
      <c r="M12" s="393" cm="1">
        <f t="array" ref="M12">SUMPRODUCT(--(D_Category="Gr_Cat_2"),--(D_EffDate="Eff_Date_2"),--(D_Product="GE"),--(D_SC_Name=$A12),(D_Percent))</f>
        <v>0</v>
      </c>
      <c r="N12" s="83">
        <f>ROUND(($B12*(1-L12)),2)</f>
        <v>1.05</v>
      </c>
      <c r="O12" s="83">
        <f t="shared" si="3"/>
        <v>0</v>
      </c>
      <c r="P12" s="83">
        <f>ROUND(($B12*(1-M12)),2)</f>
        <v>1.05</v>
      </c>
      <c r="Q12" s="138" cm="1">
        <f t="array" ref="Q12">SUMPRODUCT(--(Category="Gr_Cat_2"),--(OpCo="Ground Eco"),--(SC_Name=$A12),(SC_Count))</f>
        <v>0</v>
      </c>
      <c r="R12" s="116">
        <f>N12*Q12</f>
        <v>0</v>
      </c>
      <c r="S12" s="116">
        <f t="shared" si="4"/>
        <v>0</v>
      </c>
      <c r="T12" s="116">
        <f t="shared" si="10"/>
        <v>0</v>
      </c>
      <c r="U12" s="396" cm="1">
        <f t="array" ref="U12">SUMPRODUCT(--(D_Category="Gr_Cat_3"),--(D_EffDate="Eff_Date_1"),--(D_Product="GE"),--(D_SC_Name=$A12),(D_Percent))</f>
        <v>0</v>
      </c>
      <c r="V12" s="396" cm="1">
        <f t="array" ref="V12">SUMPRODUCT(--(D_Category="Gr_Cat_3"),--(D_EffDate="Eff_Date_2"),--(D_Product="GE"),--(D_SC_Name=$A12),(D_Percent))</f>
        <v>0</v>
      </c>
      <c r="W12" s="83">
        <f>ROUND(($B12*(1-U12)),2)</f>
        <v>1.05</v>
      </c>
      <c r="X12" s="83">
        <f t="shared" si="6"/>
        <v>0</v>
      </c>
      <c r="Y12" s="83">
        <f>ROUND(($B12*(1-V12)),2)</f>
        <v>1.05</v>
      </c>
      <c r="Z12" s="138" cm="1">
        <f t="array" ref="Z12">SUMPRODUCT(--(Category="Gr_Cat_3"),--(OpCo="Ground Eco"),--(SC_Name=$A12),(SC_Count))</f>
        <v>0</v>
      </c>
      <c r="AA12" s="116">
        <f>W12*Z12</f>
        <v>0</v>
      </c>
      <c r="AB12" s="116">
        <f t="shared" si="7"/>
        <v>0</v>
      </c>
      <c r="AC12" s="116">
        <f t="shared" si="11"/>
        <v>0</v>
      </c>
    </row>
    <row r="13" spans="1:29" s="3" customFormat="1" ht="15" customHeight="1" x14ac:dyDescent="0.35">
      <c r="A13" s="620" t="s">
        <v>1744</v>
      </c>
      <c r="B13" s="620"/>
      <c r="C13" s="620"/>
      <c r="D13" s="620"/>
      <c r="E13" s="620"/>
      <c r="F13" s="620"/>
      <c r="G13" s="620"/>
      <c r="H13" s="620"/>
      <c r="I13" s="620"/>
      <c r="J13" s="620"/>
      <c r="K13" s="620"/>
      <c r="L13" s="473"/>
      <c r="M13" s="473"/>
      <c r="N13" s="473"/>
      <c r="O13" s="458"/>
      <c r="P13" s="458"/>
      <c r="Q13" s="458"/>
      <c r="R13" s="458"/>
      <c r="S13" s="458"/>
      <c r="T13" s="458"/>
      <c r="U13" s="458"/>
      <c r="V13" s="458"/>
      <c r="W13" s="458"/>
      <c r="X13" s="458"/>
      <c r="Y13" s="458"/>
      <c r="Z13" s="458"/>
      <c r="AA13" s="458"/>
      <c r="AB13" s="458"/>
      <c r="AC13" s="458"/>
    </row>
    <row r="14" spans="1:29" s="3" customFormat="1" x14ac:dyDescent="0.35">
      <c r="A14" s="621"/>
      <c r="B14" s="621"/>
      <c r="C14" s="621"/>
      <c r="D14" s="621"/>
      <c r="E14" s="621"/>
      <c r="F14" s="621"/>
      <c r="G14" s="621"/>
      <c r="H14" s="621"/>
      <c r="I14" s="621"/>
      <c r="J14" s="621"/>
      <c r="K14" s="621"/>
      <c r="L14" s="457"/>
      <c r="M14" s="457"/>
      <c r="N14" s="457"/>
      <c r="O14" s="268"/>
      <c r="P14" s="268"/>
      <c r="Q14" s="268"/>
      <c r="R14" s="268"/>
      <c r="S14" s="268"/>
      <c r="T14" s="268"/>
      <c r="U14" s="268"/>
      <c r="V14" s="268"/>
      <c r="W14" s="268"/>
      <c r="X14" s="268"/>
      <c r="Y14" s="268"/>
      <c r="Z14" s="268"/>
      <c r="AA14" s="268"/>
      <c r="AB14" s="268"/>
      <c r="AC14" s="268"/>
    </row>
    <row r="15" spans="1:29" s="3" customFormat="1" x14ac:dyDescent="0.35">
      <c r="A15" s="621"/>
      <c r="B15" s="621"/>
      <c r="C15" s="621"/>
      <c r="D15" s="621"/>
      <c r="E15" s="621"/>
      <c r="F15" s="621"/>
      <c r="G15" s="621"/>
      <c r="H15" s="621"/>
      <c r="I15" s="621"/>
      <c r="J15" s="621"/>
      <c r="K15" s="621"/>
      <c r="L15" s="457"/>
      <c r="M15" s="457"/>
      <c r="N15" s="457"/>
      <c r="O15" s="268"/>
      <c r="P15" s="268"/>
      <c r="Q15" s="268"/>
      <c r="R15" s="268"/>
      <c r="S15" s="268"/>
      <c r="T15" s="268"/>
      <c r="U15" s="268"/>
      <c r="V15" s="268"/>
      <c r="W15" s="268"/>
      <c r="X15" s="268"/>
      <c r="Y15" s="268"/>
      <c r="Z15" s="268"/>
      <c r="AA15" s="268"/>
      <c r="AB15" s="268"/>
      <c r="AC15" s="268"/>
    </row>
    <row r="16" spans="1:29" s="3" customFormat="1" x14ac:dyDescent="0.35">
      <c r="A16" s="621"/>
      <c r="B16" s="621"/>
      <c r="C16" s="621"/>
      <c r="D16" s="621"/>
      <c r="E16" s="621"/>
      <c r="F16" s="621"/>
      <c r="G16" s="621"/>
      <c r="H16" s="621"/>
      <c r="I16" s="621"/>
      <c r="J16" s="621"/>
      <c r="K16" s="621"/>
      <c r="L16" s="457"/>
      <c r="M16" s="457"/>
      <c r="N16" s="457"/>
      <c r="O16" s="268"/>
      <c r="P16" s="268"/>
      <c r="Q16" s="268"/>
      <c r="R16" s="268"/>
      <c r="S16" s="268"/>
      <c r="T16" s="268"/>
      <c r="U16" s="268"/>
      <c r="V16" s="268"/>
      <c r="W16" s="268"/>
      <c r="X16" s="268"/>
      <c r="Y16" s="268"/>
      <c r="Z16" s="268"/>
      <c r="AA16" s="268"/>
      <c r="AB16" s="268"/>
      <c r="AC16" s="268"/>
    </row>
    <row r="17" spans="1:29" s="3" customFormat="1" x14ac:dyDescent="0.35">
      <c r="A17" s="621"/>
      <c r="B17" s="621"/>
      <c r="C17" s="621"/>
      <c r="D17" s="621"/>
      <c r="E17" s="621"/>
      <c r="F17" s="621"/>
      <c r="G17" s="621"/>
      <c r="H17" s="621"/>
      <c r="I17" s="621"/>
      <c r="J17" s="621"/>
      <c r="K17" s="621"/>
      <c r="L17" s="457"/>
      <c r="M17" s="457"/>
      <c r="N17" s="457"/>
      <c r="O17" s="268"/>
      <c r="P17" s="268"/>
      <c r="Q17" s="268"/>
      <c r="R17" s="268"/>
      <c r="S17" s="268"/>
      <c r="T17" s="268"/>
      <c r="U17" s="268"/>
      <c r="V17" s="268"/>
      <c r="W17" s="268"/>
      <c r="X17" s="268"/>
      <c r="Y17" s="268"/>
      <c r="Z17" s="268"/>
      <c r="AA17" s="268"/>
      <c r="AB17" s="268"/>
      <c r="AC17" s="268"/>
    </row>
    <row r="18" spans="1:29" s="3" customFormat="1" x14ac:dyDescent="0.35">
      <c r="A18" s="621"/>
      <c r="B18" s="621"/>
      <c r="C18" s="621"/>
      <c r="D18" s="621"/>
      <c r="E18" s="621"/>
      <c r="F18" s="621"/>
      <c r="G18" s="621"/>
      <c r="H18" s="621"/>
      <c r="I18" s="621"/>
      <c r="J18" s="621"/>
      <c r="K18" s="621"/>
      <c r="L18" s="457"/>
      <c r="M18" s="457"/>
      <c r="N18" s="457"/>
      <c r="O18" s="268"/>
      <c r="P18" s="268"/>
      <c r="Q18" s="268"/>
      <c r="R18" s="268"/>
      <c r="S18" s="268"/>
      <c r="T18" s="268"/>
      <c r="U18" s="268"/>
      <c r="V18" s="268"/>
      <c r="W18" s="268"/>
      <c r="X18" s="268"/>
      <c r="Y18" s="268"/>
      <c r="Z18" s="268"/>
      <c r="AA18" s="268"/>
      <c r="AB18" s="268"/>
      <c r="AC18" s="268"/>
    </row>
    <row r="19" spans="1:29" s="3" customFormat="1" x14ac:dyDescent="0.35">
      <c r="A19" s="621"/>
      <c r="B19" s="621"/>
      <c r="C19" s="621"/>
      <c r="D19" s="621"/>
      <c r="E19" s="621"/>
      <c r="F19" s="621"/>
      <c r="G19" s="621"/>
      <c r="H19" s="621"/>
      <c r="I19" s="621"/>
      <c r="J19" s="621"/>
      <c r="K19" s="621"/>
      <c r="L19" s="457"/>
      <c r="M19" s="457"/>
      <c r="N19" s="457"/>
      <c r="O19" s="268"/>
      <c r="P19" s="268"/>
      <c r="Q19" s="268"/>
      <c r="R19" s="268"/>
      <c r="S19" s="268"/>
      <c r="T19" s="268"/>
      <c r="U19" s="268"/>
      <c r="V19" s="268"/>
      <c r="W19" s="268"/>
      <c r="X19" s="268"/>
      <c r="Y19" s="268"/>
      <c r="Z19" s="268"/>
      <c r="AA19" s="268"/>
      <c r="AB19" s="268"/>
      <c r="AC19" s="268"/>
    </row>
    <row r="20" spans="1:29" s="3" customFormat="1" x14ac:dyDescent="0.35">
      <c r="A20" s="621"/>
      <c r="B20" s="621"/>
      <c r="C20" s="621"/>
      <c r="D20" s="621"/>
      <c r="E20" s="621"/>
      <c r="F20" s="621"/>
      <c r="G20" s="621"/>
      <c r="H20" s="621"/>
      <c r="I20" s="621"/>
      <c r="J20" s="621"/>
      <c r="K20" s="621"/>
      <c r="L20" s="457"/>
      <c r="M20" s="457"/>
      <c r="N20" s="457"/>
      <c r="O20" s="268"/>
      <c r="P20" s="268"/>
      <c r="Q20" s="268"/>
      <c r="R20" s="268"/>
      <c r="S20" s="268"/>
      <c r="T20" s="268"/>
      <c r="U20" s="268"/>
      <c r="V20" s="268"/>
      <c r="W20" s="268"/>
      <c r="X20" s="268"/>
      <c r="Y20" s="268"/>
      <c r="Z20" s="268"/>
      <c r="AA20" s="268"/>
      <c r="AB20" s="268"/>
      <c r="AC20" s="268"/>
    </row>
    <row r="21" spans="1:29" s="3" customFormat="1" x14ac:dyDescent="0.35">
      <c r="A21" s="621"/>
      <c r="B21" s="621"/>
      <c r="C21" s="621"/>
      <c r="D21" s="621"/>
      <c r="E21" s="621"/>
      <c r="F21" s="621"/>
      <c r="G21" s="621"/>
      <c r="H21" s="621"/>
      <c r="I21" s="621"/>
      <c r="J21" s="621"/>
      <c r="K21" s="621"/>
      <c r="L21" s="457"/>
      <c r="M21" s="457"/>
      <c r="N21" s="457"/>
      <c r="O21" s="268"/>
      <c r="P21" s="268"/>
      <c r="Q21" s="268"/>
      <c r="R21" s="268"/>
      <c r="S21" s="268"/>
      <c r="T21" s="268"/>
      <c r="U21" s="268"/>
      <c r="V21" s="268"/>
      <c r="W21" s="268"/>
      <c r="X21" s="268"/>
      <c r="Y21" s="268"/>
      <c r="Z21" s="268"/>
      <c r="AA21" s="268"/>
      <c r="AB21" s="268"/>
      <c r="AC21" s="268"/>
    </row>
  </sheetData>
  <mergeCells count="5">
    <mergeCell ref="A1:K1"/>
    <mergeCell ref="U2:AC2"/>
    <mergeCell ref="L2:T2"/>
    <mergeCell ref="C2:K2"/>
    <mergeCell ref="A13:K21"/>
  </mergeCells>
  <pageMargins left="0.25" right="0.25"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0726D-C9C5-4E1B-9139-1CE5A365E40E}">
  <sheetPr codeName="Sheet5">
    <tabColor theme="4"/>
  </sheetPr>
  <dimension ref="A1:BT41"/>
  <sheetViews>
    <sheetView zoomScale="90" zoomScaleNormal="90" workbookViewId="0">
      <selection sqref="A1:O1"/>
    </sheetView>
  </sheetViews>
  <sheetFormatPr defaultColWidth="9.1796875" defaultRowHeight="14.5" x14ac:dyDescent="0.35"/>
  <cols>
    <col min="1" max="1" width="36.26953125" bestFit="1" customWidth="1"/>
    <col min="2" max="3" width="10.1796875" customWidth="1"/>
    <col min="4" max="4" width="8.7265625" bestFit="1" customWidth="1"/>
    <col min="5" max="5" width="8.7265625" customWidth="1"/>
    <col min="6" max="6" width="9.54296875" bestFit="1" customWidth="1"/>
    <col min="7" max="9" width="8.453125" bestFit="1" customWidth="1"/>
    <col min="10" max="10" width="9.54296875" bestFit="1" customWidth="1"/>
    <col min="11" max="11" width="8.453125" bestFit="1" customWidth="1"/>
    <col min="12" max="12" width="11.81640625" bestFit="1" customWidth="1"/>
    <col min="13" max="13" width="8.54296875" bestFit="1" customWidth="1"/>
    <col min="14" max="14" width="7.54296875" bestFit="1" customWidth="1"/>
    <col min="15" max="15" width="8.54296875" bestFit="1" customWidth="1"/>
    <col min="16" max="17" width="8.7265625" hidden="1" customWidth="1"/>
    <col min="18" max="18" width="9.54296875" hidden="1" customWidth="1"/>
    <col min="19" max="21" width="8.453125" hidden="1" customWidth="1"/>
    <col min="22" max="22" width="9.54296875" hidden="1" customWidth="1"/>
    <col min="23" max="23" width="8.453125" hidden="1" customWidth="1"/>
    <col min="24" max="24" width="11.81640625" style="3" hidden="1" customWidth="1"/>
    <col min="25" max="25" width="10.26953125" style="3" hidden="1" customWidth="1"/>
    <col min="26" max="26" width="7.54296875" style="3" hidden="1" customWidth="1"/>
    <col min="27" max="27" width="10.26953125" style="3" hidden="1" customWidth="1"/>
    <col min="28" max="29" width="8.7265625" style="3" hidden="1" customWidth="1"/>
    <col min="30" max="30" width="9.54296875" style="3" hidden="1" customWidth="1"/>
    <col min="31" max="33" width="8.453125" style="3" hidden="1" customWidth="1"/>
    <col min="34" max="34" width="9.54296875" style="3" hidden="1" customWidth="1"/>
    <col min="35" max="35" width="8.453125" style="3" hidden="1" customWidth="1"/>
    <col min="36" max="38" width="11.81640625" style="3" hidden="1" customWidth="1"/>
    <col min="39" max="39" width="9.54296875" style="3" hidden="1" customWidth="1"/>
    <col min="40" max="72" width="9.1796875" style="3"/>
  </cols>
  <sheetData>
    <row r="1" spans="1:39" ht="31" x14ac:dyDescent="0.7">
      <c r="A1" s="651" t="s">
        <v>889</v>
      </c>
      <c r="B1" s="652"/>
      <c r="C1" s="652"/>
      <c r="D1" s="652"/>
      <c r="E1" s="652"/>
      <c r="F1" s="652"/>
      <c r="G1" s="652"/>
      <c r="H1" s="652"/>
      <c r="I1" s="652"/>
      <c r="J1" s="652"/>
      <c r="K1" s="652"/>
      <c r="L1" s="652"/>
      <c r="M1" s="652"/>
      <c r="N1" s="652"/>
      <c r="O1" s="652"/>
      <c r="P1" s="265"/>
      <c r="Q1" s="265"/>
      <c r="R1" s="265"/>
      <c r="S1" s="265"/>
      <c r="T1" s="265"/>
      <c r="U1" s="265"/>
      <c r="V1" s="265"/>
      <c r="W1" s="265"/>
      <c r="X1" s="265"/>
      <c r="Y1" s="265"/>
      <c r="Z1" s="265"/>
      <c r="AA1" s="265"/>
      <c r="AB1" s="265"/>
      <c r="AC1" s="265"/>
      <c r="AD1" s="265"/>
      <c r="AE1" s="265"/>
      <c r="AF1" s="265"/>
      <c r="AG1" s="265"/>
      <c r="AH1" s="265"/>
      <c r="AI1" s="265"/>
      <c r="AJ1" s="265"/>
      <c r="AK1" s="265"/>
      <c r="AL1" s="265"/>
      <c r="AM1" s="269"/>
    </row>
    <row r="2" spans="1:39" ht="28.5" x14ac:dyDescent="0.65">
      <c r="A2" s="266"/>
      <c r="B2" s="267"/>
      <c r="C2" s="267"/>
      <c r="D2" s="643" t="s">
        <v>1341</v>
      </c>
      <c r="E2" s="644"/>
      <c r="F2" s="644"/>
      <c r="G2" s="644"/>
      <c r="H2" s="644"/>
      <c r="I2" s="644"/>
      <c r="J2" s="644"/>
      <c r="K2" s="644"/>
      <c r="L2" s="644"/>
      <c r="M2" s="644"/>
      <c r="N2" s="644"/>
      <c r="O2" s="645"/>
      <c r="P2" s="653" t="s">
        <v>1350</v>
      </c>
      <c r="Q2" s="654"/>
      <c r="R2" s="654"/>
      <c r="S2" s="654"/>
      <c r="T2" s="654"/>
      <c r="U2" s="654"/>
      <c r="V2" s="654"/>
      <c r="W2" s="654"/>
      <c r="X2" s="654"/>
      <c r="Y2" s="654"/>
      <c r="Z2" s="654"/>
      <c r="AA2" s="655"/>
      <c r="AB2" s="665" t="s">
        <v>1351</v>
      </c>
      <c r="AC2" s="666"/>
      <c r="AD2" s="666"/>
      <c r="AE2" s="666"/>
      <c r="AF2" s="666"/>
      <c r="AG2" s="666"/>
      <c r="AH2" s="666"/>
      <c r="AI2" s="666"/>
      <c r="AJ2" s="666"/>
      <c r="AK2" s="666"/>
      <c r="AL2" s="666"/>
      <c r="AM2" s="667"/>
    </row>
    <row r="3" spans="1:39" s="91" customFormat="1" ht="15" customHeight="1" x14ac:dyDescent="0.35">
      <c r="A3" s="661" t="s">
        <v>345</v>
      </c>
      <c r="B3" s="662" t="s">
        <v>1739</v>
      </c>
      <c r="C3" s="662"/>
      <c r="D3" s="658" t="s">
        <v>1712</v>
      </c>
      <c r="E3" s="659" t="s">
        <v>1714</v>
      </c>
      <c r="F3" s="657" t="s">
        <v>1718</v>
      </c>
      <c r="G3" s="657"/>
      <c r="H3" s="673" t="s">
        <v>1427</v>
      </c>
      <c r="I3" s="674"/>
      <c r="J3" s="657" t="s">
        <v>1720</v>
      </c>
      <c r="K3" s="657"/>
      <c r="L3" s="658" t="s">
        <v>1446</v>
      </c>
      <c r="M3" s="658" t="s">
        <v>1719</v>
      </c>
      <c r="N3" s="659" t="s">
        <v>1427</v>
      </c>
      <c r="O3" s="658" t="s">
        <v>1713</v>
      </c>
      <c r="P3" s="656" t="s">
        <v>1712</v>
      </c>
      <c r="Q3" s="649" t="s">
        <v>1714</v>
      </c>
      <c r="R3" s="648" t="s">
        <v>1718</v>
      </c>
      <c r="S3" s="648"/>
      <c r="T3" s="646" t="s">
        <v>1427</v>
      </c>
      <c r="U3" s="647"/>
      <c r="V3" s="648" t="s">
        <v>1720</v>
      </c>
      <c r="W3" s="648"/>
      <c r="X3" s="656" t="s">
        <v>1446</v>
      </c>
      <c r="Y3" s="656" t="s">
        <v>1719</v>
      </c>
      <c r="Z3" s="649" t="s">
        <v>1427</v>
      </c>
      <c r="AA3" s="656" t="s">
        <v>1713</v>
      </c>
      <c r="AB3" s="669" t="s">
        <v>1712</v>
      </c>
      <c r="AC3" s="663" t="s">
        <v>1714</v>
      </c>
      <c r="AD3" s="668" t="s">
        <v>1718</v>
      </c>
      <c r="AE3" s="668"/>
      <c r="AF3" s="671" t="s">
        <v>1427</v>
      </c>
      <c r="AG3" s="672"/>
      <c r="AH3" s="668" t="s">
        <v>1720</v>
      </c>
      <c r="AI3" s="668"/>
      <c r="AJ3" s="669" t="s">
        <v>1446</v>
      </c>
      <c r="AK3" s="669" t="s">
        <v>1719</v>
      </c>
      <c r="AL3" s="663" t="s">
        <v>1427</v>
      </c>
      <c r="AM3" s="669" t="s">
        <v>1713</v>
      </c>
    </row>
    <row r="4" spans="1:39" s="91" customFormat="1" x14ac:dyDescent="0.35">
      <c r="A4" s="661"/>
      <c r="B4" s="140" t="s">
        <v>888</v>
      </c>
      <c r="C4" s="140" t="s">
        <v>887</v>
      </c>
      <c r="D4" s="658"/>
      <c r="E4" s="660"/>
      <c r="F4" s="258" t="s">
        <v>888</v>
      </c>
      <c r="G4" s="258" t="s">
        <v>887</v>
      </c>
      <c r="H4" s="258" t="s">
        <v>888</v>
      </c>
      <c r="I4" s="258" t="s">
        <v>887</v>
      </c>
      <c r="J4" s="258" t="s">
        <v>888</v>
      </c>
      <c r="K4" s="258" t="s">
        <v>887</v>
      </c>
      <c r="L4" s="657"/>
      <c r="M4" s="658"/>
      <c r="N4" s="660"/>
      <c r="O4" s="658"/>
      <c r="P4" s="656"/>
      <c r="Q4" s="675"/>
      <c r="R4" s="334" t="s">
        <v>888</v>
      </c>
      <c r="S4" s="334" t="s">
        <v>887</v>
      </c>
      <c r="T4" s="334" t="s">
        <v>888</v>
      </c>
      <c r="U4" s="334" t="s">
        <v>887</v>
      </c>
      <c r="V4" s="334" t="s">
        <v>888</v>
      </c>
      <c r="W4" s="334" t="s">
        <v>887</v>
      </c>
      <c r="X4" s="648"/>
      <c r="Y4" s="656"/>
      <c r="Z4" s="650"/>
      <c r="AA4" s="656"/>
      <c r="AB4" s="669"/>
      <c r="AC4" s="664"/>
      <c r="AD4" s="335" t="s">
        <v>888</v>
      </c>
      <c r="AE4" s="335" t="s">
        <v>887</v>
      </c>
      <c r="AF4" s="335" t="s">
        <v>888</v>
      </c>
      <c r="AG4" s="335" t="s">
        <v>887</v>
      </c>
      <c r="AH4" s="335" t="s">
        <v>888</v>
      </c>
      <c r="AI4" s="335" t="s">
        <v>887</v>
      </c>
      <c r="AJ4" s="668"/>
      <c r="AK4" s="669"/>
      <c r="AL4" s="670"/>
      <c r="AM4" s="669"/>
    </row>
    <row r="5" spans="1:39" x14ac:dyDescent="0.35">
      <c r="A5" s="117" t="s">
        <v>66</v>
      </c>
      <c r="B5" s="118"/>
      <c r="C5" s="118"/>
      <c r="D5" s="253"/>
      <c r="E5" s="447"/>
      <c r="F5" s="118"/>
      <c r="G5" s="118"/>
      <c r="H5" s="122"/>
      <c r="I5" s="118"/>
      <c r="J5" s="118"/>
      <c r="K5" s="118"/>
      <c r="L5" s="119"/>
      <c r="M5" s="120"/>
      <c r="N5" s="120"/>
      <c r="O5" s="120"/>
      <c r="P5" s="259"/>
      <c r="Q5" s="437"/>
      <c r="R5" s="448"/>
      <c r="S5" s="118"/>
      <c r="T5" s="122"/>
      <c r="U5" s="118"/>
      <c r="V5" s="118"/>
      <c r="W5" s="118"/>
      <c r="X5" s="119"/>
      <c r="Y5" s="120"/>
      <c r="Z5" s="120"/>
      <c r="AA5" s="120"/>
      <c r="AB5" s="262"/>
      <c r="AC5" s="438"/>
      <c r="AD5" s="448"/>
      <c r="AE5" s="118"/>
      <c r="AF5" s="122"/>
      <c r="AG5" s="118"/>
      <c r="AH5" s="118"/>
      <c r="AI5" s="118"/>
      <c r="AJ5" s="119"/>
      <c r="AK5" s="120"/>
      <c r="AL5" s="120"/>
      <c r="AM5" s="120"/>
    </row>
    <row r="6" spans="1:39" x14ac:dyDescent="0.35">
      <c r="A6" s="121" t="s">
        <v>293</v>
      </c>
      <c r="B6" s="122">
        <v>285</v>
      </c>
      <c r="C6" s="122"/>
      <c r="D6" s="254" cm="1">
        <f t="array" ref="D6">SUMPRODUCT(--(D_Category="Ex_Cat_1"),--(D_EffDate="Eff_Date_1"),--(D_Product="DF"),--(D_SC_Name=$A6),--(D_Zone="All"),(D_Percent))</f>
        <v>0</v>
      </c>
      <c r="E6" s="254" cm="1">
        <f t="array" ref="E6">SUMPRODUCT(--(D_Category="Ex_Cat_1"),--(D_EffDate="Eff_Date_2"),--(D_Product="DF"),--(D_SC_Name=$A6),--(D_Zone="All"),(D_Percent))</f>
        <v>0</v>
      </c>
      <c r="F6" s="122">
        <f>ROUND(($B6*(1-D6)),2)</f>
        <v>285</v>
      </c>
      <c r="G6" s="123"/>
      <c r="H6" s="122">
        <f>J6-F6</f>
        <v>0</v>
      </c>
      <c r="I6" s="123"/>
      <c r="J6" s="122">
        <f>ROUND(($B6*(1-E6)),2)</f>
        <v>285</v>
      </c>
      <c r="K6" s="123"/>
      <c r="L6" s="124" cm="1">
        <f t="array" ref="L6">SUMPRODUCT(--(Category="Ex_Cat_1"),--(OpCo="Express Freight"),--(Intl="Domestic"),--(SC_Name=$A6),(SC_Count))</f>
        <v>0</v>
      </c>
      <c r="M6" s="125">
        <f>L6*F6</f>
        <v>0</v>
      </c>
      <c r="N6" s="125">
        <f>O6-M6</f>
        <v>0</v>
      </c>
      <c r="O6" s="125">
        <f>L6*J6</f>
        <v>0</v>
      </c>
      <c r="P6" s="260" cm="1">
        <f t="array" ref="P6">SUMPRODUCT(--(D_Category="Ex_Cat_2"),--(D_EffDate="Eff_Date_1"),--(D_Product="DF"),--(D_SC_Name=$A6),--(D_Zone="All"),(D_Percent))</f>
        <v>0</v>
      </c>
      <c r="Q6" s="260" cm="1">
        <f t="array" ref="Q6">SUMPRODUCT(--(D_Category="Ex_Cat_2"),--(D_EffDate="Eff_Date_2"),--(D_Product="DF"),--(D_SC_Name=$A6),--(D_Zone="All"),(D_Percent))</f>
        <v>0</v>
      </c>
      <c r="R6" s="122">
        <f>ROUND(($B6*(1-P6)),2)</f>
        <v>285</v>
      </c>
      <c r="S6" s="123"/>
      <c r="T6" s="122">
        <f>V6-R6</f>
        <v>0</v>
      </c>
      <c r="U6" s="123"/>
      <c r="V6" s="122">
        <f>ROUND(($B6*(1-Q6)),2)</f>
        <v>285</v>
      </c>
      <c r="W6" s="123"/>
      <c r="X6" s="124" cm="1">
        <f t="array" ref="X6">SUMPRODUCT(--(Category="Ex_Cat_2"),--(OpCo="Express Freight"),--(Intl="Domestic"),--(SC_Name=$A6),(SC_Count))</f>
        <v>0</v>
      </c>
      <c r="Y6" s="125">
        <f>X6*R6</f>
        <v>0</v>
      </c>
      <c r="Z6" s="125">
        <f>AA6-Y6</f>
        <v>0</v>
      </c>
      <c r="AA6" s="125">
        <f>X6*V6</f>
        <v>0</v>
      </c>
      <c r="AB6" s="263" cm="1">
        <f t="array" ref="AB6">SUMPRODUCT(--(D_Category="Ex_Cat_3"),--(D_EffDate="Eff_Date_1"),--(D_Product="DF"),--(D_SC_Name=$A6),--(D_Zone="All"),(D_Percent))</f>
        <v>0</v>
      </c>
      <c r="AC6" s="263" cm="1">
        <f t="array" ref="AC6">SUMPRODUCT(--(D_Category="Ex_Cat_3"),--(D_EffDate="Eff_Date_2"),--(D_Product="DF"),--(D_SC_Name=$A6),--(D_Zone="All"),(D_Percent))</f>
        <v>0</v>
      </c>
      <c r="AD6" s="122">
        <f>ROUND(($B6*(1-AB6)),2)</f>
        <v>285</v>
      </c>
      <c r="AE6" s="123"/>
      <c r="AF6" s="122">
        <f>AH6-AD6</f>
        <v>0</v>
      </c>
      <c r="AG6" s="123"/>
      <c r="AH6" s="122">
        <f>ROUND(($B6*(1-AC6)),2)</f>
        <v>285</v>
      </c>
      <c r="AI6" s="123"/>
      <c r="AJ6" s="124" cm="1">
        <f t="array" ref="AJ6">SUMPRODUCT(--(Category="Ex_Cat_3"),--(OpCo="Express Freight"),--(Intl="Domestic"),--(SC_Name=$A6),(SC_Count))</f>
        <v>0</v>
      </c>
      <c r="AK6" s="125">
        <f>AJ6*AD6</f>
        <v>0</v>
      </c>
      <c r="AL6" s="125">
        <f>AM6-AK6</f>
        <v>0</v>
      </c>
      <c r="AM6" s="125">
        <f>AJ6*AH6</f>
        <v>0</v>
      </c>
    </row>
    <row r="7" spans="1:39" x14ac:dyDescent="0.35">
      <c r="A7" s="121" t="s">
        <v>291</v>
      </c>
      <c r="B7" s="122">
        <v>360</v>
      </c>
      <c r="C7" s="122"/>
      <c r="D7" s="254" cm="1">
        <f t="array" ref="D7">SUMPRODUCT(--(D_Category="Ex_Cat_1"),--(D_EffDate="Eff_Date_1"),--(D_Product="DF"),--(D_SC_Name=$A7),--(D_Zone="All"),(D_Percent))</f>
        <v>0</v>
      </c>
      <c r="E7" s="254" cm="1">
        <f t="array" ref="E7">SUMPRODUCT(--(D_Category="Ex_Cat_1"),--(D_EffDate="Eff_Date_2"),--(D_Product="DF"),--(D_SC_Name=$A7),--(D_Zone="All"),(D_Percent))</f>
        <v>0</v>
      </c>
      <c r="F7" s="122">
        <f>ROUND(($B7*(1-D7)),2)</f>
        <v>360</v>
      </c>
      <c r="G7" s="123"/>
      <c r="H7" s="122">
        <f t="shared" ref="H7:H33" si="0">J7-F7</f>
        <v>0</v>
      </c>
      <c r="I7" s="123"/>
      <c r="J7" s="122">
        <f>ROUND(($B7*(1-E7)),2)</f>
        <v>360</v>
      </c>
      <c r="K7" s="123"/>
      <c r="L7" s="124" cm="1">
        <f t="array" ref="L7">SUMPRODUCT(--(Category="Ex_Cat_1"),--(OpCo="Express Freight"),--(Intl="Domestic"),--(SC_Name=$A7),(SC_Count))</f>
        <v>0</v>
      </c>
      <c r="M7" s="125">
        <f>L7*F7</f>
        <v>0</v>
      </c>
      <c r="N7" s="125">
        <f t="shared" ref="N7:N33" si="1">O7-M7</f>
        <v>0</v>
      </c>
      <c r="O7" s="125">
        <f t="shared" ref="O7:O33" si="2">L7*J7</f>
        <v>0</v>
      </c>
      <c r="P7" s="260" cm="1">
        <f t="array" ref="P7">SUMPRODUCT(--(D_Category="Ex_Cat_2"),--(D_EffDate="Eff_Date_1"),--(D_Product="DF"),--(D_SC_Name=$A7),--(D_Zone="All"),(D_Percent))</f>
        <v>0</v>
      </c>
      <c r="Q7" s="260" cm="1">
        <f t="array" ref="Q7">SUMPRODUCT(--(D_Category="Ex_Cat_2"),--(D_EffDate="Eff_Date_2"),--(D_Product="DF"),--(D_SC_Name=$A7),--(D_Zone="All"),(D_Percent))</f>
        <v>0</v>
      </c>
      <c r="R7" s="122">
        <f>ROUND(($B7*(1-P7)),2)</f>
        <v>360</v>
      </c>
      <c r="S7" s="123"/>
      <c r="T7" s="122">
        <f t="shared" ref="T7:T9" si="3">V7-R7</f>
        <v>0</v>
      </c>
      <c r="U7" s="123"/>
      <c r="V7" s="122">
        <f>ROUND(($B7*(1-Q7)),2)</f>
        <v>360</v>
      </c>
      <c r="W7" s="123"/>
      <c r="X7" s="124" cm="1">
        <f t="array" ref="X7">SUMPRODUCT(--(Category="Ex_Cat_2"),--(OpCo="Express Freight"),--(Intl="Domestic"),--(SC_Name=$A7),(SC_Count))</f>
        <v>0</v>
      </c>
      <c r="Y7" s="125">
        <f>X7*R7</f>
        <v>0</v>
      </c>
      <c r="Z7" s="125">
        <f t="shared" ref="Z7:Z33" si="4">AA7-Y7</f>
        <v>0</v>
      </c>
      <c r="AA7" s="125">
        <f t="shared" ref="AA7:AA9" si="5">X7*V7</f>
        <v>0</v>
      </c>
      <c r="AB7" s="263" cm="1">
        <f t="array" ref="AB7">SUMPRODUCT(--(D_Category="Ex_Cat_3"),--(D_EffDate="Eff_Date_1"),--(D_Product="DF"),--(D_SC_Name=$A7),--(D_Zone="All"),(D_Percent))</f>
        <v>0</v>
      </c>
      <c r="AC7" s="263" cm="1">
        <f t="array" ref="AC7">SUMPRODUCT(--(D_Category="Ex_Cat_3"),--(D_EffDate="Eff_Date_2"),--(D_Product="DF"),--(D_SC_Name=$A7),--(D_Zone="All"),(D_Percent))</f>
        <v>0</v>
      </c>
      <c r="AD7" s="122">
        <f>ROUND(($B7*(1-AB7)),2)</f>
        <v>360</v>
      </c>
      <c r="AE7" s="123"/>
      <c r="AF7" s="122">
        <f t="shared" ref="AF7:AF9" si="6">AH7-AD7</f>
        <v>0</v>
      </c>
      <c r="AG7" s="123"/>
      <c r="AH7" s="122">
        <f>ROUND(($B7*(1-AC7)),2)</f>
        <v>360</v>
      </c>
      <c r="AI7" s="123"/>
      <c r="AJ7" s="124" cm="1">
        <f t="array" ref="AJ7">SUMPRODUCT(--(Category="Ex_Cat_3"),--(OpCo="Express Freight"),--(Intl="Domestic"),--(SC_Name=$A7),(SC_Count))</f>
        <v>0</v>
      </c>
      <c r="AK7" s="125">
        <f>AJ7*AD7</f>
        <v>0</v>
      </c>
      <c r="AL7" s="125">
        <f t="shared" ref="AL7:AL33" si="7">AM7-AK7</f>
        <v>0</v>
      </c>
      <c r="AM7" s="125">
        <f t="shared" ref="AM7:AM9" si="8">AJ7*AH7</f>
        <v>0</v>
      </c>
    </row>
    <row r="8" spans="1:39" x14ac:dyDescent="0.35">
      <c r="A8" s="126" t="s">
        <v>31</v>
      </c>
      <c r="B8" s="127">
        <v>130</v>
      </c>
      <c r="C8" s="127"/>
      <c r="D8" s="254" cm="1">
        <f t="array" ref="D8">SUMPRODUCT(--(D_Category="Ex_Cat_1"),--(D_EffDate="Eff_Date_1"),--(D_Product="DF")+--(D_Product="All"),--(D_SC_Name=$A8),--(D_Zone="All"),(D_Percent))</f>
        <v>0</v>
      </c>
      <c r="E8" s="254" cm="1">
        <f t="array" ref="E8">SUMPRODUCT(--(D_Category="Ex_Cat_1"),--(D_EffDate="Eff_Date_2"),--(D_Product="DF")+--(D_Product="All"),--(D_SC_Name=$A8),--(D_Zone="All"),(D_Percent))</f>
        <v>0</v>
      </c>
      <c r="F8" s="127">
        <f>ROUND(($B8*(1-D8)),2)</f>
        <v>130</v>
      </c>
      <c r="G8" s="128"/>
      <c r="H8" s="127">
        <f t="shared" si="0"/>
        <v>0</v>
      </c>
      <c r="I8" s="128"/>
      <c r="J8" s="127">
        <f>ROUND(($B8*(1-E8)),2)</f>
        <v>130</v>
      </c>
      <c r="K8" s="128"/>
      <c r="L8" s="129" cm="1">
        <f t="array" ref="L8">SUMPRODUCT(--(Category="Ex_Cat_1"),--(OpCo="Express Freight"),--(Intl="Domestic"),--(SC_Name=$A8),(SC_Count))</f>
        <v>0</v>
      </c>
      <c r="M8" s="130">
        <f>L8*F8</f>
        <v>0</v>
      </c>
      <c r="N8" s="130">
        <f t="shared" si="1"/>
        <v>0</v>
      </c>
      <c r="O8" s="130">
        <f t="shared" si="2"/>
        <v>0</v>
      </c>
      <c r="P8" s="260" cm="1">
        <f t="array" ref="P8">SUMPRODUCT(--(D_Category="Ex_Cat_2"),--(D_EffDate="Eff_Date_1"),--(D_Product="DF")+--(D_Product="All"),--(D_SC_Name=$A8),--(D_Zone="All"),(D_Percent))</f>
        <v>0</v>
      </c>
      <c r="Q8" s="260" cm="1">
        <f t="array" ref="Q8">SUMPRODUCT(--(D_Category="Ex_Cat_2"),--(D_EffDate="Eff_Date_2"),--(D_Product="DF")+--(D_Product="All"),--(D_SC_Name=$A8),--(D_Zone="All"),(D_Percent))</f>
        <v>0</v>
      </c>
      <c r="R8" s="127">
        <f>ROUND(($B8*(1-P8)),2)</f>
        <v>130</v>
      </c>
      <c r="S8" s="128"/>
      <c r="T8" s="127">
        <f t="shared" si="3"/>
        <v>0</v>
      </c>
      <c r="U8" s="128"/>
      <c r="V8" s="127">
        <f>ROUND(($B8*(1-Q8)),2)</f>
        <v>130</v>
      </c>
      <c r="W8" s="128"/>
      <c r="X8" s="129" cm="1">
        <f t="array" ref="X8">SUMPRODUCT(--(Category="Ex_Cat_2"),--(OpCo="Express Freight"),--(Intl="Domestic"),--(SC_Name=$A8),(SC_Count))</f>
        <v>0</v>
      </c>
      <c r="Y8" s="130">
        <f>X8*R8</f>
        <v>0</v>
      </c>
      <c r="Z8" s="130">
        <f t="shared" si="4"/>
        <v>0</v>
      </c>
      <c r="AA8" s="130">
        <f t="shared" si="5"/>
        <v>0</v>
      </c>
      <c r="AB8" s="263" cm="1">
        <f t="array" ref="AB8">SUMPRODUCT(--(D_Category="Ex_Cat_3"),--(D_EffDate="Eff_Date_1"),--(D_Product="DF")+--(D_Product="All"),--(D_SC_Name=$A8),--(D_Zone="All"),(D_Percent))</f>
        <v>0</v>
      </c>
      <c r="AC8" s="263" cm="1">
        <f t="array" ref="AC8">SUMPRODUCT(--(D_Category="Ex_Cat_3"),--(D_EffDate="Eff_Date_2"),--(D_Product="DF")+--(D_Product="All"),--(D_SC_Name=$A8),--(D_Zone="All"),(D_Percent))</f>
        <v>0</v>
      </c>
      <c r="AD8" s="127">
        <f>ROUND(($B8*(1-AB8)),2)</f>
        <v>130</v>
      </c>
      <c r="AE8" s="128"/>
      <c r="AF8" s="127">
        <f t="shared" si="6"/>
        <v>0</v>
      </c>
      <c r="AG8" s="128"/>
      <c r="AH8" s="127">
        <f>ROUND(($B8*(1-AC8)),2)</f>
        <v>130</v>
      </c>
      <c r="AI8" s="128"/>
      <c r="AJ8" s="129" cm="1">
        <f t="array" ref="AJ8">SUMPRODUCT(--(Category="Ex_Cat_3"),--(OpCo="Express Freight"),--(Intl="Domestic"),--(SC_Name=$A8),(SC_Count))</f>
        <v>0</v>
      </c>
      <c r="AK8" s="130">
        <f>AJ8*AD8</f>
        <v>0</v>
      </c>
      <c r="AL8" s="130">
        <f t="shared" si="7"/>
        <v>0</v>
      </c>
      <c r="AM8" s="130">
        <f t="shared" si="8"/>
        <v>0</v>
      </c>
    </row>
    <row r="9" spans="1:39" x14ac:dyDescent="0.35">
      <c r="A9" s="117" t="s">
        <v>332</v>
      </c>
      <c r="B9" s="122">
        <v>99.5</v>
      </c>
      <c r="C9" s="122"/>
      <c r="D9" s="254" cm="1">
        <f t="array" ref="D9">SUMPRODUCT(--(D_Category="Ex_Cat_1"),--(D_EffDate="Eff_Date_1"),--(D_Product="DF"),--(D_SC_Name=$A9),--(D_Zone="All"),(D_Percent))</f>
        <v>0</v>
      </c>
      <c r="E9" s="254" cm="1">
        <f t="array" ref="E9">SUMPRODUCT(--(D_Category="Ex_Cat_1"),--(D_EffDate="Eff_Date_2"),--(D_Product="DF"),--(D_SC_Name=$A9),--(D_Zone="All"),(D_Percent))</f>
        <v>0</v>
      </c>
      <c r="F9" s="122">
        <f>ROUND(($B9*(1-D9)),2)</f>
        <v>99.5</v>
      </c>
      <c r="G9" s="123"/>
      <c r="H9" s="122">
        <f t="shared" si="0"/>
        <v>0</v>
      </c>
      <c r="I9" s="123"/>
      <c r="J9" s="122">
        <f>ROUND(($B9*(1-E9)),2)</f>
        <v>99.5</v>
      </c>
      <c r="K9" s="123"/>
      <c r="L9" s="124" cm="1">
        <f t="array" ref="L9">SUMPRODUCT(--(Category="Ex_Cat_1"),--(OpCo="Express Freight"),--(Intl="Domestic"),--(SC_Name=$A9),(SC_Count))</f>
        <v>0</v>
      </c>
      <c r="M9" s="125">
        <f>L9*F9</f>
        <v>0</v>
      </c>
      <c r="N9" s="125">
        <f t="shared" si="1"/>
        <v>0</v>
      </c>
      <c r="O9" s="125">
        <f t="shared" si="2"/>
        <v>0</v>
      </c>
      <c r="P9" s="260" cm="1">
        <f t="array" ref="P9">SUMPRODUCT(--(D_Category="Ex_Cat_2"),--(D_EffDate="Eff_Date_1"),--(D_Product="DF"),--(D_SC_Name=$A9),--(D_Zone="All"),(D_Percent))</f>
        <v>0</v>
      </c>
      <c r="Q9" s="260" cm="1">
        <f t="array" ref="Q9">SUMPRODUCT(--(D_Category="Ex_Cat_2"),--(D_EffDate="Eff_Date_2"),--(D_Product="DF"),--(D_SC_Name=$A9),--(D_Zone="All"),(D_Percent))</f>
        <v>0</v>
      </c>
      <c r="R9" s="122">
        <f>ROUND(($B9*(1-P9)),2)</f>
        <v>99.5</v>
      </c>
      <c r="S9" s="123"/>
      <c r="T9" s="122">
        <f t="shared" si="3"/>
        <v>0</v>
      </c>
      <c r="U9" s="123"/>
      <c r="V9" s="122">
        <f>ROUND(($B9*(1-Q9)),2)</f>
        <v>99.5</v>
      </c>
      <c r="W9" s="123"/>
      <c r="X9" s="124" cm="1">
        <f t="array" ref="X9">SUMPRODUCT(--(Category="Ex_Cat_2"),--(OpCo="Express Freight"),--(Intl="Domestic"),--(SC_Name=$A9),(SC_Count))</f>
        <v>0</v>
      </c>
      <c r="Y9" s="125">
        <f>X9*R9</f>
        <v>0</v>
      </c>
      <c r="Z9" s="125">
        <f t="shared" si="4"/>
        <v>0</v>
      </c>
      <c r="AA9" s="125">
        <f t="shared" si="5"/>
        <v>0</v>
      </c>
      <c r="AB9" s="263" cm="1">
        <f t="array" ref="AB9">SUMPRODUCT(--(D_Category="Ex_Cat_3"),--(D_EffDate="Eff_Date_1"),--(D_Product="DF"),--(D_SC_Name=$A9),--(D_Zone="All"),(D_Percent))</f>
        <v>0</v>
      </c>
      <c r="AC9" s="263" cm="1">
        <f t="array" ref="AC9">SUMPRODUCT(--(D_Category="Ex_Cat_3"),--(D_EffDate="Eff_Date_2"),--(D_Product="DF"),--(D_SC_Name=$A9),--(D_Zone="All"),(D_Percent))</f>
        <v>0</v>
      </c>
      <c r="AD9" s="122">
        <f>ROUND(($B9*(1-AB9)),2)</f>
        <v>99.5</v>
      </c>
      <c r="AE9" s="123"/>
      <c r="AF9" s="122">
        <f t="shared" si="6"/>
        <v>0</v>
      </c>
      <c r="AG9" s="123"/>
      <c r="AH9" s="122">
        <f>ROUND(($B9*(1-AC9)),2)</f>
        <v>99.5</v>
      </c>
      <c r="AI9" s="123"/>
      <c r="AJ9" s="124" cm="1">
        <f t="array" ref="AJ9">SUMPRODUCT(--(Category="Ex_Cat_3"),--(OpCo="Express Freight"),--(Intl="Domestic"),--(SC_Name=$A9),(SC_Count))</f>
        <v>0</v>
      </c>
      <c r="AK9" s="125">
        <f>AJ9*AD9</f>
        <v>0</v>
      </c>
      <c r="AL9" s="125">
        <f t="shared" si="7"/>
        <v>0</v>
      </c>
      <c r="AM9" s="125">
        <f t="shared" si="8"/>
        <v>0</v>
      </c>
    </row>
    <row r="10" spans="1:39" x14ac:dyDescent="0.35">
      <c r="A10" s="131" t="s">
        <v>51</v>
      </c>
      <c r="B10" s="127"/>
      <c r="C10" s="127"/>
      <c r="D10" s="254"/>
      <c r="E10" s="254"/>
      <c r="F10" s="127"/>
      <c r="G10" s="128"/>
      <c r="H10" s="127"/>
      <c r="I10" s="128"/>
      <c r="J10" s="127"/>
      <c r="K10" s="128"/>
      <c r="L10" s="129"/>
      <c r="M10" s="130"/>
      <c r="N10" s="130"/>
      <c r="O10" s="130"/>
      <c r="P10" s="260"/>
      <c r="Q10" s="260"/>
      <c r="R10" s="127"/>
      <c r="S10" s="128"/>
      <c r="T10" s="127"/>
      <c r="U10" s="128"/>
      <c r="V10" s="127"/>
      <c r="W10" s="128"/>
      <c r="X10" s="129"/>
      <c r="Y10" s="130"/>
      <c r="Z10" s="130"/>
      <c r="AA10" s="130"/>
      <c r="AB10" s="263"/>
      <c r="AC10" s="263"/>
      <c r="AD10" s="127"/>
      <c r="AE10" s="128"/>
      <c r="AF10" s="127"/>
      <c r="AG10" s="128"/>
      <c r="AH10" s="127"/>
      <c r="AI10" s="128"/>
      <c r="AJ10" s="129"/>
      <c r="AK10" s="130"/>
      <c r="AL10" s="130"/>
      <c r="AM10" s="130"/>
    </row>
    <row r="11" spans="1:39" x14ac:dyDescent="0.35">
      <c r="A11" s="132" t="s">
        <v>62</v>
      </c>
      <c r="B11" s="127">
        <v>185</v>
      </c>
      <c r="C11" s="133">
        <v>1.48</v>
      </c>
      <c r="D11" s="254" cm="1">
        <f t="array" ref="D11">SUMPRODUCT(--(D_Category="Ex_Cat_1"),--(D_EffDate="Eff_Date_1"),--(D_Product="DF"),--(D_SC_Name=$A11),--(D_Zone="All"),(D_Percent))</f>
        <v>0</v>
      </c>
      <c r="E11" s="254" cm="1">
        <f t="array" ref="E11">SUMPRODUCT(--(D_Category="Ex_Cat_1"),--(D_EffDate="Eff_Date_2"),--(D_Product="DF"),--(D_SC_Name=$A11),--(D_Zone="All"),(D_Percent))</f>
        <v>0</v>
      </c>
      <c r="F11" s="127">
        <f t="shared" ref="F11:F17" si="9">ROUND(($B11*(1-D11)),2)</f>
        <v>185</v>
      </c>
      <c r="G11" s="133">
        <f>$C11*(1-D11)</f>
        <v>1.48</v>
      </c>
      <c r="H11" s="127">
        <f t="shared" si="0"/>
        <v>0</v>
      </c>
      <c r="I11" s="133">
        <f t="shared" ref="I11:I14" si="10">K11-G11</f>
        <v>0</v>
      </c>
      <c r="J11" s="127">
        <f t="shared" ref="J11:J17" si="11">ROUND(($B11*(1-E11)),2)</f>
        <v>185</v>
      </c>
      <c r="K11" s="133">
        <f>$C11*(1-E11)</f>
        <v>1.48</v>
      </c>
      <c r="L11" s="129" cm="1">
        <f t="array" ref="L11">SUMPRODUCT(--(Category="Ex_Cat_1"),--(OpCo="Express Freight"),--(Intl="Domestic"),--(SC_Name=$A11),(SC_Count))</f>
        <v>0</v>
      </c>
      <c r="M11" s="130">
        <f>L11*F11</f>
        <v>0</v>
      </c>
      <c r="N11" s="130">
        <f t="shared" si="1"/>
        <v>0</v>
      </c>
      <c r="O11" s="130">
        <f t="shared" si="2"/>
        <v>0</v>
      </c>
      <c r="P11" s="260" cm="1">
        <f t="array" ref="P11">SUMPRODUCT(--(D_Category="Ex_Cat_2"),--(D_EffDate="Eff_Date_1"),--(D_Product="DF"),--(D_SC_Name=$A11),--(D_Zone="All"),(D_Percent))</f>
        <v>0</v>
      </c>
      <c r="Q11" s="260" cm="1">
        <f t="array" ref="Q11">SUMPRODUCT(--(D_Category="Ex_Cat_2"),--(D_EffDate="Eff_Date_2"),--(D_Product="DF"),--(D_SC_Name=$A11),--(D_Zone="All"),(D_Percent))</f>
        <v>0</v>
      </c>
      <c r="R11" s="127">
        <f t="shared" ref="R11:R17" si="12">ROUND(($B11*(1-P11)),2)</f>
        <v>185</v>
      </c>
      <c r="S11" s="133">
        <f>$C11*(1-P11)</f>
        <v>1.48</v>
      </c>
      <c r="T11" s="127">
        <f t="shared" ref="T11:T17" si="13">V11-R11</f>
        <v>0</v>
      </c>
      <c r="U11" s="133">
        <f t="shared" ref="U11:U14" si="14">W11-S11</f>
        <v>0</v>
      </c>
      <c r="V11" s="127">
        <f t="shared" ref="V11:V17" si="15">ROUND(($B11*(1-Q11)),2)</f>
        <v>185</v>
      </c>
      <c r="W11" s="133">
        <f>$C11*(1-Q11)</f>
        <v>1.48</v>
      </c>
      <c r="X11" s="129" cm="1">
        <f t="array" ref="X11">SUMPRODUCT(--(Category="Ex_Cat_2"),--(OpCo="Express Freight"),--(Intl="Domestic"),--(SC_Name=$A11),(SC_Count))</f>
        <v>0</v>
      </c>
      <c r="Y11" s="130">
        <f>X11*R11</f>
        <v>0</v>
      </c>
      <c r="Z11" s="130">
        <f t="shared" si="4"/>
        <v>0</v>
      </c>
      <c r="AA11" s="130">
        <f t="shared" ref="AA11:AA12" si="16">X11*V11</f>
        <v>0</v>
      </c>
      <c r="AB11" s="263" cm="1">
        <f t="array" ref="AB11">SUMPRODUCT(--(D_Category="Ex_Cat_3"),--(D_EffDate="Eff_Date_1"),--(D_Product="DF"),--(D_SC_Name=$A11),--(D_Zone="All"),(D_Percent))</f>
        <v>0</v>
      </c>
      <c r="AC11" s="263" cm="1">
        <f t="array" ref="AC11">SUMPRODUCT(--(D_Category="Ex_Cat_3"),--(D_EffDate="Eff_Date_2"),--(D_Product="DF"),--(D_SC_Name=$A11),--(D_Zone="All"),(D_Percent))</f>
        <v>0</v>
      </c>
      <c r="AD11" s="127">
        <f t="shared" ref="AD11:AD17" si="17">ROUND(($B11*(1-AB11)),2)</f>
        <v>185</v>
      </c>
      <c r="AE11" s="133">
        <f>$C11*(1-AB11)</f>
        <v>1.48</v>
      </c>
      <c r="AF11" s="127">
        <f t="shared" ref="AF11:AF17" si="18">AH11-AD11</f>
        <v>0</v>
      </c>
      <c r="AG11" s="133">
        <f t="shared" ref="AG11:AG14" si="19">AI11-AE11</f>
        <v>0</v>
      </c>
      <c r="AH11" s="127">
        <f t="shared" ref="AH11:AH17" si="20">ROUND(($B11*(1-AC11)),2)</f>
        <v>185</v>
      </c>
      <c r="AI11" s="133">
        <f>$C11*(1-AC11)</f>
        <v>1.48</v>
      </c>
      <c r="AJ11" s="129" cm="1">
        <f t="array" ref="AJ11">SUMPRODUCT(--(Category="Ex_Cat_3"),--(OpCo="Express Freight"),--(Intl="Domestic"),--(SC_Name=$A11),(SC_Count))</f>
        <v>0</v>
      </c>
      <c r="AK11" s="130">
        <f>AJ11*AD11</f>
        <v>0</v>
      </c>
      <c r="AL11" s="130">
        <f t="shared" si="7"/>
        <v>0</v>
      </c>
      <c r="AM11" s="130">
        <f t="shared" ref="AM11:AM12" si="21">AJ11*AH11</f>
        <v>0</v>
      </c>
    </row>
    <row r="12" spans="1:39" x14ac:dyDescent="0.35">
      <c r="A12" s="132" t="s">
        <v>977</v>
      </c>
      <c r="B12" s="127">
        <v>153.5</v>
      </c>
      <c r="C12" s="133">
        <v>0.53</v>
      </c>
      <c r="D12" s="254" cm="1">
        <f t="array" ref="D12">SUMPRODUCT(--(D_Category="Ex_Cat_1"),--(D_EffDate="Eff_Date_1"),--(D_Product="DF"),--(D_SC_Name=$A12),--(D_Zone="All"),(D_Percent))</f>
        <v>0</v>
      </c>
      <c r="E12" s="254" cm="1">
        <f t="array" ref="E12">SUMPRODUCT(--(D_Category="Ex_Cat_1"),--(D_EffDate="Eff_Date_2"),--(D_Product="DF"),--(D_SC_Name=$A12),--(D_Zone="All"),(D_Percent))</f>
        <v>0</v>
      </c>
      <c r="F12" s="127">
        <f t="shared" si="9"/>
        <v>153.5</v>
      </c>
      <c r="G12" s="133">
        <f>$C12*(1-D12)</f>
        <v>0.53</v>
      </c>
      <c r="H12" s="127">
        <f t="shared" si="0"/>
        <v>0</v>
      </c>
      <c r="I12" s="133">
        <f t="shared" si="10"/>
        <v>0</v>
      </c>
      <c r="J12" s="127">
        <f t="shared" si="11"/>
        <v>153.5</v>
      </c>
      <c r="K12" s="133">
        <f>$C12*(1-E12)</f>
        <v>0.53</v>
      </c>
      <c r="L12" s="129" cm="1">
        <f t="array" ref="L12">SUMPRODUCT(--(Category="Ex_Cat_1"),--(OpCo="Express Freight"),--(Intl="Domestic"),--(SC_Name=$A12),(SC_Count))</f>
        <v>0</v>
      </c>
      <c r="M12" s="130">
        <f>L12*F12</f>
        <v>0</v>
      </c>
      <c r="N12" s="130">
        <f t="shared" si="1"/>
        <v>0</v>
      </c>
      <c r="O12" s="130">
        <f t="shared" si="2"/>
        <v>0</v>
      </c>
      <c r="P12" s="260" cm="1">
        <f t="array" ref="P12">SUMPRODUCT(--(D_Category="Ex_Cat_2"),--(D_EffDate="Eff_Date_1"),--(D_Product="DF"),--(D_SC_Name=$A12),--(D_Zone="All"),(D_Percent))</f>
        <v>0</v>
      </c>
      <c r="Q12" s="260" cm="1">
        <f t="array" ref="Q12">SUMPRODUCT(--(D_Category="Ex_Cat_2"),--(D_EffDate="Eff_Date_2"),--(D_Product="DF"),--(D_SC_Name=$A12),--(D_Zone="All"),(D_Percent))</f>
        <v>0</v>
      </c>
      <c r="R12" s="127">
        <f t="shared" si="12"/>
        <v>153.5</v>
      </c>
      <c r="S12" s="133">
        <f>$C12*(1-P12)</f>
        <v>0.53</v>
      </c>
      <c r="T12" s="127">
        <f t="shared" si="13"/>
        <v>0</v>
      </c>
      <c r="U12" s="133">
        <f t="shared" si="14"/>
        <v>0</v>
      </c>
      <c r="V12" s="127">
        <f t="shared" si="15"/>
        <v>153.5</v>
      </c>
      <c r="W12" s="133">
        <f>$C12*(1-Q12)</f>
        <v>0.53</v>
      </c>
      <c r="X12" s="129" cm="1">
        <f t="array" ref="X12">SUMPRODUCT(--(Category="Ex_Cat_2"),--(OpCo="Express Freight"),--(Intl="Domestic"),--(SC_Name=$A12),(SC_Count))</f>
        <v>0</v>
      </c>
      <c r="Y12" s="130">
        <f>X12*R12</f>
        <v>0</v>
      </c>
      <c r="Z12" s="130">
        <f t="shared" si="4"/>
        <v>0</v>
      </c>
      <c r="AA12" s="130">
        <f t="shared" si="16"/>
        <v>0</v>
      </c>
      <c r="AB12" s="263" cm="1">
        <f t="array" ref="AB12">SUMPRODUCT(--(D_Category="Ex_Cat_3"),--(D_EffDate="Eff_Date_1"),--(D_Product="DF"),--(D_SC_Name=$A12),--(D_Zone="All"),(D_Percent))</f>
        <v>0</v>
      </c>
      <c r="AC12" s="263" cm="1">
        <f t="array" ref="AC12">SUMPRODUCT(--(D_Category="Ex_Cat_3"),--(D_EffDate="Eff_Date_2"),--(D_Product="DF"),--(D_SC_Name=$A12),--(D_Zone="All"),(D_Percent))</f>
        <v>0</v>
      </c>
      <c r="AD12" s="127">
        <f t="shared" si="17"/>
        <v>153.5</v>
      </c>
      <c r="AE12" s="133">
        <f>$C12*(1-AB12)</f>
        <v>0.53</v>
      </c>
      <c r="AF12" s="127">
        <f t="shared" si="18"/>
        <v>0</v>
      </c>
      <c r="AG12" s="133">
        <f t="shared" si="19"/>
        <v>0</v>
      </c>
      <c r="AH12" s="127">
        <f t="shared" si="20"/>
        <v>153.5</v>
      </c>
      <c r="AI12" s="133">
        <f>$C12*(1-AC12)</f>
        <v>0.53</v>
      </c>
      <c r="AJ12" s="129" cm="1">
        <f t="array" ref="AJ12">SUMPRODUCT(--(Category="Ex_Cat_3"),--(OpCo="Express Freight"),--(Intl="Domestic"),--(SC_Name=$A12),(SC_Count))</f>
        <v>0</v>
      </c>
      <c r="AK12" s="130">
        <f>AJ12*AD12</f>
        <v>0</v>
      </c>
      <c r="AL12" s="130">
        <f t="shared" si="7"/>
        <v>0</v>
      </c>
      <c r="AM12" s="130">
        <f t="shared" si="21"/>
        <v>0</v>
      </c>
    </row>
    <row r="13" spans="1:39" x14ac:dyDescent="0.35">
      <c r="A13" s="117" t="s">
        <v>28</v>
      </c>
      <c r="B13" s="122">
        <v>1.65</v>
      </c>
      <c r="C13" s="134">
        <v>1</v>
      </c>
      <c r="D13" s="254" cm="1">
        <f t="array" ref="D13">SUMPRODUCT(--(D_Category="Ex_Cat_1"),--(D_EffDate="Eff_Date_1"),--(D_Product="DF"),--(D_SC_Name=$A13),--(D_Zone="All"),(D_Percent))</f>
        <v>0</v>
      </c>
      <c r="E13" s="254" cm="1">
        <f t="array" ref="E13">SUMPRODUCT(--(D_Category="Ex_Cat_1"),--(D_EffDate="Eff_Date_2"),--(D_Product="DF"),--(D_SC_Name=$A13),--(D_Zone="All"),(D_Percent))</f>
        <v>0</v>
      </c>
      <c r="F13" s="122">
        <f t="shared" si="9"/>
        <v>1.65</v>
      </c>
      <c r="G13" s="134">
        <f>$C13*(1-D13)</f>
        <v>1</v>
      </c>
      <c r="H13" s="122">
        <f t="shared" si="0"/>
        <v>0</v>
      </c>
      <c r="I13" s="134">
        <f t="shared" si="10"/>
        <v>0</v>
      </c>
      <c r="J13" s="122">
        <f t="shared" si="11"/>
        <v>1.65</v>
      </c>
      <c r="K13" s="134">
        <f>$C13*(1-E13)</f>
        <v>1</v>
      </c>
      <c r="L13" s="124" cm="1">
        <f t="array" ref="L13">SUMPRODUCT(--(Category="Ex_Cat_1"),--(OpCo="Express Freight"),--(Intl="Domestic"),--(SC_Name=$A13),(SC_Count))</f>
        <v>0</v>
      </c>
      <c r="M13" s="257"/>
      <c r="N13" s="371"/>
      <c r="O13" s="370"/>
      <c r="P13" s="260" cm="1">
        <f t="array" ref="P13">SUMPRODUCT(--(D_Category="Ex_Cat_2"),--(D_EffDate="Eff_Date_1"),--(D_Product="DF"),--(D_SC_Name=$A13),--(D_Zone="All"),(D_Percent))</f>
        <v>0</v>
      </c>
      <c r="Q13" s="260" cm="1">
        <f t="array" ref="Q13">SUMPRODUCT(--(D_Category="Ex_Cat_2"),--(D_EffDate="Eff_Date_2"),--(D_Product="DF"),--(D_SC_Name=$A13),--(D_Zone="All"),(D_Percent))</f>
        <v>0</v>
      </c>
      <c r="R13" s="122">
        <f t="shared" si="12"/>
        <v>1.65</v>
      </c>
      <c r="S13" s="134">
        <f>$C13*(1-P13)</f>
        <v>1</v>
      </c>
      <c r="T13" s="122">
        <f t="shared" si="13"/>
        <v>0</v>
      </c>
      <c r="U13" s="134">
        <f t="shared" si="14"/>
        <v>0</v>
      </c>
      <c r="V13" s="122">
        <f t="shared" si="15"/>
        <v>1.65</v>
      </c>
      <c r="W13" s="134">
        <f>$C13*(1-Q13)</f>
        <v>1</v>
      </c>
      <c r="X13" s="124" cm="1">
        <f t="array" ref="X13">SUMPRODUCT(--(Category="Ex_Cat_2"),--(OpCo="Express Freight"),--(Intl="Domestic"),--(SC_Name=$A13),(SC_Count))</f>
        <v>0</v>
      </c>
      <c r="Y13" s="257"/>
      <c r="Z13" s="371"/>
      <c r="AA13" s="370"/>
      <c r="AB13" s="263" cm="1">
        <f t="array" ref="AB13">SUMPRODUCT(--(D_Category="Ex_Cat_3"),--(D_EffDate="Eff_Date_1"),--(D_Product="DF"),--(D_SC_Name=$A13),--(D_Zone="All"),(D_Percent))</f>
        <v>0</v>
      </c>
      <c r="AC13" s="263" cm="1">
        <f t="array" ref="AC13">SUMPRODUCT(--(D_Category="Ex_Cat_3"),--(D_EffDate="Eff_Date_2"),--(D_Product="DF"),--(D_SC_Name=$A13),--(D_Zone="All"),(D_Percent))</f>
        <v>0</v>
      </c>
      <c r="AD13" s="122">
        <f t="shared" si="17"/>
        <v>1.65</v>
      </c>
      <c r="AE13" s="134">
        <f>$C13*(1-AB13)</f>
        <v>1</v>
      </c>
      <c r="AF13" s="122">
        <f t="shared" si="18"/>
        <v>0</v>
      </c>
      <c r="AG13" s="134">
        <f t="shared" si="19"/>
        <v>0</v>
      </c>
      <c r="AH13" s="122">
        <f t="shared" si="20"/>
        <v>1.65</v>
      </c>
      <c r="AI13" s="134">
        <f>$C13*(1-AC13)</f>
        <v>1</v>
      </c>
      <c r="AJ13" s="124" cm="1">
        <f t="array" ref="AJ13">SUMPRODUCT(--(Category="Ex_Cat_3"),--(OpCo="Express Freight"),--(Intl="Domestic"),--(SC_Name=$A13),(SC_Count))</f>
        <v>0</v>
      </c>
      <c r="AK13" s="257"/>
      <c r="AL13" s="371"/>
      <c r="AM13" s="370"/>
    </row>
    <row r="14" spans="1:39" x14ac:dyDescent="0.35">
      <c r="A14" s="131" t="s">
        <v>273</v>
      </c>
      <c r="B14" s="127">
        <v>97</v>
      </c>
      <c r="C14" s="133">
        <v>0.106</v>
      </c>
      <c r="D14" s="254" cm="1">
        <f t="array" ref="D14">SUMPRODUCT(--(D_Category="Ex_Cat_1"),--(D_EffDate="Eff_Date_1"),--(D_Product="DF"),--(D_SC_Name=$A14),--(D_Zone="All"),(D_Percent))</f>
        <v>0</v>
      </c>
      <c r="E14" s="254" cm="1">
        <f t="array" ref="E14">SUMPRODUCT(--(D_Category="Ex_Cat_1"),--(D_EffDate="Eff_Date_2"),--(D_Product="DF"),--(D_SC_Name=$A14),--(D_Zone="All"),(D_Percent))</f>
        <v>0</v>
      </c>
      <c r="F14" s="127">
        <f t="shared" si="9"/>
        <v>97</v>
      </c>
      <c r="G14" s="133">
        <f>$C14*(1-D14)</f>
        <v>0.106</v>
      </c>
      <c r="H14" s="127">
        <f t="shared" si="0"/>
        <v>0</v>
      </c>
      <c r="I14" s="133">
        <f t="shared" si="10"/>
        <v>0</v>
      </c>
      <c r="J14" s="127">
        <f t="shared" si="11"/>
        <v>97</v>
      </c>
      <c r="K14" s="133">
        <f>$C14*(1-E14)</f>
        <v>0.106</v>
      </c>
      <c r="L14" s="129" cm="1">
        <f t="array" ref="L14">SUMPRODUCT(--(Category="Ex_Cat_1"),--(OpCo="Express Freight"),--(Intl="Domestic"),--(SC_Name=$A14),(SC_Count))</f>
        <v>0</v>
      </c>
      <c r="M14" s="130">
        <f>L14*F14</f>
        <v>0</v>
      </c>
      <c r="N14" s="130">
        <f t="shared" si="1"/>
        <v>0</v>
      </c>
      <c r="O14" s="130">
        <f t="shared" si="2"/>
        <v>0</v>
      </c>
      <c r="P14" s="260" cm="1">
        <f t="array" ref="P14">SUMPRODUCT(--(D_Category="Ex_Cat_2"),--(D_EffDate="Eff_Date_1"),--(D_Product="DF"),--(D_SC_Name=$A14),--(D_Zone="All"),(D_Percent))</f>
        <v>0</v>
      </c>
      <c r="Q14" s="260" cm="1">
        <f t="array" ref="Q14">SUMPRODUCT(--(D_Category="Ex_Cat_2"),--(D_EffDate="Eff_Date_2"),--(D_Product="DF"),--(D_SC_Name=$A14),--(D_Zone="All"),(D_Percent))</f>
        <v>0</v>
      </c>
      <c r="R14" s="127">
        <f t="shared" si="12"/>
        <v>97</v>
      </c>
      <c r="S14" s="133">
        <f>$C14*(1-P14)</f>
        <v>0.106</v>
      </c>
      <c r="T14" s="127">
        <f t="shared" si="13"/>
        <v>0</v>
      </c>
      <c r="U14" s="133">
        <f t="shared" si="14"/>
        <v>0</v>
      </c>
      <c r="V14" s="127">
        <f t="shared" si="15"/>
        <v>97</v>
      </c>
      <c r="W14" s="133">
        <f>$C14*(1-Q14)</f>
        <v>0.106</v>
      </c>
      <c r="X14" s="129" cm="1">
        <f t="array" ref="X14">SUMPRODUCT(--(Category="Ex_Cat_2"),--(OpCo="Express Freight"),--(Intl="Domestic"),--(SC_Name=$A14),(SC_Count))</f>
        <v>0</v>
      </c>
      <c r="Y14" s="130">
        <f>X14*R14</f>
        <v>0</v>
      </c>
      <c r="Z14" s="130">
        <f t="shared" si="4"/>
        <v>0</v>
      </c>
      <c r="AA14" s="130">
        <f t="shared" ref="AA14:AA17" si="22">X14*V14</f>
        <v>0</v>
      </c>
      <c r="AB14" s="263" cm="1">
        <f t="array" ref="AB14">SUMPRODUCT(--(D_Category="Ex_Cat_3"),--(D_EffDate="Eff_Date_1"),--(D_Product="DF"),--(D_SC_Name=$A14),--(D_Zone="All"),(D_Percent))</f>
        <v>0</v>
      </c>
      <c r="AC14" s="263" cm="1">
        <f t="array" ref="AC14">SUMPRODUCT(--(D_Category="Ex_Cat_3"),--(D_EffDate="Eff_Date_2"),--(D_Product="DF"),--(D_SC_Name=$A14),--(D_Zone="All"),(D_Percent))</f>
        <v>0</v>
      </c>
      <c r="AD14" s="127">
        <f t="shared" si="17"/>
        <v>97</v>
      </c>
      <c r="AE14" s="133">
        <f>$C14*(1-AB14)</f>
        <v>0.106</v>
      </c>
      <c r="AF14" s="127">
        <f t="shared" si="18"/>
        <v>0</v>
      </c>
      <c r="AG14" s="133">
        <f t="shared" si="19"/>
        <v>0</v>
      </c>
      <c r="AH14" s="127">
        <f t="shared" si="20"/>
        <v>97</v>
      </c>
      <c r="AI14" s="133">
        <f>$C14*(1-AC14)</f>
        <v>0.106</v>
      </c>
      <c r="AJ14" s="129" cm="1">
        <f t="array" ref="AJ14">SUMPRODUCT(--(Category="Ex_Cat_3"),--(OpCo="Express Freight"),--(Intl="Domestic"),--(SC_Name=$A14),(SC_Count))</f>
        <v>0</v>
      </c>
      <c r="AK14" s="130">
        <f>AJ14*AD14</f>
        <v>0</v>
      </c>
      <c r="AL14" s="130">
        <f t="shared" si="7"/>
        <v>0</v>
      </c>
      <c r="AM14" s="130">
        <f t="shared" ref="AM14:AM17" si="23">AJ14*AH14</f>
        <v>0</v>
      </c>
    </row>
    <row r="15" spans="1:39" x14ac:dyDescent="0.35">
      <c r="A15" s="135" t="s">
        <v>890</v>
      </c>
      <c r="B15" s="122">
        <v>260</v>
      </c>
      <c r="C15" s="134"/>
      <c r="D15" s="254" cm="1">
        <f t="array" ref="D15">IFERROR(SUMPRODUCT(--(D_Category="Ex_Cat_1"),--(D_EffDate="Eff_Date_1"),--(D_Product="DF"),--(D_SC_Name=$A15),--(D_Zone="All"),(D_Percent))/SUMPRODUCT(--(D_Category="Ex_Cat_1"),--(D_EffDate="Eff_Date_1"),--(D_Product="DF"),--(D_SC_Name=$A15),--(D_Zone="All")),0)</f>
        <v>0</v>
      </c>
      <c r="E15" s="254" cm="1">
        <f t="array" ref="E15">IFERROR(SUMPRODUCT(--(D_Category="Ex_Cat_1"),--(D_EffDate="Eff_Date_2"),--(D_Product="DF"),--(D_SC_Name=$A15),--(D_Zone="All"),(D_Percent))/SUMPRODUCT(--(D_Category="Ex_Cat_1"),--(D_EffDate="Eff_Date_2"),--(D_Product="DF"),--(D_SC_Name=$A15),--(D_Zone="All")),0)</f>
        <v>0</v>
      </c>
      <c r="F15" s="122">
        <f t="shared" si="9"/>
        <v>260</v>
      </c>
      <c r="G15" s="134"/>
      <c r="H15" s="122">
        <f t="shared" si="0"/>
        <v>0</v>
      </c>
      <c r="I15" s="134"/>
      <c r="J15" s="122">
        <f t="shared" si="11"/>
        <v>260</v>
      </c>
      <c r="K15" s="134"/>
      <c r="L15" s="124" cm="1">
        <f t="array" ref="L15">SUMPRODUCT(--(Category="Ex_Cat_1"),--(OpCo="Express Freight"),--(Intl="Domestic"),--(SC_Name=$A15),(SC_Count))</f>
        <v>0</v>
      </c>
      <c r="M15" s="125">
        <f>L15*F15</f>
        <v>0</v>
      </c>
      <c r="N15" s="125">
        <f t="shared" si="1"/>
        <v>0</v>
      </c>
      <c r="O15" s="125">
        <f t="shared" si="2"/>
        <v>0</v>
      </c>
      <c r="P15" s="260" cm="1">
        <f t="array" ref="P15">IFERROR(SUMPRODUCT(--(D_Category="Ex_Cat_2"),--(D_EffDate="Eff_Date_1"),--(D_Product="DF"),--(D_SC_Name=$A15),--(D_Zone="All"),(D_Percent))/SUMPRODUCT(--(D_Category="Ex_Cat_2"),--(D_EffDate="Eff_Date_1"),--(D_Product="DF"),--(D_SC_Name=$A15),--(D_Zone="All")),0)</f>
        <v>0</v>
      </c>
      <c r="Q15" s="260" cm="1">
        <f t="array" ref="Q15">IFERROR(SUMPRODUCT(--(D_Category="Ex_Cat_2"),--(D_EffDate="Eff_Date_2"),--(D_Product="DF"),--(D_SC_Name=$A15),--(D_Zone="All"),(D_Percent))/SUMPRODUCT(--(D_Category="Ex_Cat_2"),--(D_EffDate="Eff_Date_2"),--(D_Product="DF"),--(D_SC_Name=$A15),--(D_Zone="All")),0)</f>
        <v>0</v>
      </c>
      <c r="R15" s="122">
        <f t="shared" si="12"/>
        <v>260</v>
      </c>
      <c r="S15" s="134"/>
      <c r="T15" s="122">
        <f t="shared" si="13"/>
        <v>0</v>
      </c>
      <c r="U15" s="134"/>
      <c r="V15" s="122">
        <f t="shared" si="15"/>
        <v>260</v>
      </c>
      <c r="W15" s="134"/>
      <c r="X15" s="124" cm="1">
        <f t="array" ref="X15">SUMPRODUCT(--(Category="Ex_Cat_2"),--(OpCo="Express Freight"),--(Intl="Domestic"),--(SC_Name=$A15),(SC_Count))</f>
        <v>0</v>
      </c>
      <c r="Y15" s="125">
        <f>X15*R15</f>
        <v>0</v>
      </c>
      <c r="Z15" s="125">
        <f t="shared" si="4"/>
        <v>0</v>
      </c>
      <c r="AA15" s="125">
        <f t="shared" si="22"/>
        <v>0</v>
      </c>
      <c r="AB15" s="263" cm="1">
        <f t="array" ref="AB15">IFERROR(SUMPRODUCT(--(D_Category="Ex_Cat_3"),--(D_EffDate="Eff_Date_1"),--(D_Product="DF"),--(D_SC_Name=$A15),--(D_Zone="All"),(D_Percent))/SUMPRODUCT(--(D_Category="Ex_Cat_3"),--(D_EffDate="Eff_Date_1"),--(D_Product="DF"),--(D_SC_Name=$A15),--(D_Zone="All")),0)</f>
        <v>0</v>
      </c>
      <c r="AC15" s="263" cm="1">
        <f t="array" ref="AC15">IFERROR(SUMPRODUCT(--(D_Category="Ex_Cat_3"),--(D_EffDate="Eff_Date_2"),--(D_Product="DF"),--(D_SC_Name=$A15),--(D_Zone="All"),(D_Percent))/SUMPRODUCT(--(D_Category="Ex_Cat_3"),--(D_EffDate="Eff_Date_2"),--(D_Product="DF"),--(D_SC_Name=$A15),--(D_Zone="All")),0)</f>
        <v>0</v>
      </c>
      <c r="AD15" s="122">
        <f t="shared" si="17"/>
        <v>260</v>
      </c>
      <c r="AE15" s="134"/>
      <c r="AF15" s="122">
        <f t="shared" si="18"/>
        <v>0</v>
      </c>
      <c r="AG15" s="134"/>
      <c r="AH15" s="122">
        <f t="shared" si="20"/>
        <v>260</v>
      </c>
      <c r="AI15" s="134"/>
      <c r="AJ15" s="124" cm="1">
        <f t="array" ref="AJ15">SUMPRODUCT(--(Category="Ex_Cat_3"),--(OpCo="Express Freight"),--(Intl="Domestic"),--(SC_Name=$A15),(SC_Count))</f>
        <v>0</v>
      </c>
      <c r="AK15" s="125">
        <f>AJ15*AD15</f>
        <v>0</v>
      </c>
      <c r="AL15" s="125">
        <f t="shared" si="7"/>
        <v>0</v>
      </c>
      <c r="AM15" s="125">
        <f t="shared" si="23"/>
        <v>0</v>
      </c>
    </row>
    <row r="16" spans="1:39" x14ac:dyDescent="0.35">
      <c r="A16" s="126" t="s">
        <v>892</v>
      </c>
      <c r="B16" s="127">
        <v>260</v>
      </c>
      <c r="C16" s="133"/>
      <c r="D16" s="254" cm="1">
        <f t="array" ref="D16">IFERROR(SUMPRODUCT(--(D_Category="Ex_Cat_1"),--(D_EffDate="Eff_Date_1"),--(D_Product="DF"),--(D_SC_Name=$A16),--(D_Zone="All"),(D_Percent))/SUMPRODUCT(--(D_Category="Ex_Cat_1"),--(D_EffDate="Eff_Date_1"),--(D_Product="DF"),--(D_SC_Name=$A16),--(D_Zone="All")),0)</f>
        <v>0</v>
      </c>
      <c r="E16" s="254" cm="1">
        <f t="array" ref="E16">IFERROR(SUMPRODUCT(--(D_Category="Ex_Cat_1"),--(D_EffDate="Eff_Date_2"),--(D_Product="DF"),--(D_SC_Name=$A16),--(D_Zone="All"),(D_Percent))/SUMPRODUCT(--(D_Category="Ex_Cat_1"),--(D_EffDate="Eff_Date_2"),--(D_Product="DF"),--(D_SC_Name=$A16),--(D_Zone="All")),0)</f>
        <v>0</v>
      </c>
      <c r="F16" s="127">
        <f t="shared" si="9"/>
        <v>260</v>
      </c>
      <c r="G16" s="133"/>
      <c r="H16" s="127">
        <f t="shared" si="0"/>
        <v>0</v>
      </c>
      <c r="I16" s="133"/>
      <c r="J16" s="127">
        <f t="shared" si="11"/>
        <v>260</v>
      </c>
      <c r="K16" s="133"/>
      <c r="L16" s="129" cm="1">
        <f t="array" ref="L16">SUMPRODUCT(--(Category="Ex_Cat_1"),--(OpCo="Express Freight"),--(Intl="Domestic"),--(SC_Name=$A16),(SC_Count))</f>
        <v>0</v>
      </c>
      <c r="M16" s="130">
        <f>L16*F16</f>
        <v>0</v>
      </c>
      <c r="N16" s="130">
        <f t="shared" si="1"/>
        <v>0</v>
      </c>
      <c r="O16" s="130">
        <f t="shared" si="2"/>
        <v>0</v>
      </c>
      <c r="P16" s="260" cm="1">
        <f t="array" ref="P16">IFERROR(SUMPRODUCT(--(D_Category="Ex_Cat_2"),--(D_EffDate="Eff_Date_1"),--(D_Product="DF"),--(D_SC_Name=$A16),--(D_Zone="All"),(D_Percent))/SUMPRODUCT(--(D_Category="Ex_Cat_2"),--(D_EffDate="Eff_Date_1"),--(D_Product="DF"),--(D_SC_Name=$A16),--(D_Zone="All")),0)</f>
        <v>0</v>
      </c>
      <c r="Q16" s="260" cm="1">
        <f t="array" ref="Q16">IFERROR(SUMPRODUCT(--(D_Category="Ex_Cat_2"),--(D_EffDate="Eff_Date_2"),--(D_Product="DF"),--(D_SC_Name=$A16),--(D_Zone="All"),(D_Percent))/SUMPRODUCT(--(D_Category="Ex_Cat_2"),--(D_EffDate="Eff_Date_2"),--(D_Product="DF"),--(D_SC_Name=$A16),--(D_Zone="All")),0)</f>
        <v>0</v>
      </c>
      <c r="R16" s="127">
        <f t="shared" si="12"/>
        <v>260</v>
      </c>
      <c r="S16" s="133"/>
      <c r="T16" s="127">
        <f t="shared" si="13"/>
        <v>0</v>
      </c>
      <c r="U16" s="133"/>
      <c r="V16" s="127">
        <f t="shared" si="15"/>
        <v>260</v>
      </c>
      <c r="W16" s="133"/>
      <c r="X16" s="129" cm="1">
        <f t="array" ref="X16">SUMPRODUCT(--(Category="Ex_Cat_2"),--(OpCo="Express Freight"),--(Intl="Domestic"),--(SC_Name=$A16),(SC_Count))</f>
        <v>0</v>
      </c>
      <c r="Y16" s="130">
        <f>X16*R16</f>
        <v>0</v>
      </c>
      <c r="Z16" s="130">
        <f t="shared" si="4"/>
        <v>0</v>
      </c>
      <c r="AA16" s="130">
        <f t="shared" si="22"/>
        <v>0</v>
      </c>
      <c r="AB16" s="263" cm="1">
        <f t="array" ref="AB16">IFERROR(SUMPRODUCT(--(D_Category="Ex_Cat_3"),--(D_EffDate="Eff_Date_1"),--(D_Product="DF"),--(D_SC_Name=$A16),--(D_Zone="All"),(D_Percent))/SUMPRODUCT(--(D_Category="Ex_Cat_3"),--(D_EffDate="Eff_Date_1"),--(D_Product="DF"),--(D_SC_Name=$A16),--(D_Zone="All")),0)</f>
        <v>0</v>
      </c>
      <c r="AC16" s="263" cm="1">
        <f t="array" ref="AC16">IFERROR(SUMPRODUCT(--(D_Category="Ex_Cat_3"),--(D_EffDate="Eff_Date_2"),--(D_Product="DF"),--(D_SC_Name=$A16),--(D_Zone="All"),(D_Percent))/SUMPRODUCT(--(D_Category="Ex_Cat_3"),--(D_EffDate="Eff_Date_2"),--(D_Product="DF"),--(D_SC_Name=$A16),--(D_Zone="All")),0)</f>
        <v>0</v>
      </c>
      <c r="AD16" s="127">
        <f t="shared" si="17"/>
        <v>260</v>
      </c>
      <c r="AE16" s="133"/>
      <c r="AF16" s="127">
        <f t="shared" si="18"/>
        <v>0</v>
      </c>
      <c r="AG16" s="133"/>
      <c r="AH16" s="127">
        <f t="shared" si="20"/>
        <v>260</v>
      </c>
      <c r="AI16" s="133"/>
      <c r="AJ16" s="129" cm="1">
        <f t="array" ref="AJ16">SUMPRODUCT(--(Category="Ex_Cat_3"),--(OpCo="Express Freight"),--(Intl="Domestic"),--(SC_Name=$A16),(SC_Count))</f>
        <v>0</v>
      </c>
      <c r="AK16" s="130">
        <f>AJ16*AD16</f>
        <v>0</v>
      </c>
      <c r="AL16" s="130">
        <f t="shared" si="7"/>
        <v>0</v>
      </c>
      <c r="AM16" s="130">
        <f t="shared" si="23"/>
        <v>0</v>
      </c>
    </row>
    <row r="17" spans="1:39" x14ac:dyDescent="0.35">
      <c r="A17" s="135" t="s">
        <v>891</v>
      </c>
      <c r="B17" s="122">
        <v>145</v>
      </c>
      <c r="C17" s="134"/>
      <c r="D17" s="254" cm="1">
        <f t="array" ref="D17">SUMPRODUCT(--(D_Category="Ex_Cat_1"),--(D_EffDate="Eff_Date_1"),--(D_Product="DF"),--(D_SC_Name=$A17),--(D_Zone="All"),(D_Percent))</f>
        <v>0</v>
      </c>
      <c r="E17" s="254" cm="1">
        <f t="array" ref="E17">SUMPRODUCT(--(D_Category="Ex_Cat_1"),--(D_EffDate="Eff_Date_2"),--(D_Product="DF"),--(D_SC_Name=$A17),--(D_Zone="All"),(D_Percent))</f>
        <v>0</v>
      </c>
      <c r="F17" s="122">
        <f t="shared" si="9"/>
        <v>145</v>
      </c>
      <c r="G17" s="134"/>
      <c r="H17" s="122">
        <f t="shared" si="0"/>
        <v>0</v>
      </c>
      <c r="I17" s="134"/>
      <c r="J17" s="122">
        <f t="shared" si="11"/>
        <v>145</v>
      </c>
      <c r="K17" s="134"/>
      <c r="L17" s="124" cm="1">
        <f t="array" ref="L17">SUMPRODUCT(--(Category="Ex_Cat_1"),--(OpCo="Express Freight"),--(Intl="Domestic"),--(SC_Name=$A17),(SC_Count))</f>
        <v>0</v>
      </c>
      <c r="M17" s="125">
        <f>L17*F17</f>
        <v>0</v>
      </c>
      <c r="N17" s="125">
        <f t="shared" si="1"/>
        <v>0</v>
      </c>
      <c r="O17" s="125">
        <f t="shared" si="2"/>
        <v>0</v>
      </c>
      <c r="P17" s="260" cm="1">
        <f t="array" ref="P17">SUMPRODUCT(--(D_Category="Ex_Cat_2"),--(D_EffDate="Eff_Date_1"),--(D_Product="DF"),--(D_SC_Name=$A17),--(D_Zone="All"),(D_Percent))</f>
        <v>0</v>
      </c>
      <c r="Q17" s="260" cm="1">
        <f t="array" ref="Q17">SUMPRODUCT(--(D_Category="Ex_Cat_2"),--(D_EffDate="Eff_Date_2"),--(D_Product="DF"),--(D_SC_Name=$A17),--(D_Zone="All"),(D_Percent))</f>
        <v>0</v>
      </c>
      <c r="R17" s="122">
        <f t="shared" si="12"/>
        <v>145</v>
      </c>
      <c r="S17" s="134"/>
      <c r="T17" s="122">
        <f t="shared" si="13"/>
        <v>0</v>
      </c>
      <c r="U17" s="134"/>
      <c r="V17" s="122">
        <f t="shared" si="15"/>
        <v>145</v>
      </c>
      <c r="W17" s="134"/>
      <c r="X17" s="124" cm="1">
        <f t="array" ref="X17">SUMPRODUCT(--(Category="Ex_Cat_2"),--(OpCo="Express Freight"),--(Intl="Domestic"),--(SC_Name=$A17),(SC_Count))</f>
        <v>0</v>
      </c>
      <c r="Y17" s="125">
        <f>X17*R17</f>
        <v>0</v>
      </c>
      <c r="Z17" s="125">
        <f t="shared" si="4"/>
        <v>0</v>
      </c>
      <c r="AA17" s="125">
        <f t="shared" si="22"/>
        <v>0</v>
      </c>
      <c r="AB17" s="263" cm="1">
        <f t="array" ref="AB17">SUMPRODUCT(--(D_Category="Ex_Cat_3"),--(D_EffDate="Eff_Date_1"),--(D_Product="DF"),--(D_SC_Name=$A17),--(D_Zone="All"),(D_Percent))</f>
        <v>0</v>
      </c>
      <c r="AC17" s="263" cm="1">
        <f t="array" ref="AC17">SUMPRODUCT(--(D_Category="Ex_Cat_3"),--(D_EffDate="Eff_Date_2"),--(D_Product="DF"),--(D_SC_Name=$A17),--(D_Zone="All"),(D_Percent))</f>
        <v>0</v>
      </c>
      <c r="AD17" s="122">
        <f t="shared" si="17"/>
        <v>145</v>
      </c>
      <c r="AE17" s="134"/>
      <c r="AF17" s="122">
        <f t="shared" si="18"/>
        <v>0</v>
      </c>
      <c r="AG17" s="134"/>
      <c r="AH17" s="122">
        <f t="shared" si="20"/>
        <v>145</v>
      </c>
      <c r="AI17" s="134"/>
      <c r="AJ17" s="124" cm="1">
        <f t="array" ref="AJ17">SUMPRODUCT(--(Category="Ex_Cat_3"),--(OpCo="Express Freight"),--(Intl="Domestic"),--(SC_Name=$A17),(SC_Count))</f>
        <v>0</v>
      </c>
      <c r="AK17" s="125">
        <f>AJ17*AD17</f>
        <v>0</v>
      </c>
      <c r="AL17" s="125">
        <f t="shared" si="7"/>
        <v>0</v>
      </c>
      <c r="AM17" s="125">
        <f t="shared" si="23"/>
        <v>0</v>
      </c>
    </row>
    <row r="18" spans="1:39" x14ac:dyDescent="0.35">
      <c r="A18" s="131" t="s">
        <v>18</v>
      </c>
      <c r="B18" s="185"/>
      <c r="C18" s="185"/>
      <c r="D18" s="254" cm="1">
        <f t="array" ref="D18">SUMPRODUCT(--(D_Category="Ex_Cat_1"),--(D_EffDate="Eff_Date_1"),--(D_Product="DF"),--(D_SC_Name=$A18),--(D_Zone="All"),(D_Percent))</f>
        <v>0</v>
      </c>
      <c r="E18" s="254" cm="1">
        <f t="array" ref="E18">SUMPRODUCT(--(D_Category="Ex_Cat_1"),--(D_EffDate="Eff_Date_2"),--(D_Product="DF"),--(D_SC_Name=$A18),--(D_Zone="All"),(D_Percent))</f>
        <v>0</v>
      </c>
      <c r="F18" s="185"/>
      <c r="G18" s="185"/>
      <c r="H18" s="185"/>
      <c r="I18" s="185"/>
      <c r="J18" s="185"/>
      <c r="K18" s="185"/>
      <c r="L18" s="129" cm="1">
        <f t="array" ref="L18">SUMPRODUCT(--(Category="Ex_Cat_1"),--(OpCo="Express Freight"),--(Intl="Domestic"),--(SC_Name=$A18),(SC_Count))</f>
        <v>0</v>
      </c>
      <c r="M18" s="256"/>
      <c r="N18" s="369"/>
      <c r="O18" s="369"/>
      <c r="P18" s="260" cm="1">
        <f t="array" ref="P18">SUMPRODUCT(--(D_Category="Ex_Cat_2"),--(D_EffDate="Eff_Date_1"),--(D_Product="DF"),--(D_SC_Name=$A18),--(D_Zone="All"),(D_Percent))</f>
        <v>0</v>
      </c>
      <c r="Q18" s="260" cm="1">
        <f t="array" ref="Q18">SUMPRODUCT(--(D_Category="Ex_Cat_2"),--(D_EffDate="Eff_Date_2"),--(D_Product="DF"),--(D_SC_Name=$A18),--(D_Zone="All"),(D_Percent))</f>
        <v>0</v>
      </c>
      <c r="R18" s="185"/>
      <c r="S18" s="185"/>
      <c r="T18" s="185"/>
      <c r="U18" s="185"/>
      <c r="V18" s="185"/>
      <c r="W18" s="185"/>
      <c r="X18" s="129" cm="1">
        <f t="array" ref="X18">SUMPRODUCT(--(Category="Ex_Cat_2"),--(OpCo="Express Freight"),--(Intl="Domestic"),--(SC_Name=$A18),(SC_Count))</f>
        <v>0</v>
      </c>
      <c r="Y18" s="256"/>
      <c r="Z18" s="369"/>
      <c r="AA18" s="369"/>
      <c r="AB18" s="263" cm="1">
        <f t="array" ref="AB18">SUMPRODUCT(--(D_Category="Ex_Cat_3"),--(D_EffDate="Eff_Date_1"),--(D_Product="DF"),--(D_SC_Name=$A18),--(D_Zone="All"),(D_Percent))</f>
        <v>0</v>
      </c>
      <c r="AC18" s="263" cm="1">
        <f t="array" ref="AC18">SUMPRODUCT(--(D_Category="Ex_Cat_3"),--(D_EffDate="Eff_Date_2"),--(D_Product="DF"),--(D_SC_Name=$A18),--(D_Zone="All"),(D_Percent))</f>
        <v>0</v>
      </c>
      <c r="AD18" s="185"/>
      <c r="AE18" s="185"/>
      <c r="AF18" s="185"/>
      <c r="AG18" s="185"/>
      <c r="AH18" s="185"/>
      <c r="AI18" s="185"/>
      <c r="AJ18" s="129" cm="1">
        <f t="array" ref="AJ18">SUMPRODUCT(--(Category="Ex_Cat_3"),--(OpCo="Express Freight"),--(Intl="Domestic"),--(SC_Name=$A18),(SC_Count))</f>
        <v>0</v>
      </c>
      <c r="AK18" s="256"/>
      <c r="AL18" s="369"/>
      <c r="AM18" s="369"/>
    </row>
    <row r="19" spans="1:39" x14ac:dyDescent="0.35">
      <c r="A19" s="117" t="s">
        <v>278</v>
      </c>
      <c r="B19" s="122">
        <v>160</v>
      </c>
      <c r="C19" s="134">
        <v>0.105</v>
      </c>
      <c r="D19" s="254" cm="1">
        <f t="array" ref="D19">SUMPRODUCT(--(D_Category="Ex_Cat_1"),--(D_EffDate="Eff_Date_1"),--(D_Product="DF"),--(D_SC_Name=$A19),--(D_Zone="All"),(D_Percent))</f>
        <v>0</v>
      </c>
      <c r="E19" s="254" cm="1">
        <f t="array" ref="E19">SUMPRODUCT(--(D_Category="Ex_Cat_1"),--(D_EffDate="Eff_Date_2"),--(D_Product="DF"),--(D_SC_Name=$A19),--(D_Zone="All"),(D_Percent))</f>
        <v>0</v>
      </c>
      <c r="F19" s="122">
        <f t="shared" ref="F19:F28" si="24">ROUND(($B19*(1-D19)),2)</f>
        <v>160</v>
      </c>
      <c r="G19" s="134">
        <f>$C19*(1-D19)</f>
        <v>0.105</v>
      </c>
      <c r="H19" s="122">
        <f t="shared" si="0"/>
        <v>0</v>
      </c>
      <c r="I19" s="134">
        <f>K19-G19</f>
        <v>0</v>
      </c>
      <c r="J19" s="122">
        <f t="shared" ref="J19:J28" si="25">ROUND(($B19*(1-E19)),2)</f>
        <v>160</v>
      </c>
      <c r="K19" s="134">
        <f>$C19*(1-E19)</f>
        <v>0.105</v>
      </c>
      <c r="L19" s="124" cm="1">
        <f t="array" ref="L19">SUMPRODUCT(--(Category="Ex_Cat_1"),--(OpCo="Express Freight"),--(Intl="Domestic"),--(SC_Name=$A19),(SC_Count))</f>
        <v>0</v>
      </c>
      <c r="M19" s="125">
        <f t="shared" ref="M19:M28" si="26">L19*F19</f>
        <v>0</v>
      </c>
      <c r="N19" s="125">
        <f t="shared" si="1"/>
        <v>0</v>
      </c>
      <c r="O19" s="125">
        <f t="shared" si="2"/>
        <v>0</v>
      </c>
      <c r="P19" s="260" cm="1">
        <f t="array" ref="P19">SUMPRODUCT(--(D_Category="Ex_Cat_2"),--(D_EffDate="Eff_Date_1"),--(D_Product="DF"),--(D_SC_Name=$A19),--(D_Zone="All"),(D_Percent))</f>
        <v>0</v>
      </c>
      <c r="Q19" s="260" cm="1">
        <f t="array" ref="Q19">SUMPRODUCT(--(D_Category="Ex_Cat_2"),--(D_EffDate="Eff_Date_2"),--(D_Product="DF"),--(D_SC_Name=$A19),--(D_Zone="All"),(D_Percent))</f>
        <v>0</v>
      </c>
      <c r="R19" s="122">
        <f t="shared" ref="R19:R28" si="27">ROUND(($B19*(1-P19)),2)</f>
        <v>160</v>
      </c>
      <c r="S19" s="134">
        <f>$C19*(1-P19)</f>
        <v>0.105</v>
      </c>
      <c r="T19" s="122">
        <f t="shared" ref="T19:T28" si="28">V19-R19</f>
        <v>0</v>
      </c>
      <c r="U19" s="134">
        <f>W19-S19</f>
        <v>0</v>
      </c>
      <c r="V19" s="122">
        <f t="shared" ref="V19:V28" si="29">ROUND(($B19*(1-Q19)),2)</f>
        <v>160</v>
      </c>
      <c r="W19" s="134">
        <f>$C19*(1-Q19)</f>
        <v>0.105</v>
      </c>
      <c r="X19" s="124" cm="1">
        <f t="array" ref="X19">SUMPRODUCT(--(Category="Ex_Cat_2"),--(OpCo="Express Freight"),--(Intl="Domestic"),--(SC_Name=$A19),(SC_Count))</f>
        <v>0</v>
      </c>
      <c r="Y19" s="125">
        <f t="shared" ref="Y19:Y20" si="30">X19*R19</f>
        <v>0</v>
      </c>
      <c r="Z19" s="125">
        <f t="shared" si="4"/>
        <v>0</v>
      </c>
      <c r="AA19" s="125">
        <f t="shared" ref="AA19:AA28" si="31">X19*V19</f>
        <v>0</v>
      </c>
      <c r="AB19" s="263" cm="1">
        <f t="array" ref="AB19">SUMPRODUCT(--(D_Category="Ex_Cat_3"),--(D_EffDate="Eff_Date_1"),--(D_Product="DF"),--(D_SC_Name=$A19),--(D_Zone="All"),(D_Percent))</f>
        <v>0</v>
      </c>
      <c r="AC19" s="263" cm="1">
        <f t="array" ref="AC19">SUMPRODUCT(--(D_Category="Ex_Cat_3"),--(D_EffDate="Eff_Date_2"),--(D_Product="DF"),--(D_SC_Name=$A19),--(D_Zone="All"),(D_Percent))</f>
        <v>0</v>
      </c>
      <c r="AD19" s="122">
        <f t="shared" ref="AD19:AD28" si="32">ROUND(($B19*(1-AB19)),2)</f>
        <v>160</v>
      </c>
      <c r="AE19" s="134">
        <f>$C19*(1-AB19)</f>
        <v>0.105</v>
      </c>
      <c r="AF19" s="122">
        <f t="shared" ref="AF19:AF28" si="33">AH19-AD19</f>
        <v>0</v>
      </c>
      <c r="AG19" s="134">
        <f>AI19-AE19</f>
        <v>0</v>
      </c>
      <c r="AH19" s="122">
        <f t="shared" ref="AH19:AH28" si="34">ROUND(($B19*(1-AC19)),2)</f>
        <v>160</v>
      </c>
      <c r="AI19" s="134">
        <f>$C19*(1-AC19)</f>
        <v>0.105</v>
      </c>
      <c r="AJ19" s="124" cm="1">
        <f t="array" ref="AJ19">SUMPRODUCT(--(Category="Ex_Cat_3"),--(OpCo="Express Freight"),--(Intl="Domestic"),--(SC_Name=$A19),(SC_Count))</f>
        <v>0</v>
      </c>
      <c r="AK19" s="125">
        <f t="shared" ref="AK19:AK20" si="35">AJ19*AD19</f>
        <v>0</v>
      </c>
      <c r="AL19" s="125">
        <f t="shared" si="7"/>
        <v>0</v>
      </c>
      <c r="AM19" s="125">
        <f t="shared" ref="AM19:AM28" si="36">AJ19*AH19</f>
        <v>0</v>
      </c>
    </row>
    <row r="20" spans="1:39" x14ac:dyDescent="0.35">
      <c r="A20" s="131" t="s">
        <v>277</v>
      </c>
      <c r="B20" s="127">
        <v>160</v>
      </c>
      <c r="C20" s="133">
        <v>0.105</v>
      </c>
      <c r="D20" s="254" cm="1">
        <f t="array" ref="D20">SUMPRODUCT(--(D_Category="Ex_Cat_1"),--(D_EffDate="Eff_Date_1"),--(D_Product="DF"),--(D_SC_Name=$A20),--(D_Zone="All"),(D_Percent))</f>
        <v>0</v>
      </c>
      <c r="E20" s="254" cm="1">
        <f t="array" ref="E20">SUMPRODUCT(--(D_Category="Ex_Cat_1"),--(D_EffDate="Eff_Date_2"),--(D_Product="DF"),--(D_SC_Name=$A20),--(D_Zone="All"),(D_Percent))</f>
        <v>0</v>
      </c>
      <c r="F20" s="127">
        <f t="shared" si="24"/>
        <v>160</v>
      </c>
      <c r="G20" s="133">
        <f>$C20*(1-D20)</f>
        <v>0.105</v>
      </c>
      <c r="H20" s="127">
        <f t="shared" si="0"/>
        <v>0</v>
      </c>
      <c r="I20" s="133">
        <f t="shared" ref="I20" si="37">K20-G20</f>
        <v>0</v>
      </c>
      <c r="J20" s="127">
        <f t="shared" si="25"/>
        <v>160</v>
      </c>
      <c r="K20" s="133">
        <f>$C20*(1-E20)</f>
        <v>0.105</v>
      </c>
      <c r="L20" s="129" cm="1">
        <f t="array" ref="L20">SUMPRODUCT(--(Category="Ex_Cat_1"),--(OpCo="Express Freight"),--(Intl="Domestic"),--(SC_Name=$A20),(SC_Count))</f>
        <v>0</v>
      </c>
      <c r="M20" s="130">
        <f t="shared" si="26"/>
        <v>0</v>
      </c>
      <c r="N20" s="130">
        <f t="shared" si="1"/>
        <v>0</v>
      </c>
      <c r="O20" s="130">
        <f t="shared" si="2"/>
        <v>0</v>
      </c>
      <c r="P20" s="260" cm="1">
        <f t="array" ref="P20">SUMPRODUCT(--(D_Category="Ex_Cat_2"),--(D_EffDate="Eff_Date_1"),--(D_Product="DF"),--(D_SC_Name=$A20),--(D_Zone="All"),(D_Percent))</f>
        <v>0</v>
      </c>
      <c r="Q20" s="260" cm="1">
        <f t="array" ref="Q20">SUMPRODUCT(--(D_Category="Ex_Cat_2"),--(D_EffDate="Eff_Date_2"),--(D_Product="DF"),--(D_SC_Name=$A20),--(D_Zone="All"),(D_Percent))</f>
        <v>0</v>
      </c>
      <c r="R20" s="127">
        <f t="shared" si="27"/>
        <v>160</v>
      </c>
      <c r="S20" s="133">
        <f>$C20*(1-P20)</f>
        <v>0.105</v>
      </c>
      <c r="T20" s="127">
        <f t="shared" si="28"/>
        <v>0</v>
      </c>
      <c r="U20" s="133">
        <f t="shared" ref="U20" si="38">W20-S20</f>
        <v>0</v>
      </c>
      <c r="V20" s="127">
        <f t="shared" si="29"/>
        <v>160</v>
      </c>
      <c r="W20" s="133">
        <f>$C20*(1-Q20)</f>
        <v>0.105</v>
      </c>
      <c r="X20" s="129" cm="1">
        <f t="array" ref="X20">SUMPRODUCT(--(Category="Ex_Cat_2"),--(OpCo="Express Freight"),--(Intl="Domestic"),--(SC_Name=$A20),(SC_Count))</f>
        <v>0</v>
      </c>
      <c r="Y20" s="130">
        <f t="shared" si="30"/>
        <v>0</v>
      </c>
      <c r="Z20" s="130">
        <f t="shared" si="4"/>
        <v>0</v>
      </c>
      <c r="AA20" s="130">
        <f t="shared" si="31"/>
        <v>0</v>
      </c>
      <c r="AB20" s="263" cm="1">
        <f t="array" ref="AB20">SUMPRODUCT(--(D_Category="Ex_Cat_3"),--(D_EffDate="Eff_Date_1"),--(D_Product="DF"),--(D_SC_Name=$A20),--(D_Zone="All"),(D_Percent))</f>
        <v>0</v>
      </c>
      <c r="AC20" s="263" cm="1">
        <f t="array" ref="AC20">SUMPRODUCT(--(D_Category="Ex_Cat_3"),--(D_EffDate="Eff_Date_2"),--(D_Product="DF"),--(D_SC_Name=$A20),--(D_Zone="All"),(D_Percent))</f>
        <v>0</v>
      </c>
      <c r="AD20" s="127">
        <f t="shared" si="32"/>
        <v>160</v>
      </c>
      <c r="AE20" s="133">
        <f>$C20*(1-AB20)</f>
        <v>0.105</v>
      </c>
      <c r="AF20" s="127">
        <f t="shared" si="33"/>
        <v>0</v>
      </c>
      <c r="AG20" s="133">
        <f t="shared" ref="AG20" si="39">AI20-AE20</f>
        <v>0</v>
      </c>
      <c r="AH20" s="127">
        <f t="shared" si="34"/>
        <v>160</v>
      </c>
      <c r="AI20" s="133">
        <f>$C20*(1-AC20)</f>
        <v>0.105</v>
      </c>
      <c r="AJ20" s="129" cm="1">
        <f t="array" ref="AJ20">SUMPRODUCT(--(Category="Ex_Cat_3"),--(OpCo="Express Freight"),--(Intl="Domestic"),--(SC_Name=$A20),(SC_Count))</f>
        <v>0</v>
      </c>
      <c r="AK20" s="130">
        <f t="shared" si="35"/>
        <v>0</v>
      </c>
      <c r="AL20" s="130">
        <f t="shared" si="7"/>
        <v>0</v>
      </c>
      <c r="AM20" s="130">
        <f t="shared" si="36"/>
        <v>0</v>
      </c>
    </row>
    <row r="21" spans="1:39" x14ac:dyDescent="0.35">
      <c r="A21" s="117" t="s">
        <v>893</v>
      </c>
      <c r="B21" s="122">
        <v>260</v>
      </c>
      <c r="C21" s="122"/>
      <c r="D21" s="254" cm="1">
        <f t="array" ref="D21">SUMPRODUCT(--(D_Category="Ex_Cat_1"),--(D_EffDate="Eff_Date_1"),--(D_Product="DF"),--(D_SC_Name=$A21),--(D_Zone="All"),(D_Percent))</f>
        <v>0</v>
      </c>
      <c r="E21" s="254" cm="1">
        <f t="array" ref="E21">SUMPRODUCT(--(D_Category="Ex_Cat_1"),--(D_EffDate="Eff_Date_2"),--(D_Product="DF"),--(D_SC_Name=$A21),--(D_Zone="All"),(D_Percent))</f>
        <v>0</v>
      </c>
      <c r="F21" s="122">
        <f t="shared" si="24"/>
        <v>260</v>
      </c>
      <c r="G21" s="123"/>
      <c r="H21" s="122">
        <f t="shared" si="0"/>
        <v>0</v>
      </c>
      <c r="I21" s="123"/>
      <c r="J21" s="122">
        <f t="shared" si="25"/>
        <v>260</v>
      </c>
      <c r="K21" s="123"/>
      <c r="L21" s="124" cm="1">
        <f t="array" ref="L21">SUMPRODUCT(--(Category="Ex_Cat_1"),--(OpCo="Express Freight"),--(Intl="Domestic"),--(SC_Name=$A21),(SC_Count))</f>
        <v>0</v>
      </c>
      <c r="M21" s="125">
        <f>L21*F21</f>
        <v>0</v>
      </c>
      <c r="N21" s="125">
        <f t="shared" si="1"/>
        <v>0</v>
      </c>
      <c r="O21" s="125">
        <f t="shared" si="2"/>
        <v>0</v>
      </c>
      <c r="P21" s="260" cm="1">
        <f t="array" ref="P21">SUMPRODUCT(--(D_Category="Ex_Cat_2"),--(D_EffDate="Eff_Date_1"),--(D_Product="DF"),--(D_SC_Name=$A21),--(D_Zone="All"),(D_Percent))</f>
        <v>0</v>
      </c>
      <c r="Q21" s="260" cm="1">
        <f t="array" ref="Q21">SUMPRODUCT(--(D_Category="Ex_Cat_2"),--(D_EffDate="Eff_Date_2"),--(D_Product="DF"),--(D_SC_Name=$A21),--(D_Zone="All"),(D_Percent))</f>
        <v>0</v>
      </c>
      <c r="R21" s="122">
        <f t="shared" si="27"/>
        <v>260</v>
      </c>
      <c r="S21" s="123"/>
      <c r="T21" s="122">
        <f t="shared" si="28"/>
        <v>0</v>
      </c>
      <c r="U21" s="123"/>
      <c r="V21" s="122">
        <f t="shared" si="29"/>
        <v>260</v>
      </c>
      <c r="W21" s="123"/>
      <c r="X21" s="124" cm="1">
        <f t="array" ref="X21">SUMPRODUCT(--(Category="Ex_Cat_2"),--(OpCo="Express Freight"),--(Intl="Domestic"),--(SC_Name=$A21),(SC_Count))</f>
        <v>0</v>
      </c>
      <c r="Y21" s="125">
        <f>X21*R21</f>
        <v>0</v>
      </c>
      <c r="Z21" s="125">
        <f t="shared" si="4"/>
        <v>0</v>
      </c>
      <c r="AA21" s="125">
        <f t="shared" si="31"/>
        <v>0</v>
      </c>
      <c r="AB21" s="263" cm="1">
        <f t="array" ref="AB21">SUMPRODUCT(--(D_Category="Ex_Cat_3"),--(D_EffDate="Eff_Date_1"),--(D_Product="DF"),--(D_SC_Name=$A21),--(D_Zone="All"),(D_Percent))</f>
        <v>0</v>
      </c>
      <c r="AC21" s="263" cm="1">
        <f t="array" ref="AC21">SUMPRODUCT(--(D_Category="Ex_Cat_3"),--(D_EffDate="Eff_Date_2"),--(D_Product="DF"),--(D_SC_Name=$A21),--(D_Zone="All"),(D_Percent))</f>
        <v>0</v>
      </c>
      <c r="AD21" s="122">
        <f t="shared" si="32"/>
        <v>260</v>
      </c>
      <c r="AE21" s="123"/>
      <c r="AF21" s="122">
        <f t="shared" si="33"/>
        <v>0</v>
      </c>
      <c r="AG21" s="123"/>
      <c r="AH21" s="122">
        <f t="shared" si="34"/>
        <v>260</v>
      </c>
      <c r="AI21" s="123"/>
      <c r="AJ21" s="124" cm="1">
        <f t="array" ref="AJ21">SUMPRODUCT(--(Category="Ex_Cat_3"),--(OpCo="Express Freight"),--(Intl="Domestic"),--(SC_Name=$A21),(SC_Count))</f>
        <v>0</v>
      </c>
      <c r="AK21" s="125">
        <f>AJ21*AD21</f>
        <v>0</v>
      </c>
      <c r="AL21" s="125">
        <f t="shared" si="7"/>
        <v>0</v>
      </c>
      <c r="AM21" s="125">
        <f t="shared" si="36"/>
        <v>0</v>
      </c>
    </row>
    <row r="22" spans="1:39" x14ac:dyDescent="0.35">
      <c r="A22" s="131" t="s">
        <v>894</v>
      </c>
      <c r="B22" s="127">
        <v>260</v>
      </c>
      <c r="C22" s="127"/>
      <c r="D22" s="254" cm="1">
        <f t="array" ref="D22">SUMPRODUCT(--(D_Category="Ex_Cat_1"),--(D_EffDate="Eff_Date_1"),--(D_Product="DF"),--(D_SC_Name=$A22),--(D_Zone="All"),(D_Percent))</f>
        <v>0</v>
      </c>
      <c r="E22" s="254" cm="1">
        <f t="array" ref="E22">SUMPRODUCT(--(D_Category="Ex_Cat_1"),--(D_EffDate="Eff_Date_2"),--(D_Product="DF"),--(D_SC_Name=$A22),--(D_Zone="All"),(D_Percent))</f>
        <v>0</v>
      </c>
      <c r="F22" s="127">
        <f t="shared" si="24"/>
        <v>260</v>
      </c>
      <c r="G22" s="128"/>
      <c r="H22" s="127">
        <f t="shared" si="0"/>
        <v>0</v>
      </c>
      <c r="I22" s="128"/>
      <c r="J22" s="127">
        <f t="shared" si="25"/>
        <v>260</v>
      </c>
      <c r="K22" s="128"/>
      <c r="L22" s="129" cm="1">
        <f t="array" ref="L22">SUMPRODUCT(--(Category="Ex_Cat_1"),--(OpCo="Express Freight"),--(Intl="Domestic"),--(SC_Name=$A22),(SC_Count))</f>
        <v>0</v>
      </c>
      <c r="M22" s="130">
        <f t="shared" si="26"/>
        <v>0</v>
      </c>
      <c r="N22" s="130">
        <f t="shared" si="1"/>
        <v>0</v>
      </c>
      <c r="O22" s="130">
        <f t="shared" si="2"/>
        <v>0</v>
      </c>
      <c r="P22" s="260" cm="1">
        <f t="array" ref="P22">SUMPRODUCT(--(D_Category="Ex_Cat_2"),--(D_EffDate="Eff_Date_1"),--(D_Product="DF"),--(D_SC_Name=$A22),--(D_Zone="All"),(D_Percent))</f>
        <v>0</v>
      </c>
      <c r="Q22" s="260" cm="1">
        <f t="array" ref="Q22">SUMPRODUCT(--(D_Category="Ex_Cat_2"),--(D_EffDate="Eff_Date_2"),--(D_Product="DF"),--(D_SC_Name=$A22),--(D_Zone="All"),(D_Percent))</f>
        <v>0</v>
      </c>
      <c r="R22" s="127">
        <f t="shared" si="27"/>
        <v>260</v>
      </c>
      <c r="S22" s="128"/>
      <c r="T22" s="127">
        <f t="shared" si="28"/>
        <v>0</v>
      </c>
      <c r="U22" s="128"/>
      <c r="V22" s="127">
        <f t="shared" si="29"/>
        <v>260</v>
      </c>
      <c r="W22" s="128"/>
      <c r="X22" s="129" cm="1">
        <f t="array" ref="X22">SUMPRODUCT(--(Category="Ex_Cat_2"),--(OpCo="Express Freight"),--(Intl="Domestic"),--(SC_Name=$A22),(SC_Count))</f>
        <v>0</v>
      </c>
      <c r="Y22" s="130">
        <f t="shared" ref="Y22:Y28" si="40">X22*R22</f>
        <v>0</v>
      </c>
      <c r="Z22" s="130">
        <f t="shared" si="4"/>
        <v>0</v>
      </c>
      <c r="AA22" s="130">
        <f t="shared" si="31"/>
        <v>0</v>
      </c>
      <c r="AB22" s="263" cm="1">
        <f t="array" ref="AB22">SUMPRODUCT(--(D_Category="Ex_Cat_3"),--(D_EffDate="Eff_Date_1"),--(D_Product="DF"),--(D_SC_Name=$A22),--(D_Zone="All"),(D_Percent))</f>
        <v>0</v>
      </c>
      <c r="AC22" s="263" cm="1">
        <f t="array" ref="AC22">SUMPRODUCT(--(D_Category="Ex_Cat_3"),--(D_EffDate="Eff_Date_2"),--(D_Product="DF"),--(D_SC_Name=$A22),--(D_Zone="All"),(D_Percent))</f>
        <v>0</v>
      </c>
      <c r="AD22" s="127">
        <f t="shared" si="32"/>
        <v>260</v>
      </c>
      <c r="AE22" s="128"/>
      <c r="AF22" s="127">
        <f t="shared" si="33"/>
        <v>0</v>
      </c>
      <c r="AG22" s="128"/>
      <c r="AH22" s="127">
        <f t="shared" si="34"/>
        <v>260</v>
      </c>
      <c r="AI22" s="128"/>
      <c r="AJ22" s="129" cm="1">
        <f t="array" ref="AJ22">SUMPRODUCT(--(Category="Ex_Cat_3"),--(OpCo="Express Freight"),--(Intl="Domestic"),--(SC_Name=$A22),(SC_Count))</f>
        <v>0</v>
      </c>
      <c r="AK22" s="130">
        <f t="shared" ref="AK22:AK28" si="41">AJ22*AD22</f>
        <v>0</v>
      </c>
      <c r="AL22" s="130">
        <f t="shared" si="7"/>
        <v>0</v>
      </c>
      <c r="AM22" s="130">
        <f t="shared" si="36"/>
        <v>0</v>
      </c>
    </row>
    <row r="23" spans="1:39" x14ac:dyDescent="0.35">
      <c r="A23" s="117" t="s">
        <v>57</v>
      </c>
      <c r="B23" s="122">
        <v>25.5</v>
      </c>
      <c r="C23" s="122"/>
      <c r="D23" s="254" cm="1">
        <f t="array" ref="D23">SUMPRODUCT(--(D_Category="Ex_Cat_1"),--(D_EffDate="Eff_Date_1"),--(D_Product="DF")+--(D_Product="All"),--(D_SC_Category=$A23),--(D_Zone="All"),(D_Percent))</f>
        <v>0</v>
      </c>
      <c r="E23" s="254" cm="1">
        <f t="array" ref="E23">SUMPRODUCT(--(D_Category="Ex_Cat_1"),--(D_EffDate="Eff_Date_2"),--(D_Product="DF")+--(D_Product="All"),--(D_SC_Category=$A23),--(D_Zone="All"),(D_Percent))</f>
        <v>0</v>
      </c>
      <c r="F23" s="122">
        <f t="shared" si="24"/>
        <v>25.5</v>
      </c>
      <c r="G23" s="123"/>
      <c r="H23" s="122">
        <f t="shared" si="0"/>
        <v>0</v>
      </c>
      <c r="I23" s="123"/>
      <c r="J23" s="122">
        <f t="shared" si="25"/>
        <v>25.5</v>
      </c>
      <c r="K23" s="123"/>
      <c r="L23" s="124" cm="1">
        <f t="array" ref="L23">SUMPRODUCT(--(Category="Ex_Cat_1"),--(OpCo="Express Freight"),--(Intl="Domestic"),--(SC_Cat=$A23),(SC_Count))</f>
        <v>0</v>
      </c>
      <c r="M23" s="125">
        <f t="shared" si="26"/>
        <v>0</v>
      </c>
      <c r="N23" s="125">
        <f t="shared" si="1"/>
        <v>0</v>
      </c>
      <c r="O23" s="125">
        <f t="shared" si="2"/>
        <v>0</v>
      </c>
      <c r="P23" s="260" cm="1">
        <f t="array" ref="P23">SUMPRODUCT(--(D_Category="Ex_Cat_2"),--(D_EffDate="Eff_Date_1"),--(D_Product="DF")+--(D_Product="All"),--(D_SC_Category=$A23),--(D_Zone="All"),(D_Percent))</f>
        <v>0</v>
      </c>
      <c r="Q23" s="260" cm="1">
        <f t="array" ref="Q23">SUMPRODUCT(--(D_Category="Ex_Cat_2"),--(D_EffDate="Eff_Date_2"),--(D_Product="DF")+--(D_Product="All"),--(D_SC_Category=$A23),--(D_Zone="All"),(D_Percent))</f>
        <v>0</v>
      </c>
      <c r="R23" s="122">
        <f t="shared" si="27"/>
        <v>25.5</v>
      </c>
      <c r="S23" s="123"/>
      <c r="T23" s="122">
        <f t="shared" si="28"/>
        <v>0</v>
      </c>
      <c r="U23" s="123"/>
      <c r="V23" s="122">
        <f t="shared" si="29"/>
        <v>25.5</v>
      </c>
      <c r="W23" s="123"/>
      <c r="X23" s="124" cm="1">
        <f t="array" ref="X23">SUMPRODUCT(--(Category="Ex_Cat_2"),--(OpCo="Express Freight"),--(Intl="Domestic"),--(SC_Cat=$A23),(SC_Count))</f>
        <v>0</v>
      </c>
      <c r="Y23" s="125">
        <f t="shared" si="40"/>
        <v>0</v>
      </c>
      <c r="Z23" s="125">
        <f t="shared" si="4"/>
        <v>0</v>
      </c>
      <c r="AA23" s="125">
        <f t="shared" si="31"/>
        <v>0</v>
      </c>
      <c r="AB23" s="263" cm="1">
        <f t="array" ref="AB23">SUMPRODUCT(--(D_Category="Ex_Cat_3"),--(D_EffDate="Eff_Date_1"),--(D_Product="DF")+--(D_Product="All"),--(D_SC_Category=$A23),--(D_Zone="All"),(D_Percent))</f>
        <v>0</v>
      </c>
      <c r="AC23" s="263" cm="1">
        <f t="array" ref="AC23">SUMPRODUCT(--(D_Category="Ex_Cat_3"),--(D_EffDate="Eff_Date_2"),--(D_Product="DF")+--(D_Product="All"),--(D_SC_Category=$A23),--(D_Zone="All"),(D_Percent))</f>
        <v>0</v>
      </c>
      <c r="AD23" s="122">
        <f t="shared" si="32"/>
        <v>25.5</v>
      </c>
      <c r="AE23" s="123"/>
      <c r="AF23" s="122">
        <f t="shared" si="33"/>
        <v>0</v>
      </c>
      <c r="AG23" s="123"/>
      <c r="AH23" s="122">
        <f t="shared" si="34"/>
        <v>25.5</v>
      </c>
      <c r="AI23" s="123"/>
      <c r="AJ23" s="124" cm="1">
        <f t="array" ref="AJ23">SUMPRODUCT(--(Category="Ex_Cat_3"),--(OpCo="Express Freight"),--(Intl="Domestic"),--(SC_Cat=$A23),(SC_Count))</f>
        <v>0</v>
      </c>
      <c r="AK23" s="125">
        <f t="shared" si="41"/>
        <v>0</v>
      </c>
      <c r="AL23" s="125">
        <f t="shared" si="7"/>
        <v>0</v>
      </c>
      <c r="AM23" s="125">
        <f t="shared" si="36"/>
        <v>0</v>
      </c>
    </row>
    <row r="24" spans="1:39" x14ac:dyDescent="0.35">
      <c r="A24" s="131" t="s">
        <v>314</v>
      </c>
      <c r="B24" s="127">
        <v>540</v>
      </c>
      <c r="C24" s="127">
        <v>1.02</v>
      </c>
      <c r="D24" s="254" cm="1">
        <f t="array" ref="D24">SUMPRODUCT(--(D_Category="Ex_Cat_1"),--(D_EffDate="Eff_Date_1"),--(D_Product="DF"),--(D_SC_Name=$A24),--(D_Zone="All"),(D_Percent))</f>
        <v>0</v>
      </c>
      <c r="E24" s="254" cm="1">
        <f t="array" ref="E24">SUMPRODUCT(--(D_Category="Ex_Cat_1"),--(D_EffDate="Eff_Date_2"),--(D_Product="DF"),--(D_SC_Name=$A24),--(D_Zone="All"),(D_Percent))</f>
        <v>0</v>
      </c>
      <c r="F24" s="127">
        <f t="shared" si="24"/>
        <v>540</v>
      </c>
      <c r="G24" s="133">
        <f>$C24*(1-D24)</f>
        <v>1.02</v>
      </c>
      <c r="H24" s="127">
        <f t="shared" si="0"/>
        <v>0</v>
      </c>
      <c r="I24" s="133">
        <f>K24-G24</f>
        <v>0</v>
      </c>
      <c r="J24" s="127">
        <f t="shared" si="25"/>
        <v>540</v>
      </c>
      <c r="K24" s="133">
        <f>$C24*(1-E24)</f>
        <v>1.02</v>
      </c>
      <c r="L24" s="129" cm="1">
        <f t="array" ref="L24">SUMPRODUCT(--(Category="Ex_Cat_1"),--(OpCo="Express Freight"),--(Intl="Domestic"),--(SC_Cat=$A24),(SC_Count))</f>
        <v>0</v>
      </c>
      <c r="M24" s="130">
        <f t="shared" si="26"/>
        <v>0</v>
      </c>
      <c r="N24" s="130">
        <f t="shared" si="1"/>
        <v>0</v>
      </c>
      <c r="O24" s="130">
        <f t="shared" si="2"/>
        <v>0</v>
      </c>
      <c r="P24" s="260" cm="1">
        <f t="array" ref="P24">SUMPRODUCT(--(D_Category="Ex_Cat_2"),--(D_EffDate="Eff_Date_1"),--(D_Product="DF"),--(D_SC_Name=$A24),--(D_Zone="All"),(D_Percent))</f>
        <v>0</v>
      </c>
      <c r="Q24" s="260" cm="1">
        <f t="array" ref="Q24">SUMPRODUCT(--(D_Category="Ex_Cat_2"),--(D_EffDate="Eff_Date_2"),--(D_Product="DF"),--(D_SC_Name=$A24),--(D_Zone="All"),(D_Percent))</f>
        <v>0</v>
      </c>
      <c r="R24" s="127">
        <f t="shared" si="27"/>
        <v>540</v>
      </c>
      <c r="S24" s="133">
        <f>$C24*(1-P24)</f>
        <v>1.02</v>
      </c>
      <c r="T24" s="127">
        <f t="shared" si="28"/>
        <v>0</v>
      </c>
      <c r="U24" s="133">
        <f>W24-S24</f>
        <v>0</v>
      </c>
      <c r="V24" s="127">
        <f t="shared" si="29"/>
        <v>540</v>
      </c>
      <c r="W24" s="133">
        <f>$C24*(1-Q24)</f>
        <v>1.02</v>
      </c>
      <c r="X24" s="129" cm="1">
        <f t="array" ref="X24">SUMPRODUCT(--(Category="Ex_Cat_2"),--(OpCo="Express Freight"),--(Intl="Domestic"),--(SC_Cat=$A24),(SC_Count))</f>
        <v>0</v>
      </c>
      <c r="Y24" s="130">
        <f t="shared" si="40"/>
        <v>0</v>
      </c>
      <c r="Z24" s="130">
        <f t="shared" si="4"/>
        <v>0</v>
      </c>
      <c r="AA24" s="130">
        <f t="shared" si="31"/>
        <v>0</v>
      </c>
      <c r="AB24" s="263" cm="1">
        <f t="array" ref="AB24">SUMPRODUCT(--(D_Category="Ex_Cat_3"),--(D_EffDate="Eff_Date_1"),--(D_Product="DF"),--(D_SC_Name=$A24),--(D_Zone="All"),(D_Percent))</f>
        <v>0</v>
      </c>
      <c r="AC24" s="263" cm="1">
        <f t="array" ref="AC24">SUMPRODUCT(--(D_Category="Ex_Cat_3"),--(D_EffDate="Eff_Date_2"),--(D_Product="DF"),--(D_SC_Name=$A24),--(D_Zone="All"),(D_Percent))</f>
        <v>0</v>
      </c>
      <c r="AD24" s="127">
        <f t="shared" si="32"/>
        <v>540</v>
      </c>
      <c r="AE24" s="133">
        <f>$C24*(1-AB24)</f>
        <v>1.02</v>
      </c>
      <c r="AF24" s="127">
        <f t="shared" si="33"/>
        <v>0</v>
      </c>
      <c r="AG24" s="133">
        <f>AI24-AE24</f>
        <v>0</v>
      </c>
      <c r="AH24" s="127">
        <f t="shared" si="34"/>
        <v>540</v>
      </c>
      <c r="AI24" s="133">
        <f>$C24*(1-AC24)</f>
        <v>1.02</v>
      </c>
      <c r="AJ24" s="129" cm="1">
        <f t="array" ref="AJ24">SUMPRODUCT(--(Category="Ex_Cat_3"),--(OpCo="Express Freight"),--(Intl="Domestic"),--(SC_Cat=$A24),(SC_Count))</f>
        <v>0</v>
      </c>
      <c r="AK24" s="130">
        <f t="shared" si="41"/>
        <v>0</v>
      </c>
      <c r="AL24" s="130">
        <f t="shared" si="7"/>
        <v>0</v>
      </c>
      <c r="AM24" s="130">
        <f t="shared" si="36"/>
        <v>0</v>
      </c>
    </row>
    <row r="25" spans="1:39" x14ac:dyDescent="0.35">
      <c r="A25" s="117" t="s">
        <v>852</v>
      </c>
      <c r="B25" s="122">
        <v>25.5</v>
      </c>
      <c r="C25" s="122"/>
      <c r="D25" s="254" cm="1">
        <f t="array" ref="D25">SUMPRODUCT(--(D_Category="Ex_Cat_1"),--(D_EffDate="Eff_Date_1"),--(D_Product="DF")+--(D_Product="All"),--(D_SC_Category=$A25),--(D_Zone="All"),(D_Percent))</f>
        <v>0</v>
      </c>
      <c r="E25" s="254" cm="1">
        <f t="array" ref="E25">SUMPRODUCT(--(D_Category="Ex_Cat_1"),--(D_EffDate="Eff_Date_2"),--(D_Product="DF")+--(D_Product="All"),--(D_SC_Category=$A25),--(D_Zone="All"),(D_Percent))</f>
        <v>0</v>
      </c>
      <c r="F25" s="122">
        <f t="shared" si="24"/>
        <v>25.5</v>
      </c>
      <c r="G25" s="123"/>
      <c r="H25" s="122">
        <f t="shared" si="0"/>
        <v>0</v>
      </c>
      <c r="I25" s="123"/>
      <c r="J25" s="122">
        <f t="shared" si="25"/>
        <v>25.5</v>
      </c>
      <c r="K25" s="123"/>
      <c r="L25" s="124" cm="1">
        <f t="array" ref="L25">SUMPRODUCT(--(Category="Ex_Cat_1"),--(OpCo="Express Freight"),--(Intl="Domestic"),--(SC_Name=$A25),(SC_Count))</f>
        <v>0</v>
      </c>
      <c r="M25" s="125">
        <f t="shared" si="26"/>
        <v>0</v>
      </c>
      <c r="N25" s="125">
        <f t="shared" si="1"/>
        <v>0</v>
      </c>
      <c r="O25" s="125">
        <f t="shared" si="2"/>
        <v>0</v>
      </c>
      <c r="P25" s="260" cm="1">
        <f t="array" ref="P25">SUMPRODUCT(--(D_Category="Ex_Cat_2"),--(D_EffDate="Eff_Date_1"),--(D_Product="DF")+--(D_Product="All"),--(D_SC_Category=$A25),--(D_Zone="All"),(D_Percent))</f>
        <v>0</v>
      </c>
      <c r="Q25" s="260" cm="1">
        <f t="array" ref="Q25">SUMPRODUCT(--(D_Category="Ex_Cat_2"),--(D_EffDate="Eff_Date_2"),--(D_Product="DF")+--(D_Product="All"),--(D_SC_Category=$A25),--(D_Zone="All"),(D_Percent))</f>
        <v>0</v>
      </c>
      <c r="R25" s="122">
        <f t="shared" si="27"/>
        <v>25.5</v>
      </c>
      <c r="S25" s="123"/>
      <c r="T25" s="122">
        <f t="shared" si="28"/>
        <v>0</v>
      </c>
      <c r="U25" s="123"/>
      <c r="V25" s="122">
        <f t="shared" si="29"/>
        <v>25.5</v>
      </c>
      <c r="W25" s="123"/>
      <c r="X25" s="124" cm="1">
        <f t="array" ref="X25">SUMPRODUCT(--(Category="Ex_Cat_2"),--(OpCo="Express Freight"),--(Intl="Domestic"),--(SC_Name=$A25),(SC_Count))</f>
        <v>0</v>
      </c>
      <c r="Y25" s="125">
        <f t="shared" si="40"/>
        <v>0</v>
      </c>
      <c r="Z25" s="125">
        <f t="shared" si="4"/>
        <v>0</v>
      </c>
      <c r="AA25" s="125">
        <f t="shared" si="31"/>
        <v>0</v>
      </c>
      <c r="AB25" s="263" cm="1">
        <f t="array" ref="AB25">SUMPRODUCT(--(D_Category="Ex_Cat_3"),--(D_EffDate="Eff_Date_1"),--(D_Product="DF")+--(D_Product="All"),--(D_SC_Category=$A25),--(D_Zone="All"),(D_Percent))</f>
        <v>0</v>
      </c>
      <c r="AC25" s="263" cm="1">
        <f t="array" ref="AC25">SUMPRODUCT(--(D_Category="Ex_Cat_3"),--(D_EffDate="Eff_Date_2"),--(D_Product="DF")+--(D_Product="All"),--(D_SC_Category=$A25),--(D_Zone="All"),(D_Percent))</f>
        <v>0</v>
      </c>
      <c r="AD25" s="122">
        <f t="shared" si="32"/>
        <v>25.5</v>
      </c>
      <c r="AE25" s="123"/>
      <c r="AF25" s="122">
        <f t="shared" si="33"/>
        <v>0</v>
      </c>
      <c r="AG25" s="123"/>
      <c r="AH25" s="122">
        <f t="shared" si="34"/>
        <v>25.5</v>
      </c>
      <c r="AI25" s="123"/>
      <c r="AJ25" s="124" cm="1">
        <f t="array" ref="AJ25">SUMPRODUCT(--(Category="Ex_Cat_3"),--(OpCo="Express Freight"),--(Intl="Domestic"),--(SC_Name=$A25),(SC_Count))</f>
        <v>0</v>
      </c>
      <c r="AK25" s="125">
        <f t="shared" si="41"/>
        <v>0</v>
      </c>
      <c r="AL25" s="125">
        <f t="shared" si="7"/>
        <v>0</v>
      </c>
      <c r="AM25" s="125">
        <f t="shared" si="36"/>
        <v>0</v>
      </c>
    </row>
    <row r="26" spans="1:39" x14ac:dyDescent="0.35">
      <c r="A26" s="131" t="s">
        <v>933</v>
      </c>
      <c r="B26" s="127">
        <v>130</v>
      </c>
      <c r="C26" s="127"/>
      <c r="D26" s="254" cm="1">
        <f t="array" ref="D26">SUMPRODUCT(--(D_Category="Ex_Cat_1"),--(D_EffDate="Eff_Date_1"),--(D_Product="DF"),--(D_SC_Name=$A26),--(D_Zone="All"),(D_Percent))</f>
        <v>0</v>
      </c>
      <c r="E26" s="254" cm="1">
        <f t="array" ref="E26">SUMPRODUCT(--(D_Category="Ex_Cat_1"),--(D_EffDate="Eff_Date_2"),--(D_Product="DF"),--(D_SC_Name=$A26),--(D_Zone="All"),(D_Percent))</f>
        <v>0</v>
      </c>
      <c r="F26" s="127">
        <f t="shared" si="24"/>
        <v>130</v>
      </c>
      <c r="G26" s="128"/>
      <c r="H26" s="127">
        <f t="shared" si="0"/>
        <v>0</v>
      </c>
      <c r="I26" s="128"/>
      <c r="J26" s="127">
        <f t="shared" si="25"/>
        <v>130</v>
      </c>
      <c r="K26" s="128"/>
      <c r="L26" s="129" cm="1">
        <f t="array" ref="L26">SUMPRODUCT(--(Category="Ex_Cat_1"),--(OpCo="Express Freight"),--(Intl="Domestic"),--(SC_Name=$A26),(SC_Count))</f>
        <v>0</v>
      </c>
      <c r="M26" s="130">
        <f t="shared" si="26"/>
        <v>0</v>
      </c>
      <c r="N26" s="130">
        <f t="shared" si="1"/>
        <v>0</v>
      </c>
      <c r="O26" s="130">
        <f t="shared" si="2"/>
        <v>0</v>
      </c>
      <c r="P26" s="260" cm="1">
        <f t="array" ref="P26">SUMPRODUCT(--(D_Category="Ex_Cat_2"),--(D_EffDate="Eff_Date_1"),--(D_Product="DF"),--(D_SC_Name=$A26),--(D_Zone="All"),(D_Percent))</f>
        <v>0</v>
      </c>
      <c r="Q26" s="260" cm="1">
        <f t="array" ref="Q26">SUMPRODUCT(--(D_Category="Ex_Cat_2"),--(D_EffDate="Eff_Date_2"),--(D_Product="DF"),--(D_SC_Name=$A26),--(D_Zone="All"),(D_Percent))</f>
        <v>0</v>
      </c>
      <c r="R26" s="127">
        <f t="shared" si="27"/>
        <v>130</v>
      </c>
      <c r="S26" s="128"/>
      <c r="T26" s="127">
        <f t="shared" si="28"/>
        <v>0</v>
      </c>
      <c r="U26" s="128"/>
      <c r="V26" s="127">
        <f t="shared" si="29"/>
        <v>130</v>
      </c>
      <c r="W26" s="128"/>
      <c r="X26" s="129" cm="1">
        <f t="array" ref="X26">SUMPRODUCT(--(Category="Ex_Cat_2"),--(OpCo="Express Freight"),--(Intl="Domestic"),--(SC_Name=$A26),(SC_Count))</f>
        <v>0</v>
      </c>
      <c r="Y26" s="130">
        <f t="shared" si="40"/>
        <v>0</v>
      </c>
      <c r="Z26" s="130">
        <f t="shared" si="4"/>
        <v>0</v>
      </c>
      <c r="AA26" s="130">
        <f t="shared" si="31"/>
        <v>0</v>
      </c>
      <c r="AB26" s="263" cm="1">
        <f t="array" ref="AB26">SUMPRODUCT(--(D_Category="Ex_Cat_3"),--(D_EffDate="Eff_Date_1"),--(D_Product="DF"),--(D_SC_Name=$A26),--(D_Zone="All"),(D_Percent))</f>
        <v>0</v>
      </c>
      <c r="AC26" s="263" cm="1">
        <f t="array" ref="AC26">SUMPRODUCT(--(D_Category="Ex_Cat_3"),--(D_EffDate="Eff_Date_2"),--(D_Product="DF"),--(D_SC_Name=$A26),--(D_Zone="All"),(D_Percent))</f>
        <v>0</v>
      </c>
      <c r="AD26" s="127">
        <f t="shared" si="32"/>
        <v>130</v>
      </c>
      <c r="AE26" s="128"/>
      <c r="AF26" s="127">
        <f t="shared" si="33"/>
        <v>0</v>
      </c>
      <c r="AG26" s="128"/>
      <c r="AH26" s="127">
        <f t="shared" si="34"/>
        <v>130</v>
      </c>
      <c r="AI26" s="128"/>
      <c r="AJ26" s="129" cm="1">
        <f t="array" ref="AJ26">SUMPRODUCT(--(Category="Ex_Cat_3"),--(OpCo="Express Freight"),--(Intl="Domestic"),--(SC_Name=$A26),(SC_Count))</f>
        <v>0</v>
      </c>
      <c r="AK26" s="130">
        <f t="shared" si="41"/>
        <v>0</v>
      </c>
      <c r="AL26" s="130">
        <f t="shared" si="7"/>
        <v>0</v>
      </c>
      <c r="AM26" s="130">
        <f t="shared" si="36"/>
        <v>0</v>
      </c>
    </row>
    <row r="27" spans="1:39" x14ac:dyDescent="0.35">
      <c r="A27" s="117" t="s">
        <v>25</v>
      </c>
      <c r="B27" s="122">
        <v>230</v>
      </c>
      <c r="C27" s="122"/>
      <c r="D27" s="254" cm="1">
        <f t="array" ref="D27">SUMPRODUCT(--(D_Category="Ex_Cat_1"),--(D_EffDate="Eff_Date_1"),--(D_Product="DF"),--(D_SC_Name=$A27),--(D_Zone="All"),(D_Percent))</f>
        <v>0</v>
      </c>
      <c r="E27" s="254" cm="1">
        <f t="array" ref="E27">SUMPRODUCT(--(D_Category="Ex_Cat_1"),--(D_EffDate="Eff_Date_2"),--(D_Product="DF"),--(D_SC_Name=$A27),--(D_Zone="All"),(D_Percent))</f>
        <v>0</v>
      </c>
      <c r="F27" s="122">
        <f t="shared" si="24"/>
        <v>230</v>
      </c>
      <c r="G27" s="123"/>
      <c r="H27" s="122">
        <f t="shared" si="0"/>
        <v>0</v>
      </c>
      <c r="I27" s="123"/>
      <c r="J27" s="122">
        <f t="shared" si="25"/>
        <v>230</v>
      </c>
      <c r="K27" s="123"/>
      <c r="L27" s="124" cm="1">
        <f t="array" ref="L27">SUMPRODUCT(--(Category="Ex_Cat_1"),--(OpCo="Express Freight"),--(Intl="Domestic"),--(SC_Name=$A27),(SC_Count))</f>
        <v>0</v>
      </c>
      <c r="M27" s="125">
        <f t="shared" si="26"/>
        <v>0</v>
      </c>
      <c r="N27" s="125">
        <f t="shared" si="1"/>
        <v>0</v>
      </c>
      <c r="O27" s="125">
        <f t="shared" si="2"/>
        <v>0</v>
      </c>
      <c r="P27" s="260" cm="1">
        <f t="array" ref="P27">SUMPRODUCT(--(D_Category="Ex_Cat_2"),--(D_EffDate="Eff_Date_1"),--(D_Product="DF"),--(D_SC_Name=$A27),--(D_Zone="All"),(D_Percent))</f>
        <v>0</v>
      </c>
      <c r="Q27" s="260" cm="1">
        <f t="array" ref="Q27">SUMPRODUCT(--(D_Category="Ex_Cat_2"),--(D_EffDate="Eff_Date_2"),--(D_Product="DF"),--(D_SC_Name=$A27),--(D_Zone="All"),(D_Percent))</f>
        <v>0</v>
      </c>
      <c r="R27" s="122">
        <f t="shared" si="27"/>
        <v>230</v>
      </c>
      <c r="S27" s="123"/>
      <c r="T27" s="122">
        <f t="shared" si="28"/>
        <v>0</v>
      </c>
      <c r="U27" s="123"/>
      <c r="V27" s="122">
        <f t="shared" si="29"/>
        <v>230</v>
      </c>
      <c r="W27" s="123"/>
      <c r="X27" s="124" cm="1">
        <f t="array" ref="X27">SUMPRODUCT(--(Category="Ex_Cat_2"),--(OpCo="Express Freight"),--(Intl="Domestic"),--(SC_Name=$A27),(SC_Count))</f>
        <v>0</v>
      </c>
      <c r="Y27" s="125">
        <f t="shared" si="40"/>
        <v>0</v>
      </c>
      <c r="Z27" s="125">
        <f t="shared" si="4"/>
        <v>0</v>
      </c>
      <c r="AA27" s="125">
        <f t="shared" si="31"/>
        <v>0</v>
      </c>
      <c r="AB27" s="263" cm="1">
        <f t="array" ref="AB27">SUMPRODUCT(--(D_Category="Ex_Cat_3"),--(D_EffDate="Eff_Date_1"),--(D_Product="DF"),--(D_SC_Name=$A27),--(D_Zone="All"),(D_Percent))</f>
        <v>0</v>
      </c>
      <c r="AC27" s="263" cm="1">
        <f t="array" ref="AC27">SUMPRODUCT(--(D_Category="Ex_Cat_3"),--(D_EffDate="Eff_Date_2"),--(D_Product="DF"),--(D_SC_Name=$A27),--(D_Zone="All"),(D_Percent))</f>
        <v>0</v>
      </c>
      <c r="AD27" s="122">
        <f t="shared" si="32"/>
        <v>230</v>
      </c>
      <c r="AE27" s="123"/>
      <c r="AF27" s="122">
        <f t="shared" si="33"/>
        <v>0</v>
      </c>
      <c r="AG27" s="123"/>
      <c r="AH27" s="122">
        <f t="shared" si="34"/>
        <v>230</v>
      </c>
      <c r="AI27" s="123"/>
      <c r="AJ27" s="124" cm="1">
        <f t="array" ref="AJ27">SUMPRODUCT(--(Category="Ex_Cat_3"),--(OpCo="Express Freight"),--(Intl="Domestic"),--(SC_Name=$A27),(SC_Count))</f>
        <v>0</v>
      </c>
      <c r="AK27" s="125">
        <f t="shared" si="41"/>
        <v>0</v>
      </c>
      <c r="AL27" s="125">
        <f t="shared" si="7"/>
        <v>0</v>
      </c>
      <c r="AM27" s="125">
        <f t="shared" si="36"/>
        <v>0</v>
      </c>
    </row>
    <row r="28" spans="1:39" x14ac:dyDescent="0.35">
      <c r="A28" s="131" t="s">
        <v>895</v>
      </c>
      <c r="B28" s="127">
        <v>230</v>
      </c>
      <c r="C28" s="127"/>
      <c r="D28" s="254" cm="1">
        <f t="array" ref="D28">SUMPRODUCT(--(D_Category="Ex_Cat_1"),--(D_EffDate="Eff_Date_1"),--(D_Product="DF"),--(D_SC_Name=$A28),--(D_Zone="All"),(D_Percent))</f>
        <v>0</v>
      </c>
      <c r="E28" s="254" cm="1">
        <f t="array" ref="E28">SUMPRODUCT(--(D_Category="Ex_Cat_1"),--(D_EffDate="Eff_Date_2"),--(D_Product="DF"),--(D_SC_Name=$A28),--(D_Zone="All"),(D_Percent))</f>
        <v>0</v>
      </c>
      <c r="F28" s="127">
        <f t="shared" si="24"/>
        <v>230</v>
      </c>
      <c r="G28" s="128"/>
      <c r="H28" s="127">
        <f t="shared" si="0"/>
        <v>0</v>
      </c>
      <c r="I28" s="128"/>
      <c r="J28" s="127">
        <f t="shared" si="25"/>
        <v>230</v>
      </c>
      <c r="K28" s="128"/>
      <c r="L28" s="129" cm="1">
        <f t="array" ref="L28">SUMPRODUCT(--(Category="Ex_Cat_1"),--(OpCo="Express Freight"),--(Intl="Domestic"),--(SC_Name=$A28),(SC_Count))</f>
        <v>0</v>
      </c>
      <c r="M28" s="130">
        <f t="shared" si="26"/>
        <v>0</v>
      </c>
      <c r="N28" s="130">
        <f t="shared" si="1"/>
        <v>0</v>
      </c>
      <c r="O28" s="130">
        <f t="shared" si="2"/>
        <v>0</v>
      </c>
      <c r="P28" s="260" cm="1">
        <f t="array" ref="P28">SUMPRODUCT(--(D_Category="Ex_Cat_2"),--(D_EffDate="Eff_Date_1"),--(D_Product="DF"),--(D_SC_Name=$A28),--(D_Zone="All"),(D_Percent))</f>
        <v>0</v>
      </c>
      <c r="Q28" s="260" cm="1">
        <f t="array" ref="Q28">SUMPRODUCT(--(D_Category="Ex_Cat_2"),--(D_EffDate="Eff_Date_2"),--(D_Product="DF"),--(D_SC_Name=$A28),--(D_Zone="All"),(D_Percent))</f>
        <v>0</v>
      </c>
      <c r="R28" s="127">
        <f t="shared" si="27"/>
        <v>230</v>
      </c>
      <c r="S28" s="128"/>
      <c r="T28" s="127">
        <f t="shared" si="28"/>
        <v>0</v>
      </c>
      <c r="U28" s="128"/>
      <c r="V28" s="127">
        <f t="shared" si="29"/>
        <v>230</v>
      </c>
      <c r="W28" s="128"/>
      <c r="X28" s="129" cm="1">
        <f t="array" ref="X28">SUMPRODUCT(--(Category="Ex_Cat_2"),--(OpCo="Express Freight"),--(Intl="Domestic"),--(SC_Name=$A28),(SC_Count))</f>
        <v>0</v>
      </c>
      <c r="Y28" s="130">
        <f t="shared" si="40"/>
        <v>0</v>
      </c>
      <c r="Z28" s="130">
        <f t="shared" si="4"/>
        <v>0</v>
      </c>
      <c r="AA28" s="130">
        <f t="shared" si="31"/>
        <v>0</v>
      </c>
      <c r="AB28" s="263" cm="1">
        <f t="array" ref="AB28">SUMPRODUCT(--(D_Category="Ex_Cat_3"),--(D_EffDate="Eff_Date_1"),--(D_Product="DF"),--(D_SC_Name=$A28),--(D_Zone="All"),(D_Percent))</f>
        <v>0</v>
      </c>
      <c r="AC28" s="263" cm="1">
        <f t="array" ref="AC28">SUMPRODUCT(--(D_Category="Ex_Cat_3"),--(D_EffDate="Eff_Date_2"),--(D_Product="DF"),--(D_SC_Name=$A28),--(D_Zone="All"),(D_Percent))</f>
        <v>0</v>
      </c>
      <c r="AD28" s="127">
        <f t="shared" si="32"/>
        <v>230</v>
      </c>
      <c r="AE28" s="128"/>
      <c r="AF28" s="127">
        <f t="shared" si="33"/>
        <v>0</v>
      </c>
      <c r="AG28" s="128"/>
      <c r="AH28" s="127">
        <f t="shared" si="34"/>
        <v>230</v>
      </c>
      <c r="AI28" s="128"/>
      <c r="AJ28" s="129" cm="1">
        <f t="array" ref="AJ28">SUMPRODUCT(--(Category="Ex_Cat_3"),--(OpCo="Express Freight"),--(Intl="Domestic"),--(SC_Name=$A28),(SC_Count))</f>
        <v>0</v>
      </c>
      <c r="AK28" s="130">
        <f t="shared" si="41"/>
        <v>0</v>
      </c>
      <c r="AL28" s="130">
        <f t="shared" si="7"/>
        <v>0</v>
      </c>
      <c r="AM28" s="130">
        <f t="shared" si="36"/>
        <v>0</v>
      </c>
    </row>
    <row r="29" spans="1:39" x14ac:dyDescent="0.35">
      <c r="A29" s="117" t="s">
        <v>283</v>
      </c>
      <c r="B29" s="122"/>
      <c r="C29" s="122"/>
      <c r="D29" s="254"/>
      <c r="E29" s="254"/>
      <c r="F29" s="122"/>
      <c r="G29" s="123"/>
      <c r="H29" s="122"/>
      <c r="I29" s="123"/>
      <c r="J29" s="122"/>
      <c r="K29" s="123"/>
      <c r="L29" s="124"/>
      <c r="M29" s="125"/>
      <c r="N29" s="125"/>
      <c r="O29" s="125"/>
      <c r="P29" s="260"/>
      <c r="Q29" s="260"/>
      <c r="R29" s="122"/>
      <c r="S29" s="123"/>
      <c r="T29" s="122"/>
      <c r="U29" s="123"/>
      <c r="V29" s="122"/>
      <c r="W29" s="123"/>
      <c r="X29" s="124"/>
      <c r="Y29" s="125"/>
      <c r="Z29" s="125"/>
      <c r="AA29" s="125"/>
      <c r="AB29" s="263"/>
      <c r="AC29" s="263"/>
      <c r="AD29" s="122"/>
      <c r="AE29" s="123"/>
      <c r="AF29" s="122"/>
      <c r="AG29" s="123"/>
      <c r="AH29" s="122"/>
      <c r="AI29" s="123"/>
      <c r="AJ29" s="124"/>
      <c r="AK29" s="125"/>
      <c r="AL29" s="125"/>
      <c r="AM29" s="125"/>
    </row>
    <row r="30" spans="1:39" x14ac:dyDescent="0.35">
      <c r="A30" s="121" t="s">
        <v>1003</v>
      </c>
      <c r="B30" s="122">
        <v>1.05</v>
      </c>
      <c r="C30" s="122"/>
      <c r="D30" s="254" cm="1">
        <f t="array" ref="D30">SUMPRODUCT(--(D_Category="Ex_Cat_1"),--(D_EffDate="Eff_Date_1"),--(D_Product="DF"),--(D_SC_Name=$A30),--(D_Zone="All"),(D_Percent))</f>
        <v>0</v>
      </c>
      <c r="E30" s="254" cm="1">
        <f t="array" ref="E30">SUMPRODUCT(--(D_Category="Ex_Cat_1"),--(D_EffDate="Eff_Date_2"),--(D_Product="DF"),--(D_SC_Name=$A30),--(D_Zone="All"),(D_Percent))</f>
        <v>0</v>
      </c>
      <c r="F30" s="122">
        <f>ROUND(($B30*(1-D30)),2)</f>
        <v>1.05</v>
      </c>
      <c r="G30" s="123"/>
      <c r="H30" s="122">
        <f t="shared" si="0"/>
        <v>0</v>
      </c>
      <c r="I30" s="123"/>
      <c r="J30" s="122">
        <f>ROUND(($B30*(1-E30)),2)</f>
        <v>1.05</v>
      </c>
      <c r="K30" s="123"/>
      <c r="L30" s="124" cm="1">
        <f t="array" ref="L30">SUMPRODUCT(--(Category="Ex_Cat_1"),--(OpCo="Express Freight"),--(Intl="Domestic"),--(SC_Name=$A30),(SC_Count))</f>
        <v>0</v>
      </c>
      <c r="M30" s="125">
        <f>L30*F30</f>
        <v>0</v>
      </c>
      <c r="N30" s="125">
        <f t="shared" si="1"/>
        <v>0</v>
      </c>
      <c r="O30" s="125">
        <f t="shared" si="2"/>
        <v>0</v>
      </c>
      <c r="P30" s="260" cm="1">
        <f t="array" ref="P30">SUMPRODUCT(--(D_Category="Ex_Cat_2"),--(D_EffDate="Eff_Date_1"),--(D_Product="DF"),--(D_SC_Name=$A30),--(D_Zone="All"),(D_Percent))</f>
        <v>0</v>
      </c>
      <c r="Q30" s="260" cm="1">
        <f t="array" ref="Q30">SUMPRODUCT(--(D_Category="Ex_Cat_2"),--(D_EffDate="Eff_Date_2"),--(D_Product="DF"),--(D_SC_Name=$A30),--(D_Zone="All"),(D_Percent))</f>
        <v>0</v>
      </c>
      <c r="R30" s="122">
        <f>ROUND(($B30*(1-P30)),2)</f>
        <v>1.05</v>
      </c>
      <c r="S30" s="123"/>
      <c r="T30" s="122">
        <f t="shared" ref="T30:T33" si="42">V30-R30</f>
        <v>0</v>
      </c>
      <c r="U30" s="123"/>
      <c r="V30" s="122">
        <f>ROUND(($B30*(1-Q30)),2)</f>
        <v>1.05</v>
      </c>
      <c r="W30" s="123"/>
      <c r="X30" s="124" cm="1">
        <f t="array" ref="X30">SUMPRODUCT(--(Category="Ex_Cat_2"),--(OpCo="Express Freight"),--(Intl="Domestic"),--(SC_Name=$A30),(SC_Count))</f>
        <v>0</v>
      </c>
      <c r="Y30" s="125">
        <f>X30*R30</f>
        <v>0</v>
      </c>
      <c r="Z30" s="125">
        <f t="shared" si="4"/>
        <v>0</v>
      </c>
      <c r="AA30" s="125">
        <f t="shared" ref="AA30:AA33" si="43">X30*V30</f>
        <v>0</v>
      </c>
      <c r="AB30" s="263" cm="1">
        <f t="array" ref="AB30">SUMPRODUCT(--(D_Category="Ex_Cat_3"),--(D_EffDate="Eff_Date_1"),--(D_Product="DF"),--(D_SC_Name=$A30),--(D_Zone="All"),(D_Percent))</f>
        <v>0</v>
      </c>
      <c r="AC30" s="263" cm="1">
        <f t="array" ref="AC30">SUMPRODUCT(--(D_Category="Ex_Cat_3"),--(D_EffDate="Eff_Date_2"),--(D_Product="DF"),--(D_SC_Name=$A30),--(D_Zone="All"),(D_Percent))</f>
        <v>0</v>
      </c>
      <c r="AD30" s="122">
        <f>ROUND(($B30*(1-AB30)),2)</f>
        <v>1.05</v>
      </c>
      <c r="AE30" s="123"/>
      <c r="AF30" s="122">
        <f t="shared" ref="AF30:AF33" si="44">AH30-AD30</f>
        <v>0</v>
      </c>
      <c r="AG30" s="123"/>
      <c r="AH30" s="122">
        <f>ROUND(($B30*(1-AC30)),2)</f>
        <v>1.05</v>
      </c>
      <c r="AI30" s="123"/>
      <c r="AJ30" s="124" cm="1">
        <f t="array" ref="AJ30">SUMPRODUCT(--(Category="Ex_Cat_3"),--(OpCo="Express Freight"),--(Intl="Domestic"),--(SC_Name=$A30),(SC_Count))</f>
        <v>0</v>
      </c>
      <c r="AK30" s="125">
        <f>AJ30*AD30</f>
        <v>0</v>
      </c>
      <c r="AL30" s="125">
        <f t="shared" si="7"/>
        <v>0</v>
      </c>
      <c r="AM30" s="125">
        <f t="shared" ref="AM30:AM33" si="45">AJ30*AH30</f>
        <v>0</v>
      </c>
    </row>
    <row r="31" spans="1:39" x14ac:dyDescent="0.35">
      <c r="A31" s="121" t="s">
        <v>1005</v>
      </c>
      <c r="B31" s="122">
        <v>1.05</v>
      </c>
      <c r="C31" s="122"/>
      <c r="D31" s="254" cm="1">
        <f t="array" ref="D31">SUMPRODUCT(--(D_Category="Ex_Cat_1"),--(D_EffDate="Eff_Date_1"),--(D_Product="DF"),--(D_SC_Name=$A31),--(D_Zone="All"),(D_Percent))</f>
        <v>0</v>
      </c>
      <c r="E31" s="254" cm="1">
        <f t="array" ref="E31">SUMPRODUCT(--(D_Category="Ex_Cat_1"),--(D_EffDate="Eff_Date_2"),--(D_Product="DF"),--(D_SC_Name=$A31),--(D_Zone="All"),(D_Percent))</f>
        <v>0</v>
      </c>
      <c r="F31" s="122">
        <f>ROUND(($B31*(1-D31)),2)</f>
        <v>1.05</v>
      </c>
      <c r="G31" s="123"/>
      <c r="H31" s="122">
        <f t="shared" si="0"/>
        <v>0</v>
      </c>
      <c r="I31" s="123"/>
      <c r="J31" s="122">
        <f>ROUND(($B31*(1-E31)),2)</f>
        <v>1.05</v>
      </c>
      <c r="K31" s="123"/>
      <c r="L31" s="124" cm="1">
        <f t="array" ref="L31">SUMPRODUCT(--(Category="Ex_Cat_1"),--(OpCo="Express Freight"),--(Intl="Domestic"),--(SC_Name=$A31),(SC_Count))</f>
        <v>0</v>
      </c>
      <c r="M31" s="125">
        <f>L31*F31</f>
        <v>0</v>
      </c>
      <c r="N31" s="125">
        <f t="shared" si="1"/>
        <v>0</v>
      </c>
      <c r="O31" s="125">
        <f t="shared" si="2"/>
        <v>0</v>
      </c>
      <c r="P31" s="260" cm="1">
        <f t="array" ref="P31">SUMPRODUCT(--(D_Category="Ex_Cat_2"),--(D_EffDate="Eff_Date_1"),--(D_Product="DF"),--(D_SC_Name=$A31),--(D_Zone="All"),(D_Percent))</f>
        <v>0</v>
      </c>
      <c r="Q31" s="260" cm="1">
        <f t="array" ref="Q31">SUMPRODUCT(--(D_Category="Ex_Cat_2"),--(D_EffDate="Eff_Date_2"),--(D_Product="DF"),--(D_SC_Name=$A31),--(D_Zone="All"),(D_Percent))</f>
        <v>0</v>
      </c>
      <c r="R31" s="122">
        <f>ROUND(($B31*(1-P31)),2)</f>
        <v>1.05</v>
      </c>
      <c r="S31" s="123"/>
      <c r="T31" s="122">
        <f t="shared" si="42"/>
        <v>0</v>
      </c>
      <c r="U31" s="123"/>
      <c r="V31" s="122">
        <f>ROUND(($B31*(1-Q31)),2)</f>
        <v>1.05</v>
      </c>
      <c r="W31" s="123"/>
      <c r="X31" s="124" cm="1">
        <f t="array" ref="X31">SUMPRODUCT(--(Category="Ex_Cat_2"),--(OpCo="Express Freight"),--(Intl="Domestic"),--(SC_Name=$A31),(SC_Count))</f>
        <v>0</v>
      </c>
      <c r="Y31" s="125">
        <f>X31*R31</f>
        <v>0</v>
      </c>
      <c r="Z31" s="125">
        <f t="shared" si="4"/>
        <v>0</v>
      </c>
      <c r="AA31" s="125">
        <f t="shared" si="43"/>
        <v>0</v>
      </c>
      <c r="AB31" s="263" cm="1">
        <f t="array" ref="AB31">SUMPRODUCT(--(D_Category="Ex_Cat_3"),--(D_EffDate="Eff_Date_1"),--(D_Product="DF"),--(D_SC_Name=$A31),--(D_Zone="All"),(D_Percent))</f>
        <v>0</v>
      </c>
      <c r="AC31" s="263" cm="1">
        <f t="array" ref="AC31">SUMPRODUCT(--(D_Category="Ex_Cat_3"),--(D_EffDate="Eff_Date_2"),--(D_Product="DF"),--(D_SC_Name=$A31),--(D_Zone="All"),(D_Percent))</f>
        <v>0</v>
      </c>
      <c r="AD31" s="122">
        <f>ROUND(($B31*(1-AB31)),2)</f>
        <v>1.05</v>
      </c>
      <c r="AE31" s="123"/>
      <c r="AF31" s="122">
        <f t="shared" si="44"/>
        <v>0</v>
      </c>
      <c r="AG31" s="123"/>
      <c r="AH31" s="122">
        <f>ROUND(($B31*(1-AC31)),2)</f>
        <v>1.05</v>
      </c>
      <c r="AI31" s="123"/>
      <c r="AJ31" s="124" cm="1">
        <f t="array" ref="AJ31">SUMPRODUCT(--(Category="Ex_Cat_3"),--(OpCo="Express Freight"),--(Intl="Domestic"),--(SC_Name=$A31),(SC_Count))</f>
        <v>0</v>
      </c>
      <c r="AK31" s="125">
        <f>AJ31*AD31</f>
        <v>0</v>
      </c>
      <c r="AL31" s="125">
        <f t="shared" si="7"/>
        <v>0</v>
      </c>
      <c r="AM31" s="125">
        <f t="shared" si="45"/>
        <v>0</v>
      </c>
    </row>
    <row r="32" spans="1:39" x14ac:dyDescent="0.35">
      <c r="A32" s="131" t="s">
        <v>46</v>
      </c>
      <c r="B32" s="127">
        <v>210</v>
      </c>
      <c r="C32" s="127"/>
      <c r="D32" s="254" cm="1">
        <f t="array" ref="D32">SUMPRODUCT(--(D_Category="Ex_Cat_1"),--(D_EffDate="Eff_Date_1"),--(D_Product="DF"),--(D_SC_Name=$A32),--(D_Zone="All"),(D_Percent))</f>
        <v>0</v>
      </c>
      <c r="E32" s="254" cm="1">
        <f t="array" ref="E32">SUMPRODUCT(--(D_Category="Ex_Cat_1"),--(D_EffDate="Eff_Date_2"),--(D_Product="DF"),--(D_SC_Name=$A32),--(D_Zone="All"),(D_Percent))</f>
        <v>0</v>
      </c>
      <c r="F32" s="127">
        <f>ROUND(($B32*(1-D32)),2)</f>
        <v>210</v>
      </c>
      <c r="G32" s="128"/>
      <c r="H32" s="127">
        <f t="shared" si="0"/>
        <v>0</v>
      </c>
      <c r="I32" s="128"/>
      <c r="J32" s="127">
        <f>ROUND(($B32*(1-E32)),2)</f>
        <v>210</v>
      </c>
      <c r="K32" s="128"/>
      <c r="L32" s="129" cm="1">
        <f t="array" ref="L32">SUMPRODUCT(--(Category="Ex_Cat_1"),--(OpCo="Express Freight"),--(Intl="Domestic"),--(SC_Name=$A32),(SC_Count))</f>
        <v>0</v>
      </c>
      <c r="M32" s="130">
        <f>L32*F32</f>
        <v>0</v>
      </c>
      <c r="N32" s="130">
        <f t="shared" si="1"/>
        <v>0</v>
      </c>
      <c r="O32" s="130">
        <f t="shared" si="2"/>
        <v>0</v>
      </c>
      <c r="P32" s="260" cm="1">
        <f t="array" ref="P32">SUMPRODUCT(--(D_Category="Ex_Cat_2"),--(D_EffDate="Eff_Date_1"),--(D_Product="DF"),--(D_SC_Name=$A32),--(D_Zone="All"),(D_Percent))</f>
        <v>0</v>
      </c>
      <c r="Q32" s="260" cm="1">
        <f t="array" ref="Q32">SUMPRODUCT(--(D_Category="Ex_Cat_2"),--(D_EffDate="Eff_Date_2"),--(D_Product="DF"),--(D_SC_Name=$A32),--(D_Zone="All"),(D_Percent))</f>
        <v>0</v>
      </c>
      <c r="R32" s="127">
        <f>ROUND(($B32*(1-P32)),2)</f>
        <v>210</v>
      </c>
      <c r="S32" s="128"/>
      <c r="T32" s="127">
        <f t="shared" si="42"/>
        <v>0</v>
      </c>
      <c r="U32" s="128"/>
      <c r="V32" s="127">
        <f>ROUND(($B32*(1-Q32)),2)</f>
        <v>210</v>
      </c>
      <c r="W32" s="128"/>
      <c r="X32" s="129" cm="1">
        <f t="array" ref="X32">SUMPRODUCT(--(Category="Ex_Cat_2"),--(OpCo="Express Freight"),--(Intl="Domestic"),--(SC_Name=$A32),(SC_Count))</f>
        <v>0</v>
      </c>
      <c r="Y32" s="130">
        <f>X32*R32</f>
        <v>0</v>
      </c>
      <c r="Z32" s="130">
        <f t="shared" si="4"/>
        <v>0</v>
      </c>
      <c r="AA32" s="130">
        <f t="shared" si="43"/>
        <v>0</v>
      </c>
      <c r="AB32" s="263" cm="1">
        <f t="array" ref="AB32">SUMPRODUCT(--(D_Category="Ex_Cat_3"),--(D_EffDate="Eff_Date_1"),--(D_Product="DF"),--(D_SC_Name=$A32),--(D_Zone="All"),(D_Percent))</f>
        <v>0</v>
      </c>
      <c r="AC32" s="263" cm="1">
        <f t="array" ref="AC32">SUMPRODUCT(--(D_Category="Ex_Cat_3"),--(D_EffDate="Eff_Date_2"),--(D_Product="DF"),--(D_SC_Name=$A32),--(D_Zone="All"),(D_Percent))</f>
        <v>0</v>
      </c>
      <c r="AD32" s="127">
        <f>ROUND(($B32*(1-AB32)),2)</f>
        <v>210</v>
      </c>
      <c r="AE32" s="128"/>
      <c r="AF32" s="127">
        <f t="shared" si="44"/>
        <v>0</v>
      </c>
      <c r="AG32" s="128"/>
      <c r="AH32" s="127">
        <f>ROUND(($B32*(1-AC32)),2)</f>
        <v>210</v>
      </c>
      <c r="AI32" s="128"/>
      <c r="AJ32" s="129" cm="1">
        <f t="array" ref="AJ32">SUMPRODUCT(--(Category="Ex_Cat_3"),--(OpCo="Express Freight"),--(Intl="Domestic"),--(SC_Name=$A32),(SC_Count))</f>
        <v>0</v>
      </c>
      <c r="AK32" s="130">
        <f>AJ32*AD32</f>
        <v>0</v>
      </c>
      <c r="AL32" s="130">
        <f t="shared" si="7"/>
        <v>0</v>
      </c>
      <c r="AM32" s="130">
        <f t="shared" si="45"/>
        <v>0</v>
      </c>
    </row>
    <row r="33" spans="1:39" x14ac:dyDescent="0.35">
      <c r="A33" s="136" t="s">
        <v>24</v>
      </c>
      <c r="B33" s="116">
        <v>210</v>
      </c>
      <c r="C33" s="116"/>
      <c r="D33" s="255" cm="1">
        <f t="array" ref="D33">SUMPRODUCT(--(D_Category="Ex_Cat_1"),--(D_EffDate="Eff_Date_1"),--(D_Product="DF"),--(D_SC_Name=$A33),--(D_Zone="All"),(D_Percent))</f>
        <v>0</v>
      </c>
      <c r="E33" s="255" cm="1">
        <f t="array" ref="E33">SUMPRODUCT(--(D_Category="Ex_Cat_1"),--(D_EffDate="Eff_Date_2"),--(D_Product="DF"),--(D_SC_Name=$A33),--(D_Zone="All"),(D_Percent))</f>
        <v>0</v>
      </c>
      <c r="F33" s="116">
        <f>ROUND(($B33*(1-D33)),2)</f>
        <v>210</v>
      </c>
      <c r="G33" s="137"/>
      <c r="H33" s="116">
        <f t="shared" si="0"/>
        <v>0</v>
      </c>
      <c r="I33" s="137"/>
      <c r="J33" s="116">
        <f>ROUND(($B33*(1-E33)),2)</f>
        <v>210</v>
      </c>
      <c r="K33" s="137"/>
      <c r="L33" s="138" cm="1">
        <f t="array" ref="L33">SUMPRODUCT(--(Category="Ex_Cat_1"),--(OpCo="Express Freight"),--(Intl="Domestic"),--(SC_Name=$A33),(SC_Count))</f>
        <v>0</v>
      </c>
      <c r="M33" s="139">
        <f>L33*F33</f>
        <v>0</v>
      </c>
      <c r="N33" s="139">
        <f t="shared" si="1"/>
        <v>0</v>
      </c>
      <c r="O33" s="139">
        <f t="shared" si="2"/>
        <v>0</v>
      </c>
      <c r="P33" s="261" cm="1">
        <f t="array" ref="P33">SUMPRODUCT(--(D_Category="Ex_Cat_2"),--(D_EffDate="Eff_Date_1"),--(D_Product="DF"),--(D_SC_Name=$A33),--(D_Zone="All"),(D_Percent))</f>
        <v>0</v>
      </c>
      <c r="Q33" s="261" cm="1">
        <f t="array" ref="Q33">SUMPRODUCT(--(D_Category="Ex_Cat_2"),--(D_EffDate="Eff_Date_2"),--(D_Product="DF"),--(D_SC_Name=$A33),--(D_Zone="All"),(D_Percent))</f>
        <v>0</v>
      </c>
      <c r="R33" s="116">
        <f>ROUND(($B33*(1-P33)),2)</f>
        <v>210</v>
      </c>
      <c r="S33" s="137"/>
      <c r="T33" s="116">
        <f t="shared" si="42"/>
        <v>0</v>
      </c>
      <c r="U33" s="137"/>
      <c r="V33" s="116">
        <f>ROUND(($B33*(1-Q33)),2)</f>
        <v>210</v>
      </c>
      <c r="W33" s="137"/>
      <c r="X33" s="138" cm="1">
        <f t="array" ref="X33">SUMPRODUCT(--(Category="Ex_Cat_2"),--(OpCo="Express Freight"),--(Intl="Domestic"),--(SC_Name=$A33),(SC_Count))</f>
        <v>0</v>
      </c>
      <c r="Y33" s="139">
        <f>X33*R33</f>
        <v>0</v>
      </c>
      <c r="Z33" s="139">
        <f t="shared" si="4"/>
        <v>0</v>
      </c>
      <c r="AA33" s="139">
        <f t="shared" si="43"/>
        <v>0</v>
      </c>
      <c r="AB33" s="264" cm="1">
        <f t="array" ref="AB33">SUMPRODUCT(--(D_Category="Ex_Cat_3"),--(D_EffDate="Eff_Date_1"),--(D_Product="DF"),--(D_SC_Name=$A33),--(D_Zone="All"),(D_Percent))</f>
        <v>0</v>
      </c>
      <c r="AC33" s="264" cm="1">
        <f t="array" ref="AC33">SUMPRODUCT(--(D_Category="Ex_Cat_3"),--(D_EffDate="Eff_Date_2"),--(D_Product="DF"),--(D_SC_Name=$A33),--(D_Zone="All"),(D_Percent))</f>
        <v>0</v>
      </c>
      <c r="AD33" s="116">
        <f>ROUND(($B33*(1-AB33)),2)</f>
        <v>210</v>
      </c>
      <c r="AE33" s="137"/>
      <c r="AF33" s="116">
        <f t="shared" si="44"/>
        <v>0</v>
      </c>
      <c r="AG33" s="137"/>
      <c r="AH33" s="116">
        <f>ROUND(($B33*(1-AC33)),2)</f>
        <v>210</v>
      </c>
      <c r="AI33" s="137"/>
      <c r="AJ33" s="138" cm="1">
        <f t="array" ref="AJ33">SUMPRODUCT(--(Category="Ex_Cat_3"),--(OpCo="Express Freight"),--(Intl="Domestic"),--(SC_Name=$A33),(SC_Count))</f>
        <v>0</v>
      </c>
      <c r="AK33" s="139">
        <f>AJ33*AD33</f>
        <v>0</v>
      </c>
      <c r="AL33" s="139">
        <f t="shared" si="7"/>
        <v>0</v>
      </c>
      <c r="AM33" s="139">
        <f t="shared" si="45"/>
        <v>0</v>
      </c>
    </row>
    <row r="34" spans="1:39" ht="15" customHeight="1" x14ac:dyDescent="0.35">
      <c r="A34" s="620" t="s">
        <v>1745</v>
      </c>
      <c r="B34" s="620"/>
      <c r="C34" s="620"/>
      <c r="D34" s="620"/>
      <c r="E34" s="620"/>
      <c r="F34" s="620"/>
      <c r="G34" s="620"/>
      <c r="H34" s="620"/>
      <c r="I34" s="620"/>
      <c r="J34" s="620"/>
      <c r="K34" s="620"/>
      <c r="L34" s="620"/>
      <c r="M34" s="620"/>
      <c r="N34" s="620"/>
      <c r="O34" s="620"/>
      <c r="P34" s="457"/>
      <c r="Q34" s="457"/>
      <c r="R34" s="457"/>
      <c r="S34" s="457"/>
      <c r="T34" s="457"/>
      <c r="U34" s="457"/>
      <c r="V34" s="457"/>
      <c r="W34" s="457"/>
      <c r="X34" s="457"/>
      <c r="Y34" s="457"/>
      <c r="Z34" s="457"/>
      <c r="AA34" s="457"/>
      <c r="AB34" s="457"/>
      <c r="AC34" s="457"/>
      <c r="AD34" s="457"/>
      <c r="AE34" s="457"/>
      <c r="AF34" s="457"/>
      <c r="AG34" s="457"/>
      <c r="AH34" s="457"/>
      <c r="AI34" s="457"/>
      <c r="AJ34" s="457"/>
      <c r="AK34" s="457"/>
      <c r="AL34" s="457"/>
      <c r="AM34" s="457"/>
    </row>
    <row r="35" spans="1:39" x14ac:dyDescent="0.35">
      <c r="A35" s="621"/>
      <c r="B35" s="621"/>
      <c r="C35" s="621"/>
      <c r="D35" s="621"/>
      <c r="E35" s="621"/>
      <c r="F35" s="621"/>
      <c r="G35" s="621"/>
      <c r="H35" s="621"/>
      <c r="I35" s="621"/>
      <c r="J35" s="621"/>
      <c r="K35" s="621"/>
      <c r="L35" s="621"/>
      <c r="M35" s="621"/>
      <c r="N35" s="621"/>
      <c r="O35" s="621"/>
      <c r="P35" s="457"/>
      <c r="Q35" s="457"/>
      <c r="R35" s="457"/>
      <c r="S35" s="457"/>
      <c r="T35" s="457"/>
      <c r="U35" s="457"/>
      <c r="V35" s="457"/>
      <c r="W35" s="457"/>
      <c r="X35" s="457"/>
      <c r="Y35" s="457"/>
      <c r="Z35" s="457"/>
      <c r="AA35" s="457"/>
      <c r="AB35" s="457"/>
      <c r="AC35" s="457"/>
      <c r="AD35" s="457"/>
      <c r="AE35" s="457"/>
      <c r="AF35" s="457"/>
      <c r="AG35" s="457"/>
      <c r="AH35" s="457"/>
      <c r="AI35" s="457"/>
      <c r="AJ35" s="457"/>
      <c r="AK35" s="457"/>
      <c r="AL35" s="457"/>
      <c r="AM35" s="457"/>
    </row>
    <row r="36" spans="1:39" x14ac:dyDescent="0.35">
      <c r="A36" s="621"/>
      <c r="B36" s="621"/>
      <c r="C36" s="621"/>
      <c r="D36" s="621"/>
      <c r="E36" s="621"/>
      <c r="F36" s="621"/>
      <c r="G36" s="621"/>
      <c r="H36" s="621"/>
      <c r="I36" s="621"/>
      <c r="J36" s="621"/>
      <c r="K36" s="621"/>
      <c r="L36" s="621"/>
      <c r="M36" s="621"/>
      <c r="N36" s="621"/>
      <c r="O36" s="621"/>
      <c r="P36" s="457"/>
      <c r="Q36" s="457"/>
      <c r="R36" s="457"/>
      <c r="S36" s="457"/>
      <c r="T36" s="457"/>
      <c r="U36" s="457"/>
      <c r="V36" s="457"/>
      <c r="W36" s="457"/>
      <c r="X36" s="457"/>
      <c r="Y36" s="457"/>
      <c r="Z36" s="457"/>
      <c r="AA36" s="457"/>
      <c r="AB36" s="457"/>
      <c r="AC36" s="457"/>
      <c r="AD36" s="457"/>
      <c r="AE36" s="457"/>
      <c r="AF36" s="457"/>
      <c r="AG36" s="457"/>
      <c r="AH36" s="457"/>
      <c r="AI36" s="457"/>
      <c r="AJ36" s="457"/>
      <c r="AK36" s="457"/>
      <c r="AL36" s="457"/>
      <c r="AM36" s="457"/>
    </row>
    <row r="37" spans="1:39" x14ac:dyDescent="0.35">
      <c r="A37" s="621"/>
      <c r="B37" s="621"/>
      <c r="C37" s="621"/>
      <c r="D37" s="621"/>
      <c r="E37" s="621"/>
      <c r="F37" s="621"/>
      <c r="G37" s="621"/>
      <c r="H37" s="621"/>
      <c r="I37" s="621"/>
      <c r="J37" s="621"/>
      <c r="K37" s="621"/>
      <c r="L37" s="621"/>
      <c r="M37" s="621"/>
      <c r="N37" s="621"/>
      <c r="O37" s="621"/>
      <c r="P37" s="457"/>
      <c r="Q37" s="457"/>
      <c r="R37" s="457"/>
      <c r="S37" s="457"/>
      <c r="T37" s="457"/>
      <c r="U37" s="457"/>
      <c r="V37" s="457"/>
      <c r="W37" s="457"/>
      <c r="X37" s="457"/>
      <c r="Y37" s="457"/>
      <c r="Z37" s="457"/>
      <c r="AA37" s="457"/>
      <c r="AB37" s="457"/>
      <c r="AC37" s="457"/>
      <c r="AD37" s="457"/>
      <c r="AE37" s="457"/>
      <c r="AF37" s="457"/>
      <c r="AG37" s="457"/>
      <c r="AH37" s="457"/>
      <c r="AI37" s="457"/>
      <c r="AJ37" s="457"/>
      <c r="AK37" s="457"/>
      <c r="AL37" s="457"/>
      <c r="AM37" s="457"/>
    </row>
    <row r="38" spans="1:39" x14ac:dyDescent="0.35">
      <c r="A38" s="621"/>
      <c r="B38" s="621"/>
      <c r="C38" s="621"/>
      <c r="D38" s="621"/>
      <c r="E38" s="621"/>
      <c r="F38" s="621"/>
      <c r="G38" s="621"/>
      <c r="H38" s="621"/>
      <c r="I38" s="621"/>
      <c r="J38" s="621"/>
      <c r="K38" s="621"/>
      <c r="L38" s="621"/>
      <c r="M38" s="621"/>
      <c r="N38" s="621"/>
      <c r="O38" s="621"/>
      <c r="P38" s="457"/>
      <c r="Q38" s="457"/>
      <c r="R38" s="457"/>
      <c r="S38" s="457"/>
      <c r="T38" s="457"/>
      <c r="U38" s="457"/>
      <c r="V38" s="457"/>
      <c r="W38" s="457"/>
      <c r="X38" s="457"/>
      <c r="Y38" s="457"/>
      <c r="Z38" s="457"/>
      <c r="AA38" s="457"/>
      <c r="AB38" s="457"/>
      <c r="AC38" s="457"/>
      <c r="AD38" s="457"/>
      <c r="AE38" s="457"/>
      <c r="AF38" s="457"/>
      <c r="AG38" s="457"/>
      <c r="AH38" s="457"/>
      <c r="AI38" s="457"/>
      <c r="AJ38" s="457"/>
      <c r="AK38" s="457"/>
      <c r="AL38" s="457"/>
      <c r="AM38" s="457"/>
    </row>
    <row r="39" spans="1:39" x14ac:dyDescent="0.35">
      <c r="A39" s="621"/>
      <c r="B39" s="621"/>
      <c r="C39" s="621"/>
      <c r="D39" s="621"/>
      <c r="E39" s="621"/>
      <c r="F39" s="621"/>
      <c r="G39" s="621"/>
      <c r="H39" s="621"/>
      <c r="I39" s="621"/>
      <c r="J39" s="621"/>
      <c r="K39" s="621"/>
      <c r="L39" s="621"/>
      <c r="M39" s="621"/>
      <c r="N39" s="621"/>
      <c r="O39" s="621"/>
      <c r="P39" s="457"/>
      <c r="Q39" s="457"/>
      <c r="R39" s="457"/>
      <c r="S39" s="457"/>
      <c r="T39" s="457"/>
      <c r="U39" s="457"/>
      <c r="V39" s="457"/>
      <c r="W39" s="457"/>
      <c r="X39" s="457"/>
      <c r="Y39" s="457"/>
      <c r="Z39" s="457"/>
      <c r="AA39" s="457"/>
      <c r="AB39" s="457"/>
      <c r="AC39" s="457"/>
      <c r="AD39" s="457"/>
      <c r="AE39" s="457"/>
      <c r="AF39" s="457"/>
      <c r="AG39" s="457"/>
      <c r="AH39" s="457"/>
      <c r="AI39" s="457"/>
      <c r="AJ39" s="457"/>
      <c r="AK39" s="457"/>
      <c r="AL39" s="457"/>
      <c r="AM39" s="457"/>
    </row>
    <row r="40" spans="1:39" x14ac:dyDescent="0.35">
      <c r="A40" s="621"/>
      <c r="B40" s="621"/>
      <c r="C40" s="621"/>
      <c r="D40" s="621"/>
      <c r="E40" s="621"/>
      <c r="F40" s="621"/>
      <c r="G40" s="621"/>
      <c r="H40" s="621"/>
      <c r="I40" s="621"/>
      <c r="J40" s="621"/>
      <c r="K40" s="621"/>
      <c r="L40" s="621"/>
      <c r="M40" s="621"/>
      <c r="N40" s="621"/>
      <c r="O40" s="621"/>
      <c r="P40" s="457"/>
      <c r="Q40" s="457"/>
      <c r="R40" s="457"/>
      <c r="S40" s="457"/>
      <c r="T40" s="457"/>
      <c r="U40" s="457"/>
      <c r="V40" s="457"/>
      <c r="W40" s="457"/>
      <c r="X40" s="457"/>
      <c r="Y40" s="457"/>
      <c r="Z40" s="457"/>
      <c r="AA40" s="457"/>
      <c r="AB40" s="457"/>
      <c r="AC40" s="457"/>
      <c r="AD40" s="457"/>
      <c r="AE40" s="457"/>
      <c r="AF40" s="457"/>
      <c r="AG40" s="457"/>
      <c r="AH40" s="457"/>
      <c r="AI40" s="457"/>
      <c r="AJ40" s="457"/>
      <c r="AK40" s="457"/>
      <c r="AL40" s="457"/>
      <c r="AM40" s="457"/>
    </row>
    <row r="41" spans="1:39" x14ac:dyDescent="0.35">
      <c r="A41" s="621"/>
      <c r="B41" s="621"/>
      <c r="C41" s="621"/>
      <c r="D41" s="621"/>
      <c r="E41" s="621"/>
      <c r="F41" s="621"/>
      <c r="G41" s="621"/>
      <c r="H41" s="621"/>
      <c r="I41" s="621"/>
      <c r="J41" s="621"/>
      <c r="K41" s="621"/>
      <c r="L41" s="621"/>
      <c r="M41" s="621"/>
      <c r="N41" s="621"/>
      <c r="O41" s="621"/>
    </row>
  </sheetData>
  <mergeCells count="34">
    <mergeCell ref="H3:I3"/>
    <mergeCell ref="A34:O41"/>
    <mergeCell ref="AB3:AB4"/>
    <mergeCell ref="L3:L4"/>
    <mergeCell ref="Q3:Q4"/>
    <mergeCell ref="AA3:AA4"/>
    <mergeCell ref="E3:E4"/>
    <mergeCell ref="F3:G3"/>
    <mergeCell ref="D3:D4"/>
    <mergeCell ref="AC3:AC4"/>
    <mergeCell ref="AB2:AM2"/>
    <mergeCell ref="AD3:AE3"/>
    <mergeCell ref="AJ3:AJ4"/>
    <mergeCell ref="AM3:AM4"/>
    <mergeCell ref="AL3:AL4"/>
    <mergeCell ref="AF3:AG3"/>
    <mergeCell ref="AH3:AI3"/>
    <mergeCell ref="AK3:AK4"/>
    <mergeCell ref="D2:O2"/>
    <mergeCell ref="T3:U3"/>
    <mergeCell ref="V3:W3"/>
    <mergeCell ref="Z3:Z4"/>
    <mergeCell ref="A1:O1"/>
    <mergeCell ref="P2:AA2"/>
    <mergeCell ref="X3:X4"/>
    <mergeCell ref="Y3:Y4"/>
    <mergeCell ref="J3:K3"/>
    <mergeCell ref="O3:O4"/>
    <mergeCell ref="N3:N4"/>
    <mergeCell ref="P3:P4"/>
    <mergeCell ref="R3:S3"/>
    <mergeCell ref="M3:M4"/>
    <mergeCell ref="A3:A4"/>
    <mergeCell ref="B3:C3"/>
  </mergeCells>
  <pageMargins left="0.25" right="0.25"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3707A-5967-4BBE-AFB3-C47404A57979}">
  <sheetPr codeName="Sheet7">
    <tabColor theme="2"/>
  </sheetPr>
  <dimension ref="A1:BT46"/>
  <sheetViews>
    <sheetView zoomScaleNormal="100" workbookViewId="0">
      <selection activeCell="A19" sqref="A19:XFD19"/>
    </sheetView>
  </sheetViews>
  <sheetFormatPr defaultColWidth="9.1796875" defaultRowHeight="14.5" x14ac:dyDescent="0.35"/>
  <cols>
    <col min="1" max="1" width="36" customWidth="1"/>
    <col min="2" max="2" width="9.54296875" bestFit="1" customWidth="1"/>
    <col min="3" max="3" width="7.26953125" customWidth="1"/>
    <col min="4" max="4" width="8.7265625" bestFit="1" customWidth="1"/>
    <col min="5" max="5" width="8.7265625" customWidth="1"/>
    <col min="6" max="6" width="9.54296875" bestFit="1" customWidth="1"/>
    <col min="7" max="7" width="7.26953125" bestFit="1" customWidth="1"/>
    <col min="8" max="8" width="8.7265625" bestFit="1" customWidth="1"/>
    <col min="9" max="9" width="7.26953125" bestFit="1" customWidth="1"/>
    <col min="10" max="10" width="9.54296875" bestFit="1" customWidth="1"/>
    <col min="11" max="11" width="7.26953125" bestFit="1" customWidth="1"/>
    <col min="12" max="12" width="11.81640625" bestFit="1" customWidth="1"/>
    <col min="13" max="13" width="12.1796875" bestFit="1" customWidth="1"/>
    <col min="14" max="14" width="9.54296875" bestFit="1" customWidth="1"/>
    <col min="15" max="15" width="12.1796875" bestFit="1" customWidth="1"/>
    <col min="16" max="17" width="8.7265625" hidden="1" customWidth="1"/>
    <col min="18" max="18" width="9.54296875" hidden="1" customWidth="1"/>
    <col min="19" max="19" width="7.26953125" hidden="1" customWidth="1"/>
    <col min="20" max="20" width="8.453125" hidden="1" customWidth="1"/>
    <col min="21" max="21" width="7.26953125" hidden="1" customWidth="1"/>
    <col min="22" max="22" width="9.54296875" hidden="1" customWidth="1"/>
    <col min="23" max="23" width="7.26953125" hidden="1" customWidth="1"/>
    <col min="24" max="24" width="11.81640625" style="3" hidden="1" customWidth="1"/>
    <col min="25" max="25" width="10.26953125" style="3" hidden="1" customWidth="1"/>
    <col min="26" max="26" width="7.54296875" style="3" hidden="1" customWidth="1"/>
    <col min="27" max="27" width="10.26953125" style="3" hidden="1" customWidth="1"/>
    <col min="28" max="29" width="8.7265625" style="3" hidden="1" customWidth="1"/>
    <col min="30" max="30" width="9.54296875" style="3" hidden="1" customWidth="1"/>
    <col min="31" max="31" width="7.26953125" style="3" hidden="1" customWidth="1"/>
    <col min="32" max="32" width="8.453125" style="3" hidden="1" customWidth="1"/>
    <col min="33" max="33" width="6.7265625" style="3" hidden="1" customWidth="1"/>
    <col min="34" max="34" width="9.54296875" style="3" hidden="1" customWidth="1"/>
    <col min="35" max="35" width="7.26953125" style="3" hidden="1" customWidth="1"/>
    <col min="36" max="36" width="11.81640625" style="3" hidden="1" customWidth="1"/>
    <col min="37" max="37" width="10.26953125" style="3" hidden="1" customWidth="1"/>
    <col min="38" max="38" width="7.54296875" style="3" hidden="1" customWidth="1"/>
    <col min="39" max="39" width="10.26953125" style="3" hidden="1" customWidth="1"/>
    <col min="40" max="72" width="9.1796875" style="3"/>
  </cols>
  <sheetData>
    <row r="1" spans="1:68" ht="28.5" x14ac:dyDescent="0.65">
      <c r="A1" s="676" t="s">
        <v>934</v>
      </c>
      <c r="B1" s="677"/>
      <c r="C1" s="677"/>
      <c r="D1" s="677"/>
      <c r="E1" s="677"/>
      <c r="F1" s="677"/>
      <c r="G1" s="677"/>
      <c r="H1" s="677"/>
      <c r="I1" s="677"/>
      <c r="J1" s="677"/>
      <c r="K1" s="677"/>
      <c r="L1" s="677"/>
      <c r="M1" s="677"/>
      <c r="N1" s="677"/>
      <c r="O1" s="677"/>
      <c r="P1" s="273"/>
      <c r="Q1" s="273"/>
      <c r="R1" s="273"/>
      <c r="S1" s="273"/>
      <c r="T1" s="273"/>
      <c r="U1" s="273"/>
      <c r="V1" s="273"/>
      <c r="W1" s="273"/>
      <c r="X1" s="273"/>
      <c r="Y1" s="273"/>
      <c r="Z1" s="273"/>
      <c r="AA1" s="273"/>
      <c r="AB1" s="273"/>
      <c r="AC1" s="273"/>
      <c r="AD1" s="273"/>
      <c r="AE1" s="273"/>
      <c r="AF1" s="273"/>
      <c r="AG1" s="273"/>
      <c r="AH1" s="273"/>
      <c r="AI1" s="273"/>
      <c r="AJ1" s="273"/>
      <c r="AK1" s="273"/>
      <c r="AL1" s="273"/>
      <c r="AM1" s="331"/>
    </row>
    <row r="2" spans="1:68" ht="28.5" x14ac:dyDescent="0.65">
      <c r="A2" s="274"/>
      <c r="B2" s="275"/>
      <c r="C2" s="275"/>
      <c r="D2" s="697" t="s">
        <v>1341</v>
      </c>
      <c r="E2" s="698"/>
      <c r="F2" s="698"/>
      <c r="G2" s="698"/>
      <c r="H2" s="698"/>
      <c r="I2" s="698"/>
      <c r="J2" s="698"/>
      <c r="K2" s="698"/>
      <c r="L2" s="698"/>
      <c r="M2" s="698"/>
      <c r="N2" s="698"/>
      <c r="O2" s="699"/>
      <c r="P2" s="689" t="s">
        <v>1350</v>
      </c>
      <c r="Q2" s="690"/>
      <c r="R2" s="690"/>
      <c r="S2" s="690"/>
      <c r="T2" s="690"/>
      <c r="U2" s="690"/>
      <c r="V2" s="690"/>
      <c r="W2" s="690"/>
      <c r="X2" s="690"/>
      <c r="Y2" s="690"/>
      <c r="Z2" s="690"/>
      <c r="AA2" s="691"/>
      <c r="AB2" s="700" t="s">
        <v>1351</v>
      </c>
      <c r="AC2" s="701"/>
      <c r="AD2" s="701"/>
      <c r="AE2" s="701"/>
      <c r="AF2" s="701"/>
      <c r="AG2" s="701"/>
      <c r="AH2" s="701"/>
      <c r="AI2" s="701"/>
      <c r="AJ2" s="701"/>
      <c r="AK2" s="701"/>
      <c r="AL2" s="701"/>
      <c r="AM2" s="702"/>
    </row>
    <row r="3" spans="1:68" s="91" customFormat="1" ht="15" customHeight="1" x14ac:dyDescent="0.35">
      <c r="A3" s="661" t="s">
        <v>345</v>
      </c>
      <c r="B3" s="662" t="s">
        <v>1739</v>
      </c>
      <c r="C3" s="662"/>
      <c r="D3" s="681" t="s">
        <v>1712</v>
      </c>
      <c r="E3" s="692" t="s">
        <v>1714</v>
      </c>
      <c r="F3" s="680" t="s">
        <v>1718</v>
      </c>
      <c r="G3" s="680"/>
      <c r="H3" s="678" t="s">
        <v>1427</v>
      </c>
      <c r="I3" s="679"/>
      <c r="J3" s="680" t="s">
        <v>1720</v>
      </c>
      <c r="K3" s="680"/>
      <c r="L3" s="681" t="s">
        <v>1446</v>
      </c>
      <c r="M3" s="681" t="s">
        <v>1719</v>
      </c>
      <c r="N3" s="692" t="s">
        <v>1427</v>
      </c>
      <c r="O3" s="681" t="s">
        <v>1713</v>
      </c>
      <c r="P3" s="685" t="s">
        <v>1712</v>
      </c>
      <c r="Q3" s="694" t="s">
        <v>1714</v>
      </c>
      <c r="R3" s="662" t="s">
        <v>1718</v>
      </c>
      <c r="S3" s="662"/>
      <c r="T3" s="703" t="s">
        <v>1427</v>
      </c>
      <c r="U3" s="704"/>
      <c r="V3" s="662" t="s">
        <v>1720</v>
      </c>
      <c r="W3" s="662"/>
      <c r="X3" s="662" t="s">
        <v>9</v>
      </c>
      <c r="Y3" s="685" t="s">
        <v>1719</v>
      </c>
      <c r="Z3" s="694" t="s">
        <v>1427</v>
      </c>
      <c r="AA3" s="685" t="s">
        <v>1713</v>
      </c>
      <c r="AB3" s="682" t="s">
        <v>1712</v>
      </c>
      <c r="AC3" s="683" t="s">
        <v>1714</v>
      </c>
      <c r="AD3" s="686" t="s">
        <v>1718</v>
      </c>
      <c r="AE3" s="686"/>
      <c r="AF3" s="687" t="s">
        <v>1427</v>
      </c>
      <c r="AG3" s="688"/>
      <c r="AH3" s="686" t="s">
        <v>1720</v>
      </c>
      <c r="AI3" s="686"/>
      <c r="AJ3" s="686" t="s">
        <v>9</v>
      </c>
      <c r="AK3" s="682" t="s">
        <v>1719</v>
      </c>
      <c r="AL3" s="683" t="s">
        <v>1427</v>
      </c>
      <c r="AM3" s="682" t="s">
        <v>1713</v>
      </c>
      <c r="AN3" s="481"/>
      <c r="AO3" s="481"/>
      <c r="AP3" s="481"/>
      <c r="AQ3" s="481"/>
      <c r="AR3" s="481"/>
      <c r="AS3" s="481"/>
      <c r="AT3" s="481"/>
      <c r="AU3" s="481"/>
      <c r="AV3" s="481"/>
      <c r="AW3" s="481"/>
      <c r="AX3" s="481"/>
      <c r="AY3" s="481"/>
      <c r="AZ3" s="481"/>
      <c r="BA3" s="481"/>
      <c r="BB3" s="481"/>
      <c r="BC3" s="481"/>
      <c r="BD3" s="481"/>
      <c r="BE3" s="481"/>
      <c r="BF3" s="481"/>
      <c r="BG3" s="481"/>
      <c r="BH3" s="481"/>
      <c r="BI3" s="481"/>
      <c r="BJ3" s="481"/>
      <c r="BK3" s="481"/>
      <c r="BL3" s="481"/>
      <c r="BM3" s="481"/>
      <c r="BN3" s="481"/>
      <c r="BO3" s="481"/>
      <c r="BP3" s="481"/>
    </row>
    <row r="4" spans="1:68" s="91" customFormat="1" x14ac:dyDescent="0.35">
      <c r="A4" s="661"/>
      <c r="B4" s="140" t="s">
        <v>888</v>
      </c>
      <c r="C4" s="140" t="s">
        <v>887</v>
      </c>
      <c r="D4" s="681"/>
      <c r="E4" s="693"/>
      <c r="F4" s="337" t="s">
        <v>888</v>
      </c>
      <c r="G4" s="337" t="s">
        <v>887</v>
      </c>
      <c r="H4" s="337" t="s">
        <v>888</v>
      </c>
      <c r="I4" s="337" t="s">
        <v>887</v>
      </c>
      <c r="J4" s="337" t="s">
        <v>888</v>
      </c>
      <c r="K4" s="337" t="s">
        <v>887</v>
      </c>
      <c r="L4" s="680"/>
      <c r="M4" s="681"/>
      <c r="N4" s="696"/>
      <c r="O4" s="681"/>
      <c r="P4" s="685"/>
      <c r="Q4" s="695"/>
      <c r="R4" s="140" t="s">
        <v>888</v>
      </c>
      <c r="S4" s="140" t="s">
        <v>887</v>
      </c>
      <c r="T4" s="140" t="s">
        <v>888</v>
      </c>
      <c r="U4" s="140" t="s">
        <v>887</v>
      </c>
      <c r="V4" s="140" t="s">
        <v>888</v>
      </c>
      <c r="W4" s="140" t="s">
        <v>887</v>
      </c>
      <c r="X4" s="662"/>
      <c r="Y4" s="685"/>
      <c r="Z4" s="705"/>
      <c r="AA4" s="685"/>
      <c r="AB4" s="682"/>
      <c r="AC4" s="684"/>
      <c r="AD4" s="339" t="s">
        <v>888</v>
      </c>
      <c r="AE4" s="339" t="s">
        <v>887</v>
      </c>
      <c r="AF4" s="339" t="s">
        <v>888</v>
      </c>
      <c r="AG4" s="339" t="s">
        <v>887</v>
      </c>
      <c r="AH4" s="339" t="s">
        <v>888</v>
      </c>
      <c r="AI4" s="339" t="s">
        <v>887</v>
      </c>
      <c r="AJ4" s="686"/>
      <c r="AK4" s="682"/>
      <c r="AL4" s="684"/>
      <c r="AM4" s="682"/>
      <c r="AN4" s="481"/>
      <c r="AO4" s="481"/>
      <c r="AP4" s="481"/>
      <c r="AQ4" s="481"/>
      <c r="AR4" s="481"/>
      <c r="AS4" s="481"/>
      <c r="AT4" s="481"/>
      <c r="AU4" s="481"/>
      <c r="AV4" s="481"/>
      <c r="AW4" s="481"/>
      <c r="AX4" s="481"/>
      <c r="AY4" s="481"/>
      <c r="AZ4" s="481"/>
      <c r="BA4" s="481"/>
      <c r="BB4" s="481"/>
      <c r="BC4" s="481"/>
      <c r="BD4" s="481"/>
      <c r="BE4" s="481"/>
      <c r="BF4" s="481"/>
      <c r="BG4" s="481"/>
      <c r="BH4" s="481"/>
      <c r="BI4" s="481"/>
      <c r="BJ4" s="481"/>
      <c r="BK4" s="481"/>
      <c r="BL4" s="481"/>
      <c r="BM4" s="481"/>
      <c r="BN4" s="481"/>
      <c r="BO4" s="481"/>
      <c r="BP4" s="481"/>
    </row>
    <row r="5" spans="1:68" x14ac:dyDescent="0.35">
      <c r="A5" s="141" t="s">
        <v>66</v>
      </c>
      <c r="B5" s="13"/>
      <c r="C5" s="13"/>
      <c r="D5" s="271"/>
      <c r="E5" s="439"/>
      <c r="F5" s="445"/>
      <c r="G5" s="13"/>
      <c r="H5" s="13"/>
      <c r="I5" s="13"/>
      <c r="J5" s="13"/>
      <c r="K5" s="13"/>
      <c r="L5" s="113"/>
      <c r="M5" s="142"/>
      <c r="N5" s="142"/>
      <c r="O5" s="142"/>
      <c r="P5" s="276"/>
      <c r="Q5" s="440"/>
      <c r="R5" s="445"/>
      <c r="S5" s="13"/>
      <c r="T5" s="13"/>
      <c r="U5" s="13"/>
      <c r="V5" s="13"/>
      <c r="W5" s="13"/>
      <c r="X5" s="113"/>
      <c r="Y5" s="142"/>
      <c r="Z5" s="142"/>
      <c r="AA5" s="142"/>
      <c r="AB5" s="278"/>
      <c r="AC5" s="446"/>
      <c r="AD5" s="13"/>
      <c r="AE5" s="13"/>
      <c r="AF5" s="13"/>
      <c r="AG5" s="13"/>
      <c r="AH5" s="13"/>
      <c r="AI5" s="13"/>
      <c r="AJ5" s="113"/>
      <c r="AK5" s="142"/>
      <c r="AL5" s="142"/>
      <c r="AM5" s="142"/>
    </row>
    <row r="6" spans="1:68" x14ac:dyDescent="0.35">
      <c r="A6" s="143" t="s">
        <v>290</v>
      </c>
      <c r="B6" s="144">
        <v>29.5</v>
      </c>
      <c r="C6" s="144"/>
      <c r="D6" s="272" cm="1">
        <f t="array" ref="D6">SUMPRODUCT(--(D_Category="Ex_Cat_1"),--(D_EffDate="Eff_Date_1"),--(D_Product="EE"),--(D_SC_Name=$A6),--(D_Zone="All"),(D_Percent))</f>
        <v>0</v>
      </c>
      <c r="E6" s="272" cm="1">
        <f t="array" ref="E6">SUMPRODUCT(--(D_Category="Ex_Cat_1"),--(D_EffDate="Eff_Date_2"),--(D_Product="EE"),--(D_SC_Name=$A6),--(D_Zone="All"),(D_Percent))</f>
        <v>0</v>
      </c>
      <c r="F6" s="69">
        <f>ROUND(($B6*(1-D6)),2)</f>
        <v>29.5</v>
      </c>
      <c r="G6" s="69"/>
      <c r="H6" s="144">
        <f>J6-F6</f>
        <v>0</v>
      </c>
      <c r="I6" s="144"/>
      <c r="J6" s="69">
        <f>ROUND(($B6*(1-E6)),2)</f>
        <v>29.5</v>
      </c>
      <c r="K6" s="69"/>
      <c r="L6" s="74" cm="1">
        <f t="array" ref="L6">SUMPRODUCT(--(Category="Ex_Cat_1"),--(OpCo="Express"),--(Intl="International"),--(SC_Name=$A6),(SC_Count))</f>
        <v>0</v>
      </c>
      <c r="M6" s="69">
        <f>L6*F6</f>
        <v>0</v>
      </c>
      <c r="N6" s="69">
        <f>O6-M6</f>
        <v>0</v>
      </c>
      <c r="O6" s="69">
        <f>L6*J6</f>
        <v>0</v>
      </c>
      <c r="P6" s="277" cm="1">
        <f t="array" ref="P6">SUMPRODUCT(--(D_Category="Ex_Cat_2"),--(D_EffDate="Eff_Date_1"),--(D_Product="EE"),--(D_SC_Name=$A6),--(D_Zone="All"),(D_Percent))</f>
        <v>0</v>
      </c>
      <c r="Q6" s="277" cm="1">
        <f t="array" ref="Q6">SUMPRODUCT(--(D_Category="Ex_Cat_2"),--(D_EffDate="Eff_Date_2"),--(D_Product="EE"),--(D_SC_Name=$A6),--(D_Zone="All"),(D_Percent))</f>
        <v>0</v>
      </c>
      <c r="R6" s="69">
        <f>ROUND(($B6*(1-P6)),2)</f>
        <v>29.5</v>
      </c>
      <c r="S6" s="69"/>
      <c r="T6" s="144">
        <f>V6-R6</f>
        <v>0</v>
      </c>
      <c r="U6" s="144"/>
      <c r="V6" s="69">
        <f>ROUND(($B6*(1-Q6)),2)</f>
        <v>29.5</v>
      </c>
      <c r="W6" s="69"/>
      <c r="X6" s="74" cm="1">
        <f t="array" ref="X6">SUMPRODUCT(--(Category="Ex_Cat_2"),--(OpCo="Express"),--(Intl="International"),--(SC_Name=$A6),(SC_Count))</f>
        <v>0</v>
      </c>
      <c r="Y6" s="69">
        <f>X6*R6</f>
        <v>0</v>
      </c>
      <c r="Z6" s="69">
        <f>AA6-Y6</f>
        <v>0</v>
      </c>
      <c r="AA6" s="69">
        <f>X6*V6</f>
        <v>0</v>
      </c>
      <c r="AB6" s="279" cm="1">
        <f t="array" ref="AB6">SUMPRODUCT(--(D_Category="Ex_Cat_3"),--(D_EffDate="Eff_Date_1"),--(D_Product="EE"),--(D_SC_Name=$A6),--(D_Zone="All"),(D_Percent))</f>
        <v>0</v>
      </c>
      <c r="AC6" s="279" cm="1">
        <f t="array" ref="AC6">SUMPRODUCT(--(D_Category="Ex_Cat_3"),--(D_EffDate="Eff_Date_2"),--(D_Product="EE"),--(D_SC_Name=$A6),--(D_Zone="All"),(D_Percent))</f>
        <v>0</v>
      </c>
      <c r="AD6" s="69">
        <f>ROUND(($B6*(1-AB6)),2)</f>
        <v>29.5</v>
      </c>
      <c r="AE6" s="69"/>
      <c r="AF6" s="144">
        <f>AH6-AD6</f>
        <v>0</v>
      </c>
      <c r="AG6" s="144"/>
      <c r="AH6" s="69">
        <f>ROUND(($B6*(1-AC6)),2)</f>
        <v>29.5</v>
      </c>
      <c r="AI6" s="69"/>
      <c r="AJ6" s="74" cm="1">
        <f t="array" ref="AJ6">SUMPRODUCT(--(Category="Ex_Cat_3"),--(OpCo="Express"),--(Intl="International"),--(SC_Name=$A6),(SC_Count))</f>
        <v>0</v>
      </c>
      <c r="AK6" s="69">
        <f>AJ6*AD6</f>
        <v>0</v>
      </c>
      <c r="AL6" s="69">
        <f>AM6-AK6</f>
        <v>0</v>
      </c>
      <c r="AM6" s="69">
        <f>AJ6*AH6</f>
        <v>0</v>
      </c>
    </row>
    <row r="7" spans="1:68" x14ac:dyDescent="0.35">
      <c r="A7" s="143" t="s">
        <v>68</v>
      </c>
      <c r="B7" s="144">
        <v>29.5</v>
      </c>
      <c r="C7" s="144"/>
      <c r="D7" s="272" cm="1">
        <f t="array" ref="D7">SUMPRODUCT(--(D_Category="Ex_Cat_1"),--(D_EffDate="Eff_Date_1"),--(D_Product="EE"),--(D_SC_Name=$A7),--(D_Zone="All"),(D_Percent))</f>
        <v>0</v>
      </c>
      <c r="E7" s="272" cm="1">
        <f t="array" ref="E7">SUMPRODUCT(--(D_Category="Ex_Cat_1"),--(D_EffDate="Eff_Date_2"),--(D_Product="EE"),--(D_SC_Name=$A7),--(D_Zone="All"),(D_Percent))</f>
        <v>0</v>
      </c>
      <c r="F7" s="69">
        <f>ROUND(($B7*(1-D7)),2)</f>
        <v>29.5</v>
      </c>
      <c r="G7" s="69"/>
      <c r="H7" s="144">
        <f t="shared" ref="H7:H39" si="0">J7-F7</f>
        <v>0</v>
      </c>
      <c r="I7" s="144"/>
      <c r="J7" s="69">
        <f>ROUND(($B7*(1-E7)),2)</f>
        <v>29.5</v>
      </c>
      <c r="K7" s="69"/>
      <c r="L7" s="74" cm="1">
        <f t="array" ref="L7">SUMPRODUCT(--(Category="Ex_Cat_1"),--(OpCo="Express"),--(Intl="International"),--(SC_Name=$A7),(SC_Count))</f>
        <v>0</v>
      </c>
      <c r="M7" s="69">
        <f>L7*F7</f>
        <v>0</v>
      </c>
      <c r="N7" s="69">
        <f t="shared" ref="N7:N39" si="1">O7-M7</f>
        <v>0</v>
      </c>
      <c r="O7" s="69">
        <f t="shared" ref="O7:O39" si="2">L7*J7</f>
        <v>0</v>
      </c>
      <c r="P7" s="277" cm="1">
        <f t="array" ref="P7">SUMPRODUCT(--(D_Category="Ex_Cat_2"),--(D_EffDate="Eff_Date_1"),--(D_Product="EE"),--(D_SC_Name=$A7),--(D_Zone="All"),(D_Percent))</f>
        <v>0</v>
      </c>
      <c r="Q7" s="277" cm="1">
        <f t="array" ref="Q7">SUMPRODUCT(--(D_Category="Ex_Cat_2"),--(D_EffDate="Eff_Date_2"),--(D_Product="EE"),--(D_SC_Name=$A7),--(D_Zone="All"),(D_Percent))</f>
        <v>0</v>
      </c>
      <c r="R7" s="69">
        <f>ROUND(($B7*(1-P7)),2)</f>
        <v>29.5</v>
      </c>
      <c r="S7" s="69"/>
      <c r="T7" s="144">
        <f t="shared" ref="T7:T9" si="3">V7-R7</f>
        <v>0</v>
      </c>
      <c r="U7" s="144"/>
      <c r="V7" s="69">
        <f>ROUND(($B7*(1-Q7)),2)</f>
        <v>29.5</v>
      </c>
      <c r="W7" s="69"/>
      <c r="X7" s="74" cm="1">
        <f t="array" ref="X7">SUMPRODUCT(--(Category="Ex_Cat_2"),--(OpCo="Express"),--(Intl="International"),--(SC_Name=$A7),(SC_Count))</f>
        <v>0</v>
      </c>
      <c r="Y7" s="69">
        <f>X7*R7</f>
        <v>0</v>
      </c>
      <c r="Z7" s="69">
        <f t="shared" ref="Z7:Z39" si="4">AA7-Y7</f>
        <v>0</v>
      </c>
      <c r="AA7" s="69">
        <f t="shared" ref="AA7:AA9" si="5">X7*V7</f>
        <v>0</v>
      </c>
      <c r="AB7" s="279" cm="1">
        <f t="array" ref="AB7">SUMPRODUCT(--(D_Category="Ex_Cat_3"),--(D_EffDate="Eff_Date_1"),--(D_Product="EE"),--(D_SC_Name=$A7),--(D_Zone="All"),(D_Percent))</f>
        <v>0</v>
      </c>
      <c r="AC7" s="279" cm="1">
        <f t="array" ref="AC7">SUMPRODUCT(--(D_Category="Ex_Cat_3"),--(D_EffDate="Eff_Date_2"),--(D_Product="EE"),--(D_SC_Name=$A7),--(D_Zone="All"),(D_Percent))</f>
        <v>0</v>
      </c>
      <c r="AD7" s="69">
        <f>ROUND(($B7*(1-AB7)),2)</f>
        <v>29.5</v>
      </c>
      <c r="AE7" s="69"/>
      <c r="AF7" s="144">
        <f t="shared" ref="AF7:AF9" si="6">AH7-AD7</f>
        <v>0</v>
      </c>
      <c r="AG7" s="144"/>
      <c r="AH7" s="69">
        <f>ROUND(($B7*(1-AC7)),2)</f>
        <v>29.5</v>
      </c>
      <c r="AI7" s="69"/>
      <c r="AJ7" s="74" cm="1">
        <f t="array" ref="AJ7">SUMPRODUCT(--(Category="Ex_Cat_3"),--(OpCo="Express"),--(Intl="International"),--(SC_Name=$A7),(SC_Count))</f>
        <v>0</v>
      </c>
      <c r="AK7" s="69">
        <f>AJ7*AD7</f>
        <v>0</v>
      </c>
      <c r="AL7" s="69">
        <f t="shared" ref="AL7:AL39" si="7">AM7-AK7</f>
        <v>0</v>
      </c>
      <c r="AM7" s="69">
        <f t="shared" ref="AM7:AM9" si="8">AJ7*AH7</f>
        <v>0</v>
      </c>
    </row>
    <row r="8" spans="1:68" x14ac:dyDescent="0.35">
      <c r="A8" s="143" t="s">
        <v>67</v>
      </c>
      <c r="B8" s="144">
        <v>40</v>
      </c>
      <c r="C8" s="144"/>
      <c r="D8" s="272" cm="1">
        <f t="array" ref="D8">SUMPRODUCT(--(D_Category="Ex_Cat_1"),--(D_EffDate="Eff_Date_1"),--(D_Product="EE"),--(D_SC_Name=$A8),--(D_Zone="All"),(D_Percent))</f>
        <v>0</v>
      </c>
      <c r="E8" s="272" cm="1">
        <f t="array" ref="E8">SUMPRODUCT(--(D_Category="Ex_Cat_1"),--(D_EffDate="Eff_Date_2"),--(D_Product="EE"),--(D_SC_Name=$A8),--(D_Zone="All"),(D_Percent))</f>
        <v>0</v>
      </c>
      <c r="F8" s="69">
        <f>ROUND(($B8*(1-D8)),2)</f>
        <v>40</v>
      </c>
      <c r="G8" s="69"/>
      <c r="H8" s="144">
        <f t="shared" si="0"/>
        <v>0</v>
      </c>
      <c r="I8" s="144"/>
      <c r="J8" s="69">
        <f>ROUND(($B8*(1-E8)),2)</f>
        <v>40</v>
      </c>
      <c r="K8" s="69"/>
      <c r="L8" s="74" cm="1">
        <f t="array" ref="L8">SUMPRODUCT(--(Category="Ex_Cat_1"),--(OpCo="Express"),--(Intl="International"),--(SC_Name=$A8),(SC_Count))</f>
        <v>0</v>
      </c>
      <c r="M8" s="69">
        <f>L8*F8</f>
        <v>0</v>
      </c>
      <c r="N8" s="69">
        <f t="shared" si="1"/>
        <v>0</v>
      </c>
      <c r="O8" s="69">
        <f t="shared" si="2"/>
        <v>0</v>
      </c>
      <c r="P8" s="277" cm="1">
        <f t="array" ref="P8">SUMPRODUCT(--(D_Category="Ex_Cat_2"),--(D_EffDate="Eff_Date_1"),--(D_Product="EE"),--(D_SC_Name=$A8),--(D_Zone="All"),(D_Percent))</f>
        <v>0</v>
      </c>
      <c r="Q8" s="277" cm="1">
        <f t="array" ref="Q8">SUMPRODUCT(--(D_Category="Ex_Cat_2"),--(D_EffDate="Eff_Date_2"),--(D_Product="EE"),--(D_SC_Name=$A8),--(D_Zone="All"),(D_Percent))</f>
        <v>0</v>
      </c>
      <c r="R8" s="69">
        <f>ROUND(($B8*(1-P8)),2)</f>
        <v>40</v>
      </c>
      <c r="S8" s="69"/>
      <c r="T8" s="144">
        <f t="shared" si="3"/>
        <v>0</v>
      </c>
      <c r="U8" s="144"/>
      <c r="V8" s="69">
        <f>ROUND(($B8*(1-Q8)),2)</f>
        <v>40</v>
      </c>
      <c r="W8" s="69"/>
      <c r="X8" s="74" cm="1">
        <f t="array" ref="X8">SUMPRODUCT(--(Category="Ex_Cat_2"),--(OpCo="Express"),--(Intl="International"),--(SC_Name=$A8),(SC_Count))</f>
        <v>0</v>
      </c>
      <c r="Y8" s="69">
        <f>X8*R8</f>
        <v>0</v>
      </c>
      <c r="Z8" s="69">
        <f t="shared" si="4"/>
        <v>0</v>
      </c>
      <c r="AA8" s="69">
        <f t="shared" si="5"/>
        <v>0</v>
      </c>
      <c r="AB8" s="279" cm="1">
        <f t="array" ref="AB8">SUMPRODUCT(--(D_Category="Ex_Cat_3"),--(D_EffDate="Eff_Date_1"),--(D_Product="EE"),--(D_SC_Name=$A8),--(D_Zone="All"),(D_Percent))</f>
        <v>0</v>
      </c>
      <c r="AC8" s="279" cm="1">
        <f t="array" ref="AC8">SUMPRODUCT(--(D_Category="Ex_Cat_3"),--(D_EffDate="Eff_Date_2"),--(D_Product="EE"),--(D_SC_Name=$A8),--(D_Zone="All"),(D_Percent))</f>
        <v>0</v>
      </c>
      <c r="AD8" s="69">
        <f>ROUND(($B8*(1-AB8)),2)</f>
        <v>40</v>
      </c>
      <c r="AE8" s="69"/>
      <c r="AF8" s="144">
        <f t="shared" si="6"/>
        <v>0</v>
      </c>
      <c r="AG8" s="144"/>
      <c r="AH8" s="69">
        <f>ROUND(($B8*(1-AC8)),2)</f>
        <v>40</v>
      </c>
      <c r="AI8" s="69"/>
      <c r="AJ8" s="74" cm="1">
        <f t="array" ref="AJ8">SUMPRODUCT(--(Category="Ex_Cat_3"),--(OpCo="Express"),--(Intl="International"),--(SC_Name=$A8),(SC_Count))</f>
        <v>0</v>
      </c>
      <c r="AK8" s="69">
        <f>AJ8*AD8</f>
        <v>0</v>
      </c>
      <c r="AL8" s="69">
        <f t="shared" si="7"/>
        <v>0</v>
      </c>
      <c r="AM8" s="69">
        <f t="shared" si="8"/>
        <v>0</v>
      </c>
    </row>
    <row r="9" spans="1:68" x14ac:dyDescent="0.35">
      <c r="A9" s="145" t="s">
        <v>31</v>
      </c>
      <c r="B9" s="146">
        <v>25.5</v>
      </c>
      <c r="C9" s="146"/>
      <c r="D9" s="272" cm="1">
        <f t="array" ref="D9">SUMPRODUCT(--(D_Category="Ex_Cat_1"),--(D_EffDate="Eff_Date_1"),--(D_Product="EE"),--(D_SC_Name=$A9),--(D_Zone="All"),(D_Percent))</f>
        <v>0</v>
      </c>
      <c r="E9" s="272" cm="1">
        <f t="array" ref="E9">SUMPRODUCT(--(D_Category="Ex_Cat_1"),--(D_EffDate="Eff_Date_2"),--(D_Product="EE"),--(D_SC_Name=$A9),--(D_Zone="All"),(D_Percent))</f>
        <v>0</v>
      </c>
      <c r="F9" s="67">
        <f>ROUND(($B9*(1-D9)),2)</f>
        <v>25.5</v>
      </c>
      <c r="G9" s="67"/>
      <c r="H9" s="146">
        <f t="shared" si="0"/>
        <v>0</v>
      </c>
      <c r="I9" s="146"/>
      <c r="J9" s="67">
        <f>ROUND(($B9*(1-E9)),2)</f>
        <v>25.5</v>
      </c>
      <c r="K9" s="67"/>
      <c r="L9" s="79" cm="1">
        <f t="array" ref="L9">SUMPRODUCT(--(Category="Ex_Cat_1"),--(OpCo="Express"),--(Intl="International"),--(SC_Name=$A9),(SC_Count))</f>
        <v>0</v>
      </c>
      <c r="M9" s="67">
        <f>L9*F9</f>
        <v>0</v>
      </c>
      <c r="N9" s="67">
        <f t="shared" si="1"/>
        <v>0</v>
      </c>
      <c r="O9" s="67">
        <f t="shared" si="2"/>
        <v>0</v>
      </c>
      <c r="P9" s="277" cm="1">
        <f t="array" ref="P9">SUMPRODUCT(--(D_Category="Ex_Cat_2"),--(D_EffDate="Eff_Date_1"),--(D_Product="EE"),--(D_SC_Name=$A9),--(D_Zone="All"),(D_Percent))</f>
        <v>0</v>
      </c>
      <c r="Q9" s="277" cm="1">
        <f t="array" ref="Q9">SUMPRODUCT(--(D_Category="Ex_Cat_2"),--(D_EffDate="Eff_Date_2"),--(D_Product="EE"),--(D_SC_Name=$A9),--(D_Zone="All"),(D_Percent))</f>
        <v>0</v>
      </c>
      <c r="R9" s="67">
        <f>ROUND(($B9*(1-P9)),2)</f>
        <v>25.5</v>
      </c>
      <c r="S9" s="67"/>
      <c r="T9" s="146">
        <f t="shared" si="3"/>
        <v>0</v>
      </c>
      <c r="U9" s="146"/>
      <c r="V9" s="67">
        <f>ROUND(($B9*(1-Q9)),2)</f>
        <v>25.5</v>
      </c>
      <c r="W9" s="67"/>
      <c r="X9" s="79" cm="1">
        <f t="array" ref="X9">SUMPRODUCT(--(Category="Ex_Cat_2"),--(OpCo="Express"),--(Intl="International"),--(SC_Name=$A9),(SC_Count))</f>
        <v>0</v>
      </c>
      <c r="Y9" s="67">
        <f>X9*R9</f>
        <v>0</v>
      </c>
      <c r="Z9" s="67">
        <f t="shared" si="4"/>
        <v>0</v>
      </c>
      <c r="AA9" s="67">
        <f t="shared" si="5"/>
        <v>0</v>
      </c>
      <c r="AB9" s="279" cm="1">
        <f t="array" ref="AB9">SUMPRODUCT(--(D_Category="Ex_Cat_3"),--(D_EffDate="Eff_Date_1"),--(D_Product="EE"),--(D_SC_Name=$A9),--(D_Zone="All"),(D_Percent))</f>
        <v>0</v>
      </c>
      <c r="AC9" s="279" cm="1">
        <f t="array" ref="AC9">SUMPRODUCT(--(D_Category="Ex_Cat_3"),--(D_EffDate="Eff_Date_2"),--(D_Product="EE"),--(D_SC_Name=$A9),--(D_Zone="All"),(D_Percent))</f>
        <v>0</v>
      </c>
      <c r="AD9" s="67">
        <f>ROUND(($B9*(1-AB9)),2)</f>
        <v>25.5</v>
      </c>
      <c r="AE9" s="67"/>
      <c r="AF9" s="146">
        <f t="shared" si="6"/>
        <v>0</v>
      </c>
      <c r="AG9" s="146"/>
      <c r="AH9" s="67">
        <f>ROUND(($B9*(1-AC9)),2)</f>
        <v>25.5</v>
      </c>
      <c r="AI9" s="67"/>
      <c r="AJ9" s="79" cm="1">
        <f t="array" ref="AJ9">SUMPRODUCT(--(Category="Ex_Cat_3"),--(OpCo="Express"),--(Intl="International"),--(SC_Name=$A9),(SC_Count))</f>
        <v>0</v>
      </c>
      <c r="AK9" s="67">
        <f>AJ9*AD9</f>
        <v>0</v>
      </c>
      <c r="AL9" s="67">
        <f t="shared" si="7"/>
        <v>0</v>
      </c>
      <c r="AM9" s="67">
        <f t="shared" si="8"/>
        <v>0</v>
      </c>
    </row>
    <row r="10" spans="1:68" x14ac:dyDescent="0.35">
      <c r="A10" s="141" t="s">
        <v>51</v>
      </c>
      <c r="B10" s="144"/>
      <c r="C10" s="144"/>
      <c r="D10" s="272"/>
      <c r="E10" s="272"/>
      <c r="F10" s="144"/>
      <c r="G10" s="144"/>
      <c r="H10" s="144"/>
      <c r="I10" s="144"/>
      <c r="J10" s="144"/>
      <c r="K10" s="144"/>
      <c r="L10" s="74"/>
      <c r="M10" s="69"/>
      <c r="N10" s="69"/>
      <c r="O10" s="69"/>
      <c r="P10" s="277"/>
      <c r="Q10" s="277"/>
      <c r="R10" s="144"/>
      <c r="S10" s="144"/>
      <c r="T10" s="144"/>
      <c r="U10" s="144"/>
      <c r="V10" s="144"/>
      <c r="W10" s="144"/>
      <c r="X10" s="74"/>
      <c r="Y10" s="69"/>
      <c r="Z10" s="69"/>
      <c r="AA10" s="69"/>
      <c r="AB10" s="279"/>
      <c r="AC10" s="279"/>
      <c r="AD10" s="144"/>
      <c r="AE10" s="144"/>
      <c r="AF10" s="144"/>
      <c r="AG10" s="144"/>
      <c r="AH10" s="144"/>
      <c r="AI10" s="144"/>
      <c r="AJ10" s="74"/>
      <c r="AK10" s="69"/>
      <c r="AL10" s="69"/>
      <c r="AM10" s="69"/>
    </row>
    <row r="11" spans="1:68" x14ac:dyDescent="0.35">
      <c r="A11" s="143" t="s">
        <v>876</v>
      </c>
      <c r="B11" s="144">
        <v>240</v>
      </c>
      <c r="C11" s="144">
        <v>1.48</v>
      </c>
      <c r="D11" s="272" cm="1">
        <f t="array" ref="D11">SUMPRODUCT(--(D_Category="Ex_Cat_1"),--(D_EffDate="Eff_Date_1"),--(D_Product="EE"),--(D_SC_Name=$A11),--(D_Zone="All"),(D_Percent))</f>
        <v>0</v>
      </c>
      <c r="E11" s="272" cm="1">
        <f t="array" ref="E11">SUMPRODUCT(--(D_Category="Ex_Cat_1"),--(D_EffDate="Eff_Date_2"),--(D_Product="EE"),--(D_SC_Name=$A11),--(D_Zone="All"),(D_Percent))</f>
        <v>0</v>
      </c>
      <c r="F11" s="69">
        <f>ROUND(($B11*(1-D11)),2)</f>
        <v>240</v>
      </c>
      <c r="G11" s="69">
        <f>ROUND(($C11*(1-D11)),2)</f>
        <v>1.48</v>
      </c>
      <c r="H11" s="144">
        <f>J11-F11</f>
        <v>0</v>
      </c>
      <c r="I11" s="144">
        <f t="shared" ref="I11:I12" si="9">K11-G11</f>
        <v>0</v>
      </c>
      <c r="J11" s="69">
        <f>ROUND(($B11*(1-E11)),2)</f>
        <v>240</v>
      </c>
      <c r="K11" s="69">
        <f>ROUND(($C11*(1-E11)),2)</f>
        <v>1.48</v>
      </c>
      <c r="L11" s="74" cm="1">
        <f t="array" ref="L11">SUMPRODUCT(--(Category="Ex_Cat_1"),--(OpCo="Express"),--(Intl="International"),--(SC_Name=$A11),(SC_Count))</f>
        <v>0</v>
      </c>
      <c r="M11" s="69">
        <f>L11*F11</f>
        <v>0</v>
      </c>
      <c r="N11" s="69">
        <f t="shared" si="1"/>
        <v>0</v>
      </c>
      <c r="O11" s="69">
        <f t="shared" si="2"/>
        <v>0</v>
      </c>
      <c r="P11" s="277" cm="1">
        <f t="array" ref="P11">SUMPRODUCT(--(D_Category="Ex_Cat_2"),--(D_EffDate="Eff_Date_1"),--(D_Product="EE"),--(D_SC_Name=$A11),--(D_Zone="All"),(D_Percent))</f>
        <v>0</v>
      </c>
      <c r="Q11" s="277" cm="1">
        <f t="array" ref="Q11">SUMPRODUCT(--(D_Category="Ex_Cat_2"),--(D_EffDate="Eff_Date_2"),--(D_Product="EE"),--(D_SC_Name=$A11),--(D_Zone="All"),(D_Percent))</f>
        <v>0</v>
      </c>
      <c r="R11" s="69">
        <f>ROUND(($B11*(1-P11)),2)</f>
        <v>240</v>
      </c>
      <c r="S11" s="69">
        <f>ROUND(($C11*(1-P11)),2)</f>
        <v>1.48</v>
      </c>
      <c r="T11" s="144">
        <f>V11-R11</f>
        <v>0</v>
      </c>
      <c r="U11" s="144">
        <f t="shared" ref="U11:U12" si="10">W11-S11</f>
        <v>0</v>
      </c>
      <c r="V11" s="69">
        <f>ROUND(($B11*(1-Q11)),2)</f>
        <v>240</v>
      </c>
      <c r="W11" s="69">
        <f>ROUND(($C11*(1-Q11)),2)</f>
        <v>1.48</v>
      </c>
      <c r="X11" s="74" cm="1">
        <f t="array" ref="X11">SUMPRODUCT(--(Category="Ex_Cat_2"),--(OpCo="Express"),--(Intl="International"),--(SC_Name=$A11),(SC_Count))</f>
        <v>0</v>
      </c>
      <c r="Y11" s="69">
        <f>X11*R11</f>
        <v>0</v>
      </c>
      <c r="Z11" s="69">
        <f t="shared" si="4"/>
        <v>0</v>
      </c>
      <c r="AA11" s="69">
        <f t="shared" ref="AA11" si="11">X11*V11</f>
        <v>0</v>
      </c>
      <c r="AB11" s="279" cm="1">
        <f t="array" ref="AB11">SUMPRODUCT(--(D_Category="Ex_Cat_3"),--(D_EffDate="Eff_Date_1"),--(D_Product="EE"),--(D_SC_Name=$A11),--(D_Zone="All"),(D_Percent))</f>
        <v>0</v>
      </c>
      <c r="AC11" s="279" cm="1">
        <f t="array" ref="AC11">SUMPRODUCT(--(D_Category="Ex_Cat_3"),--(D_EffDate="Eff_Date_2"),--(D_Product="EE"),--(D_SC_Name=$A11),--(D_Zone="All"),(D_Percent))</f>
        <v>0</v>
      </c>
      <c r="AD11" s="69">
        <f>ROUND(($B11*(1-AB11)),2)</f>
        <v>240</v>
      </c>
      <c r="AE11" s="69">
        <f>ROUND(($C11*(1-AB11)),2)</f>
        <v>1.48</v>
      </c>
      <c r="AF11" s="144">
        <f>AH11-AD11</f>
        <v>0</v>
      </c>
      <c r="AG11" s="144">
        <f t="shared" ref="AG11:AG12" si="12">AI11-AE11</f>
        <v>0</v>
      </c>
      <c r="AH11" s="69">
        <f>ROUND(($B11*(1-AC11)),2)</f>
        <v>240</v>
      </c>
      <c r="AI11" s="69">
        <f>ROUND(($C11*(1-AC11)),2)</f>
        <v>1.48</v>
      </c>
      <c r="AJ11" s="74" cm="1">
        <f t="array" ref="AJ11">SUMPRODUCT(--(Category="Ex_Cat_3"),--(OpCo="Express"),--(Intl="International"),--(SC_Name=$A11),(SC_Count))</f>
        <v>0</v>
      </c>
      <c r="AK11" s="69">
        <f>AJ11*AD11</f>
        <v>0</v>
      </c>
      <c r="AL11" s="69">
        <f t="shared" si="7"/>
        <v>0</v>
      </c>
      <c r="AM11" s="69">
        <f t="shared" ref="AM11" si="13">AJ11*AH11</f>
        <v>0</v>
      </c>
    </row>
    <row r="12" spans="1:68" x14ac:dyDescent="0.35">
      <c r="A12" s="143" t="s">
        <v>877</v>
      </c>
      <c r="B12" s="144">
        <v>115</v>
      </c>
      <c r="C12" s="144">
        <v>0.71</v>
      </c>
      <c r="D12" s="272" cm="1">
        <f t="array" ref="D12">SUMPRODUCT(--(D_Category="Ex_Cat_1"),--(D_EffDate="Eff_Date_1"),--(D_Product="EE"),--(D_SC_Name=$A12),--(D_Zone="All"),(D_Percent))</f>
        <v>0</v>
      </c>
      <c r="E12" s="272" cm="1">
        <f t="array" ref="E12">SUMPRODUCT(--(D_Category="Ex_Cat_1"),--(D_EffDate="Eff_Date_2"),--(D_Product="EE"),--(D_SC_Name=$A12),--(D_Zone="All"),(D_Percent))</f>
        <v>0</v>
      </c>
      <c r="F12" s="69">
        <f>ROUND(($B12*(1-D12)),2)</f>
        <v>115</v>
      </c>
      <c r="G12" s="69">
        <f>ROUND(($C12*(1-D12)),2)</f>
        <v>0.71</v>
      </c>
      <c r="H12" s="144">
        <f t="shared" si="0"/>
        <v>0</v>
      </c>
      <c r="I12" s="144">
        <f t="shared" si="9"/>
        <v>0</v>
      </c>
      <c r="J12" s="69">
        <f>ROUND(($B12*(1-E12)),2)</f>
        <v>115</v>
      </c>
      <c r="K12" s="69">
        <f>ROUND(($C12*(1-E12)),2)</f>
        <v>0.71</v>
      </c>
      <c r="L12" s="74" cm="1">
        <f t="array" ref="L12">SUMPRODUCT(--(Category="Ex_Cat_1"),--(OpCo="Express"),--(Intl="International"),--(SC_Name=$A12),(SC_Count))</f>
        <v>0</v>
      </c>
      <c r="M12" s="69">
        <f>L12*F12</f>
        <v>0</v>
      </c>
      <c r="N12" s="69">
        <f t="shared" si="1"/>
        <v>0</v>
      </c>
      <c r="O12" s="69">
        <f>L12*J12</f>
        <v>0</v>
      </c>
      <c r="P12" s="277" cm="1">
        <f t="array" ref="P12">SUMPRODUCT(--(D_Category="Ex_Cat_2"),--(D_EffDate="Eff_Date_1"),--(D_Product="EE"),--(D_SC_Name=$A12),--(D_Zone="All"),(D_Percent))</f>
        <v>0</v>
      </c>
      <c r="Q12" s="277" cm="1">
        <f t="array" ref="Q12">SUMPRODUCT(--(D_Category="Ex_Cat_2"),--(D_EffDate="Eff_Date_2"),--(D_Product="EE"),--(D_SC_Name=$A12),--(D_Zone="All"),(D_Percent))</f>
        <v>0</v>
      </c>
      <c r="R12" s="69">
        <f>ROUND(($B12*(1-P12)),2)</f>
        <v>115</v>
      </c>
      <c r="S12" s="69">
        <f>ROUND(($C12*(1-P12)),2)</f>
        <v>0.71</v>
      </c>
      <c r="T12" s="144">
        <f t="shared" ref="T12:T14" si="14">V12-R12</f>
        <v>0</v>
      </c>
      <c r="U12" s="144">
        <f t="shared" si="10"/>
        <v>0</v>
      </c>
      <c r="V12" s="69">
        <f>ROUND(($B12*(1-Q12)),2)</f>
        <v>115</v>
      </c>
      <c r="W12" s="69">
        <f>ROUND(($C12*(1-Q12)),2)</f>
        <v>0.71</v>
      </c>
      <c r="X12" s="74" cm="1">
        <f t="array" ref="X12">SUMPRODUCT(--(Category="Ex_Cat_2"),--(OpCo="Express"),--(Intl="International"),--(SC_Name=$A12),(SC_Count))</f>
        <v>0</v>
      </c>
      <c r="Y12" s="69">
        <f>X12*R12</f>
        <v>0</v>
      </c>
      <c r="Z12" s="69">
        <f t="shared" si="4"/>
        <v>0</v>
      </c>
      <c r="AA12" s="69">
        <f>X12*V12</f>
        <v>0</v>
      </c>
      <c r="AB12" s="279" cm="1">
        <f t="array" ref="AB12">SUMPRODUCT(--(D_Category="Ex_Cat_3"),--(D_EffDate="Eff_Date_1"),--(D_Product="EE"),--(D_SC_Name=$A12),--(D_Zone="All"),(D_Percent))</f>
        <v>0</v>
      </c>
      <c r="AC12" s="279" cm="1">
        <f t="array" ref="AC12">SUMPRODUCT(--(D_Category="Ex_Cat_3"),--(D_EffDate="Eff_Date_2"),--(D_Product="EE"),--(D_SC_Name=$A12),--(D_Zone="All"),(D_Percent))</f>
        <v>0</v>
      </c>
      <c r="AD12" s="69">
        <f>ROUND(($B12*(1-AB12)),2)</f>
        <v>115</v>
      </c>
      <c r="AE12" s="69">
        <f>ROUND(($C12*(1-AB12)),2)</f>
        <v>0.71</v>
      </c>
      <c r="AF12" s="144">
        <f t="shared" ref="AF12:AF14" si="15">AH12-AD12</f>
        <v>0</v>
      </c>
      <c r="AG12" s="144">
        <f t="shared" si="12"/>
        <v>0</v>
      </c>
      <c r="AH12" s="69">
        <f>ROUND(($B12*(1-AC12)),2)</f>
        <v>115</v>
      </c>
      <c r="AI12" s="69">
        <f>ROUND(($C12*(1-AC12)),2)</f>
        <v>0.71</v>
      </c>
      <c r="AJ12" s="74" cm="1">
        <f t="array" ref="AJ12">SUMPRODUCT(--(Category="Ex_Cat_3"),--(OpCo="Express"),--(Intl="International"),--(SC_Name=$A12),(SC_Count))</f>
        <v>0</v>
      </c>
      <c r="AK12" s="69">
        <f>AJ12*AD12</f>
        <v>0</v>
      </c>
      <c r="AL12" s="69">
        <f t="shared" si="7"/>
        <v>0</v>
      </c>
      <c r="AM12" s="69">
        <f>AJ12*AH12</f>
        <v>0</v>
      </c>
    </row>
    <row r="13" spans="1:68" x14ac:dyDescent="0.35">
      <c r="A13" s="143" t="s">
        <v>878</v>
      </c>
      <c r="B13" s="144">
        <v>8.5</v>
      </c>
      <c r="C13" s="144"/>
      <c r="D13" s="272" cm="1">
        <f t="array" ref="D13">SUMPRODUCT(--(D_Category="Ex_Cat_1"),--(D_EffDate="Eff_Date_1"),--(D_Product="EE"),--(D_SC_Name=$A13),--(D_Zone="All"),(D_Percent))</f>
        <v>0</v>
      </c>
      <c r="E13" s="272" cm="1">
        <f t="array" ref="E13">SUMPRODUCT(--(D_Category="Ex_Cat_1"),--(D_EffDate="Eff_Date_2"),--(D_Product="EE"),--(D_SC_Name=$A13),--(D_Zone="All"),(D_Percent))</f>
        <v>0</v>
      </c>
      <c r="F13" s="69">
        <f>ROUND(($B13*(1-D13)),2)</f>
        <v>8.5</v>
      </c>
      <c r="G13" s="69"/>
      <c r="H13" s="144">
        <f t="shared" si="0"/>
        <v>0</v>
      </c>
      <c r="I13" s="144"/>
      <c r="J13" s="69">
        <f>ROUND(($B13*(1-E13)),2)</f>
        <v>8.5</v>
      </c>
      <c r="K13" s="69"/>
      <c r="L13" s="74" cm="1">
        <f t="array" ref="L13">SUMPRODUCT(--(Category="Ex_Cat_1"),--(OpCo="Express"),--(Intl="International"),--(SC_Name=$A13),(SC_Count))</f>
        <v>0</v>
      </c>
      <c r="M13" s="69">
        <f>L13*F13</f>
        <v>0</v>
      </c>
      <c r="N13" s="69">
        <f t="shared" si="1"/>
        <v>0</v>
      </c>
      <c r="O13" s="69">
        <f>L13*J13</f>
        <v>0</v>
      </c>
      <c r="P13" s="277" cm="1">
        <f t="array" ref="P13">SUMPRODUCT(--(D_Category="Ex_Cat_2"),--(D_EffDate="Eff_Date_1"),--(D_Product="EE"),--(D_SC_Name=$A13),--(D_Zone="All"),(D_Percent))</f>
        <v>0</v>
      </c>
      <c r="Q13" s="277" cm="1">
        <f t="array" ref="Q13">SUMPRODUCT(--(D_Category="Ex_Cat_2"),--(D_EffDate="Eff_Date_2"),--(D_Product="EE"),--(D_SC_Name=$A13),--(D_Zone="All"),(D_Percent))</f>
        <v>0</v>
      </c>
      <c r="R13" s="69">
        <f>ROUND(($B13*(1-P13)),2)</f>
        <v>8.5</v>
      </c>
      <c r="S13" s="69"/>
      <c r="T13" s="144">
        <f t="shared" si="14"/>
        <v>0</v>
      </c>
      <c r="U13" s="144"/>
      <c r="V13" s="69">
        <f>ROUND(($B13*(1-Q13)),2)</f>
        <v>8.5</v>
      </c>
      <c r="W13" s="69"/>
      <c r="X13" s="74" cm="1">
        <f t="array" ref="X13">SUMPRODUCT(--(Category="Ex_Cat_2"),--(OpCo="Express"),--(Intl="International"),--(SC_Name=$A13),(SC_Count))</f>
        <v>0</v>
      </c>
      <c r="Y13" s="69">
        <f>X13*R13</f>
        <v>0</v>
      </c>
      <c r="Z13" s="69">
        <f t="shared" si="4"/>
        <v>0</v>
      </c>
      <c r="AA13" s="69">
        <f>X13*V13</f>
        <v>0</v>
      </c>
      <c r="AB13" s="279" cm="1">
        <f t="array" ref="AB13">SUMPRODUCT(--(D_Category="Ex_Cat_3"),--(D_EffDate="Eff_Date_1"),--(D_Product="EE"),--(D_SC_Name=$A13),--(D_Zone="All"),(D_Percent))</f>
        <v>0</v>
      </c>
      <c r="AC13" s="279" cm="1">
        <f t="array" ref="AC13">SUMPRODUCT(--(D_Category="Ex_Cat_3"),--(D_EffDate="Eff_Date_2"),--(D_Product="EE"),--(D_SC_Name=$A13),--(D_Zone="All"),(D_Percent))</f>
        <v>0</v>
      </c>
      <c r="AD13" s="69">
        <f>ROUND(($B13*(1-AB13)),2)</f>
        <v>8.5</v>
      </c>
      <c r="AE13" s="69"/>
      <c r="AF13" s="144">
        <f t="shared" si="15"/>
        <v>0</v>
      </c>
      <c r="AG13" s="144"/>
      <c r="AH13" s="69">
        <f>ROUND(($B13*(1-AC13)),2)</f>
        <v>8.5</v>
      </c>
      <c r="AI13" s="69"/>
      <c r="AJ13" s="74" cm="1">
        <f t="array" ref="AJ13">SUMPRODUCT(--(Category="Ex_Cat_3"),--(OpCo="Express"),--(Intl="International"),--(SC_Name=$A13),(SC_Count))</f>
        <v>0</v>
      </c>
      <c r="AK13" s="69">
        <f>AJ13*AD13</f>
        <v>0</v>
      </c>
      <c r="AL13" s="69">
        <f t="shared" si="7"/>
        <v>0</v>
      </c>
      <c r="AM13" s="69">
        <f>AJ13*AH13</f>
        <v>0</v>
      </c>
    </row>
    <row r="14" spans="1:68" x14ac:dyDescent="0.35">
      <c r="A14" s="145" t="s">
        <v>28</v>
      </c>
      <c r="B14" s="146">
        <v>1.65</v>
      </c>
      <c r="C14" s="146">
        <v>9.07</v>
      </c>
      <c r="D14" s="272" cm="1">
        <f t="array" ref="D14">SUMPRODUCT(--(D_Category="Ex_Cat_1"),--(D_EffDate="Eff_Date_1"),--(D_Product="EE"),--(D_SC_Name=$A14),--(D_Zone="All"),(D_Percent))</f>
        <v>0</v>
      </c>
      <c r="E14" s="272" cm="1">
        <f t="array" ref="E14">SUMPRODUCT(--(D_Category="Ex_Cat_1"),--(D_EffDate="Eff_Date_2"),--(D_Product="EE"),--(D_SC_Name=$A14),--(D_Zone="All"),(D_Percent))</f>
        <v>0</v>
      </c>
      <c r="F14" s="67">
        <f>ROUND(($B14*(1-D14)),2)</f>
        <v>1.65</v>
      </c>
      <c r="G14" s="67">
        <f>ROUND(($C14*(1-D14)),2)</f>
        <v>9.07</v>
      </c>
      <c r="H14" s="146">
        <f t="shared" si="0"/>
        <v>0</v>
      </c>
      <c r="I14" s="146">
        <f t="shared" ref="I14" si="16">K14-G14</f>
        <v>0</v>
      </c>
      <c r="J14" s="67">
        <f>ROUND(($B14*(1-E14)),2)</f>
        <v>1.65</v>
      </c>
      <c r="K14" s="67">
        <f>ROUND(($C14*(1-E14)),2)</f>
        <v>9.07</v>
      </c>
      <c r="L14" s="79" cm="1">
        <f t="array" ref="L14">SUMPRODUCT(--(Category="Ex_Cat_1"),--(OpCo="Express"),--(Intl="International"),--(SC_Name=$A14),(SC_Count))</f>
        <v>0</v>
      </c>
      <c r="M14" s="374"/>
      <c r="N14" s="375"/>
      <c r="O14" s="376"/>
      <c r="P14" s="277" cm="1">
        <f t="array" ref="P14">SUMPRODUCT(--(D_Category="Ex_Cat_2"),--(D_EffDate="Eff_Date_1"),--(D_Product="EE"),--(D_SC_Name=$A14),--(D_Zone="All"),(D_Percent))</f>
        <v>0</v>
      </c>
      <c r="Q14" s="277" cm="1">
        <f t="array" ref="Q14">SUMPRODUCT(--(D_Category="Ex_Cat_2"),--(D_EffDate="Eff_Date_2"),--(D_Product="EE"),--(D_SC_Name=$A14),--(D_Zone="All"),(D_Percent))</f>
        <v>0</v>
      </c>
      <c r="R14" s="67">
        <f>ROUND(($B14*(1-P14)),2)</f>
        <v>1.65</v>
      </c>
      <c r="S14" s="67">
        <f>ROUND(($C14*(1-P14)),2)</f>
        <v>9.07</v>
      </c>
      <c r="T14" s="146">
        <f t="shared" si="14"/>
        <v>0</v>
      </c>
      <c r="U14" s="146">
        <f t="shared" ref="U14" si="17">W14-S14</f>
        <v>0</v>
      </c>
      <c r="V14" s="67">
        <f>ROUND(($B14*(1-Q14)),2)</f>
        <v>1.65</v>
      </c>
      <c r="W14" s="67">
        <f>ROUND(($C14*(1-Q14)),2)</f>
        <v>9.07</v>
      </c>
      <c r="X14" s="79" cm="1">
        <f t="array" ref="X14">SUMPRODUCT(--(Category="Ex_Cat_2"),--(OpCo="Express"),--(Intl="International"),--(SC_Name=$A14),(SC_Count))</f>
        <v>0</v>
      </c>
      <c r="Y14" s="374"/>
      <c r="Z14" s="375"/>
      <c r="AA14" s="376"/>
      <c r="AB14" s="279" cm="1">
        <f t="array" ref="AB14">SUMPRODUCT(--(D_Category="Ex_Cat_3"),--(D_EffDate="Eff_Date_1"),--(D_Product="EE"),--(D_SC_Name=$A14),--(D_Zone="All"),(D_Percent))</f>
        <v>0</v>
      </c>
      <c r="AC14" s="279" cm="1">
        <f t="array" ref="AC14">SUMPRODUCT(--(D_Category="Ex_Cat_3"),--(D_EffDate="Eff_Date_2"),--(D_Product="EE"),--(D_SC_Name=$A14),--(D_Zone="All"),(D_Percent))</f>
        <v>0</v>
      </c>
      <c r="AD14" s="67">
        <f>ROUND(($B14*(1-AB14)),2)</f>
        <v>1.65</v>
      </c>
      <c r="AE14" s="67">
        <f>ROUND(($C14*(1-AB14)),2)</f>
        <v>9.07</v>
      </c>
      <c r="AF14" s="146">
        <f t="shared" si="15"/>
        <v>0</v>
      </c>
      <c r="AG14" s="146">
        <f t="shared" ref="AG14" si="18">AI14-AE14</f>
        <v>0</v>
      </c>
      <c r="AH14" s="67">
        <f>ROUND(($B14*(1-AC14)),2)</f>
        <v>1.65</v>
      </c>
      <c r="AI14" s="67">
        <f>ROUND(($C14*(1-AC14)),2)</f>
        <v>9.07</v>
      </c>
      <c r="AJ14" s="79" cm="1">
        <f t="array" ref="AJ14">SUMPRODUCT(--(Category="Ex_Cat_3"),--(OpCo="Express"),--(Intl="International"),--(SC_Name=$A14),(SC_Count))</f>
        <v>0</v>
      </c>
      <c r="AK14" s="374"/>
      <c r="AL14" s="375"/>
      <c r="AM14" s="376"/>
    </row>
    <row r="15" spans="1:68" x14ac:dyDescent="0.35">
      <c r="A15" s="141" t="s">
        <v>286</v>
      </c>
      <c r="B15" s="144"/>
      <c r="C15" s="144"/>
      <c r="D15" s="272"/>
      <c r="E15" s="272"/>
      <c r="F15" s="144"/>
      <c r="G15" s="144"/>
      <c r="H15" s="144"/>
      <c r="I15" s="144"/>
      <c r="J15" s="144"/>
      <c r="K15" s="144"/>
      <c r="L15" s="74"/>
      <c r="M15" s="69"/>
      <c r="N15" s="69"/>
      <c r="O15" s="69"/>
      <c r="P15" s="277"/>
      <c r="Q15" s="277"/>
      <c r="R15" s="144"/>
      <c r="S15" s="144"/>
      <c r="T15" s="144"/>
      <c r="U15" s="144"/>
      <c r="V15" s="144"/>
      <c r="W15" s="144"/>
      <c r="X15" s="74"/>
      <c r="Y15" s="69"/>
      <c r="Z15" s="69"/>
      <c r="AA15" s="69"/>
      <c r="AB15" s="279"/>
      <c r="AC15" s="279"/>
      <c r="AD15" s="144"/>
      <c r="AE15" s="144"/>
      <c r="AF15" s="144"/>
      <c r="AG15" s="144"/>
      <c r="AH15" s="144"/>
      <c r="AI15" s="144"/>
      <c r="AJ15" s="74"/>
      <c r="AK15" s="69"/>
      <c r="AL15" s="69"/>
      <c r="AM15" s="69"/>
    </row>
    <row r="16" spans="1:68" x14ac:dyDescent="0.35">
      <c r="A16" s="143" t="s">
        <v>288</v>
      </c>
      <c r="B16" s="144">
        <v>10</v>
      </c>
      <c r="C16" s="144"/>
      <c r="D16" s="272" cm="1">
        <f t="array" ref="D16">SUMPRODUCT(--(D_Category="Ex_Cat_1"),--(D_EffDate="Eff_Date_1"),--(D_Product="EE"),--(D_SC_Name=$A16),--(D_Zone="All"),(D_Percent))</f>
        <v>0</v>
      </c>
      <c r="E16" s="272" cm="1">
        <f t="array" ref="E16">SUMPRODUCT(--(D_Category="Ex_Cat_1"),--(D_EffDate="Eff_Date_2"),--(D_Product="EE"),--(D_SC_Name=$A16),--(D_Zone="All"),(D_Percent))</f>
        <v>0</v>
      </c>
      <c r="F16" s="69">
        <f>ROUND(($B16*(1-D16)),2)</f>
        <v>10</v>
      </c>
      <c r="G16" s="144"/>
      <c r="H16" s="144">
        <f t="shared" si="0"/>
        <v>0</v>
      </c>
      <c r="I16" s="144"/>
      <c r="J16" s="69">
        <f>ROUND(($B16*(1-E16)),2)</f>
        <v>10</v>
      </c>
      <c r="K16" s="144"/>
      <c r="L16" s="74" cm="1">
        <f t="array" ref="L16">SUMPRODUCT(--(Category="Ex_Cat_1"),--(OpCo="Express"),--(Intl="International"),--(SC_Name=$A16),(SC_Count))</f>
        <v>0</v>
      </c>
      <c r="M16" s="69">
        <f>L16*F16</f>
        <v>0</v>
      </c>
      <c r="N16" s="69">
        <f t="shared" si="1"/>
        <v>0</v>
      </c>
      <c r="O16" s="69">
        <f>L16*J16</f>
        <v>0</v>
      </c>
      <c r="P16" s="277" cm="1">
        <f t="array" ref="P16">SUMPRODUCT(--(D_Category="Ex_Cat_2"),--(D_EffDate="Eff_Date_1"),--(D_Product="EE"),--(D_SC_Name=$A16),--(D_Zone="All"),(D_Percent))</f>
        <v>0</v>
      </c>
      <c r="Q16" s="277" cm="1">
        <f t="array" ref="Q16">SUMPRODUCT(--(D_Category="Ex_Cat_2"),--(D_EffDate="Eff_Date_2"),--(D_Product="EE"),--(D_SC_Name=$A16),--(D_Zone="All"),(D_Percent))</f>
        <v>0</v>
      </c>
      <c r="R16" s="69">
        <f>ROUND(($B16*(1-P16)),2)</f>
        <v>10</v>
      </c>
      <c r="S16" s="144"/>
      <c r="T16" s="144">
        <f t="shared" ref="T16:T39" si="19">V16-R16</f>
        <v>0</v>
      </c>
      <c r="U16" s="144"/>
      <c r="V16" s="69">
        <f>ROUND(($B16*(1-Q16)),2)</f>
        <v>10</v>
      </c>
      <c r="W16" s="144"/>
      <c r="X16" s="74" cm="1">
        <f t="array" ref="X16">SUMPRODUCT(--(Category="Ex_Cat_2"),--(OpCo="Express"),--(Intl="International"),--(SC_Name=$A16),(SC_Count))</f>
        <v>0</v>
      </c>
      <c r="Y16" s="69">
        <f>X16*R16</f>
        <v>0</v>
      </c>
      <c r="Z16" s="69">
        <f t="shared" si="4"/>
        <v>0</v>
      </c>
      <c r="AA16" s="69">
        <f>X16*V16</f>
        <v>0</v>
      </c>
      <c r="AB16" s="279" cm="1">
        <f t="array" ref="AB16">SUMPRODUCT(--(D_Category="Ex_Cat_3"),--(D_EffDate="Eff_Date_1"),--(D_Product="EE"),--(D_SC_Name=$A16),--(D_Zone="All"),(D_Percent))</f>
        <v>0</v>
      </c>
      <c r="AC16" s="279" cm="1">
        <f t="array" ref="AC16">SUMPRODUCT(--(D_Category="Ex_Cat_3"),--(D_EffDate="Eff_Date_2"),--(D_Product="EE"),--(D_SC_Name=$A16),--(D_Zone="All"),(D_Percent))</f>
        <v>0</v>
      </c>
      <c r="AD16" s="69">
        <f>ROUND(($B16*(1-AB16)),2)</f>
        <v>10</v>
      </c>
      <c r="AE16" s="144"/>
      <c r="AF16" s="144">
        <f t="shared" ref="AF16:AF39" si="20">AH16-AD16</f>
        <v>0</v>
      </c>
      <c r="AG16" s="144"/>
      <c r="AH16" s="69">
        <f>ROUND(($B16*(1-AC16)),2)</f>
        <v>10</v>
      </c>
      <c r="AI16" s="144"/>
      <c r="AJ16" s="74" cm="1">
        <f t="array" ref="AJ16">SUMPRODUCT(--(Category="Ex_Cat_3"),--(OpCo="Express"),--(Intl="International"),--(SC_Name=$A16),(SC_Count))</f>
        <v>0</v>
      </c>
      <c r="AK16" s="69">
        <f>AJ16*AD16</f>
        <v>0</v>
      </c>
      <c r="AL16" s="69">
        <f t="shared" si="7"/>
        <v>0</v>
      </c>
      <c r="AM16" s="69">
        <f>AJ16*AH16</f>
        <v>0</v>
      </c>
    </row>
    <row r="17" spans="1:39" x14ac:dyDescent="0.35">
      <c r="A17" s="143" t="s">
        <v>285</v>
      </c>
      <c r="B17" s="144">
        <v>7.6</v>
      </c>
      <c r="C17" s="144"/>
      <c r="D17" s="272" cm="1">
        <f t="array" ref="D17">SUMPRODUCT(--(D_Category="Ex_Cat_1"),--(D_EffDate="Eff_Date_1"),--(D_Product="EE"),--(D_SC_Name=$A17),--(D_Zone="All"),(D_Percent))</f>
        <v>0</v>
      </c>
      <c r="E17" s="272" cm="1">
        <f t="array" ref="E17">SUMPRODUCT(--(D_Category="Ex_Cat_1"),--(D_EffDate="Eff_Date_2"),--(D_Product="EE"),--(D_SC_Name=$A17),--(D_Zone="All"),(D_Percent))</f>
        <v>0</v>
      </c>
      <c r="F17" s="69">
        <f>ROUND(($B17*(1-D17)),2)</f>
        <v>7.6</v>
      </c>
      <c r="G17" s="144"/>
      <c r="H17" s="144">
        <f t="shared" si="0"/>
        <v>0</v>
      </c>
      <c r="I17" s="144"/>
      <c r="J17" s="69">
        <f>ROUND(($B17*(1-E17)),2)</f>
        <v>7.6</v>
      </c>
      <c r="K17" s="144"/>
      <c r="L17" s="74" cm="1">
        <f t="array" ref="L17">SUMPRODUCT(--(Category="Ex_Cat_1"),--(OpCo="Express"),--(Intl="International"),--(SC_Name=$A17),(SC_Count))</f>
        <v>0</v>
      </c>
      <c r="M17" s="69">
        <f>L17*F17</f>
        <v>0</v>
      </c>
      <c r="N17" s="69">
        <f t="shared" si="1"/>
        <v>0</v>
      </c>
      <c r="O17" s="69">
        <f t="shared" si="2"/>
        <v>0</v>
      </c>
      <c r="P17" s="277" cm="1">
        <f t="array" ref="P17">SUMPRODUCT(--(D_Category="Ex_Cat_2"),--(D_EffDate="Eff_Date_1"),--(D_Product="EE"),--(D_SC_Name=$A17),--(D_Zone="All"),(D_Percent))</f>
        <v>0</v>
      </c>
      <c r="Q17" s="277" cm="1">
        <f t="array" ref="Q17">SUMPRODUCT(--(D_Category="Ex_Cat_2"),--(D_EffDate="Eff_Date_2"),--(D_Product="EE"),--(D_SC_Name=$A17),--(D_Zone="All"),(D_Percent))</f>
        <v>0</v>
      </c>
      <c r="R17" s="69">
        <f>ROUND(($B17*(1-P17)),2)</f>
        <v>7.6</v>
      </c>
      <c r="S17" s="144"/>
      <c r="T17" s="144">
        <f t="shared" si="19"/>
        <v>0</v>
      </c>
      <c r="U17" s="144"/>
      <c r="V17" s="69">
        <f>ROUND(($B17*(1-Q17)),2)</f>
        <v>7.6</v>
      </c>
      <c r="W17" s="144"/>
      <c r="X17" s="74" cm="1">
        <f t="array" ref="X17">SUMPRODUCT(--(Category="Ex_Cat_2"),--(OpCo="Express"),--(Intl="International"),--(SC_Name=$A17),(SC_Count))</f>
        <v>0</v>
      </c>
      <c r="Y17" s="69">
        <f>X17*R17</f>
        <v>0</v>
      </c>
      <c r="Z17" s="69">
        <f t="shared" si="4"/>
        <v>0</v>
      </c>
      <c r="AA17" s="69">
        <f t="shared" ref="AA17:AA18" si="21">X17*V17</f>
        <v>0</v>
      </c>
      <c r="AB17" s="279" cm="1">
        <f t="array" ref="AB17">SUMPRODUCT(--(D_Category="Ex_Cat_3"),--(D_EffDate="Eff_Date_1"),--(D_Product="EE"),--(D_SC_Name=$A17),--(D_Zone="All"),(D_Percent))</f>
        <v>0</v>
      </c>
      <c r="AC17" s="279" cm="1">
        <f t="array" ref="AC17">SUMPRODUCT(--(D_Category="Ex_Cat_3"),--(D_EffDate="Eff_Date_2"),--(D_Product="EE"),--(D_SC_Name=$A17),--(D_Zone="All"),(D_Percent))</f>
        <v>0</v>
      </c>
      <c r="AD17" s="69">
        <f>ROUND(($B17*(1-AB17)),2)</f>
        <v>7.6</v>
      </c>
      <c r="AE17" s="144"/>
      <c r="AF17" s="144">
        <f t="shared" si="20"/>
        <v>0</v>
      </c>
      <c r="AG17" s="144"/>
      <c r="AH17" s="69">
        <f>ROUND(($B17*(1-AC17)),2)</f>
        <v>7.6</v>
      </c>
      <c r="AI17" s="144"/>
      <c r="AJ17" s="74" cm="1">
        <f t="array" ref="AJ17">SUMPRODUCT(--(Category="Ex_Cat_3"),--(OpCo="Express"),--(Intl="International"),--(SC_Name=$A17),(SC_Count))</f>
        <v>0</v>
      </c>
      <c r="AK17" s="69">
        <f>AJ17*AD17</f>
        <v>0</v>
      </c>
      <c r="AL17" s="69">
        <f t="shared" si="7"/>
        <v>0</v>
      </c>
      <c r="AM17" s="69">
        <f t="shared" ref="AM17:AM18" si="22">AJ17*AH17</f>
        <v>0</v>
      </c>
    </row>
    <row r="18" spans="1:39" x14ac:dyDescent="0.35">
      <c r="A18" s="143" t="s">
        <v>287</v>
      </c>
      <c r="B18" s="144">
        <v>7.6</v>
      </c>
      <c r="C18" s="144"/>
      <c r="D18" s="272" cm="1">
        <f t="array" ref="D18">SUMPRODUCT(--(D_Category="Ex_Cat_1"),--(D_EffDate="Eff_Date_1"),--(D_Product="EE"),--(D_SC_Name=$A18),--(D_Zone="All"),(D_Percent))</f>
        <v>0</v>
      </c>
      <c r="E18" s="272" cm="1">
        <f t="array" ref="E18">SUMPRODUCT(--(D_Category="Ex_Cat_1"),--(D_EffDate="Eff_Date_2"),--(D_Product="EE"),--(D_SC_Name=$A18),--(D_Zone="All"),(D_Percent))</f>
        <v>0</v>
      </c>
      <c r="F18" s="69">
        <f>ROUND(($B18*(1-D18)),2)</f>
        <v>7.6</v>
      </c>
      <c r="G18" s="144"/>
      <c r="H18" s="144">
        <f t="shared" si="0"/>
        <v>0</v>
      </c>
      <c r="I18" s="144"/>
      <c r="J18" s="69">
        <f>ROUND(($B18*(1-E18)),2)</f>
        <v>7.6</v>
      </c>
      <c r="K18" s="144"/>
      <c r="L18" s="74" cm="1">
        <f t="array" ref="L18">SUMPRODUCT(--(Category="Ex_Cat_1"),--(OpCo="Express"),--(Intl="International"),--(SC_Name=$A18),(SC_Count))</f>
        <v>0</v>
      </c>
      <c r="M18" s="69">
        <f>L18*F18</f>
        <v>0</v>
      </c>
      <c r="N18" s="69">
        <f t="shared" si="1"/>
        <v>0</v>
      </c>
      <c r="O18" s="69">
        <f t="shared" si="2"/>
        <v>0</v>
      </c>
      <c r="P18" s="277" cm="1">
        <f t="array" ref="P18">SUMPRODUCT(--(D_Category="Ex_Cat_2"),--(D_EffDate="Eff_Date_1"),--(D_Product="EE"),--(D_SC_Name=$A18),--(D_Zone="All"),(D_Percent))</f>
        <v>0</v>
      </c>
      <c r="Q18" s="277" cm="1">
        <f t="array" ref="Q18">SUMPRODUCT(--(D_Category="Ex_Cat_2"),--(D_EffDate="Eff_Date_2"),--(D_Product="EE"),--(D_SC_Name=$A18),--(D_Zone="All"),(D_Percent))</f>
        <v>0</v>
      </c>
      <c r="R18" s="69">
        <f>ROUND(($B18*(1-P18)),2)</f>
        <v>7.6</v>
      </c>
      <c r="S18" s="144"/>
      <c r="T18" s="144">
        <f t="shared" si="19"/>
        <v>0</v>
      </c>
      <c r="U18" s="144"/>
      <c r="V18" s="69">
        <f>ROUND(($B18*(1-Q18)),2)</f>
        <v>7.6</v>
      </c>
      <c r="W18" s="144"/>
      <c r="X18" s="74" cm="1">
        <f t="array" ref="X18">SUMPRODUCT(--(Category="Ex_Cat_2"),--(OpCo="Express"),--(Intl="International"),--(SC_Name=$A18),(SC_Count))</f>
        <v>0</v>
      </c>
      <c r="Y18" s="69">
        <f>X18*R18</f>
        <v>0</v>
      </c>
      <c r="Z18" s="69">
        <f t="shared" si="4"/>
        <v>0</v>
      </c>
      <c r="AA18" s="69">
        <f t="shared" si="21"/>
        <v>0</v>
      </c>
      <c r="AB18" s="279" cm="1">
        <f t="array" ref="AB18">SUMPRODUCT(--(D_Category="Ex_Cat_3"),--(D_EffDate="Eff_Date_1"),--(D_Product="EE"),--(D_SC_Name=$A18),--(D_Zone="All"),(D_Percent))</f>
        <v>0</v>
      </c>
      <c r="AC18" s="279" cm="1">
        <f t="array" ref="AC18">SUMPRODUCT(--(D_Category="Ex_Cat_3"),--(D_EffDate="Eff_Date_2"),--(D_Product="EE"),--(D_SC_Name=$A18),--(D_Zone="All"),(D_Percent))</f>
        <v>0</v>
      </c>
      <c r="AD18" s="69">
        <f>ROUND(($B18*(1-AB18)),2)</f>
        <v>7.6</v>
      </c>
      <c r="AE18" s="144"/>
      <c r="AF18" s="144">
        <f t="shared" si="20"/>
        <v>0</v>
      </c>
      <c r="AG18" s="144"/>
      <c r="AH18" s="69">
        <f>ROUND(($B18*(1-AC18)),2)</f>
        <v>7.6</v>
      </c>
      <c r="AI18" s="144"/>
      <c r="AJ18" s="74" cm="1">
        <f t="array" ref="AJ18">SUMPRODUCT(--(Category="Ex_Cat_3"),--(OpCo="Express"),--(Intl="International"),--(SC_Name=$A18),(SC_Count))</f>
        <v>0</v>
      </c>
      <c r="AK18" s="69">
        <f>AJ18*AD18</f>
        <v>0</v>
      </c>
      <c r="AL18" s="69">
        <f t="shared" si="7"/>
        <v>0</v>
      </c>
      <c r="AM18" s="69">
        <f t="shared" si="22"/>
        <v>0</v>
      </c>
    </row>
    <row r="19" spans="1:39" x14ac:dyDescent="0.35">
      <c r="A19" s="141" t="s">
        <v>18</v>
      </c>
      <c r="B19" s="158"/>
      <c r="C19" s="158"/>
      <c r="D19" s="272" cm="1">
        <f t="array" ref="D19">SUMPRODUCT(--(D_Category="Ex_Cat_1"),--(D_EffDate="Eff_Date_1"),--(D_Product="EE"),--(D_SC_Name=$A19),--(D_Zone="All"),(D_Percent))</f>
        <v>0</v>
      </c>
      <c r="E19" s="272" cm="1">
        <f t="array" ref="E19">SUMPRODUCT(--(D_Category="Ex_Cat_1"),--(D_EffDate="Eff_Date_2"),--(D_Product="EE"),--(D_SC_Name=$A19),--(D_Zone="All"),(D_Percent))</f>
        <v>0</v>
      </c>
      <c r="F19" s="158"/>
      <c r="G19" s="158"/>
      <c r="H19" s="158"/>
      <c r="I19" s="158"/>
      <c r="J19" s="158"/>
      <c r="K19" s="158"/>
      <c r="L19" s="147" cm="1">
        <f t="array" ref="L19">SUMPRODUCT(--(Category="Ex_Cat_1"),--(OpCo="Express"),--(Intl="International"),--(SC_Name=$A19),(SC_Count))</f>
        <v>0</v>
      </c>
      <c r="M19" s="292"/>
      <c r="N19" s="158"/>
      <c r="O19" s="159"/>
      <c r="P19" s="277" cm="1">
        <f t="array" ref="P19">SUMPRODUCT(--(D_Category="Ex_Cat_2"),--(D_EffDate="Eff_Date_1"),--(D_Product="EE"),--(D_SC_Name=$A19),--(D_Zone="All"),(D_Percent))</f>
        <v>0</v>
      </c>
      <c r="Q19" s="277" cm="1">
        <f t="array" ref="Q19">SUMPRODUCT(--(D_Category="Ex_Cat_2"),--(D_EffDate="Eff_Date_2"),--(D_Product="EE"),--(D_SC_Name=$A19),--(D_Zone="All"),(D_Percent))</f>
        <v>0</v>
      </c>
      <c r="R19" s="158"/>
      <c r="S19" s="158"/>
      <c r="T19" s="158"/>
      <c r="U19" s="158"/>
      <c r="V19" s="158"/>
      <c r="W19" s="158"/>
      <c r="X19" s="147" cm="1">
        <f t="array" ref="X19">SUMPRODUCT(--(Category="Ex_Cat_2"),--(OpCo="Express"),--(Intl="International"),--(SC_Name=$A19),(SC_Count))</f>
        <v>0</v>
      </c>
      <c r="Y19" s="292"/>
      <c r="Z19" s="158"/>
      <c r="AA19" s="159"/>
      <c r="AB19" s="279" cm="1">
        <f t="array" ref="AB19">SUMPRODUCT(--(D_Category="Ex_Cat_3"),--(D_EffDate="Eff_Date_1"),--(D_Product="EE"),--(D_SC_Name=$A19),--(D_Zone="All"),(D_Percent))</f>
        <v>0</v>
      </c>
      <c r="AC19" s="279" cm="1">
        <f t="array" ref="AC19">SUMPRODUCT(--(D_Category="Ex_Cat_3"),--(D_EffDate="Eff_Date_2"),--(D_Product="EE"),--(D_SC_Name=$A19),--(D_Zone="All"),(D_Percent))</f>
        <v>0</v>
      </c>
      <c r="AD19" s="158"/>
      <c r="AE19" s="158"/>
      <c r="AF19" s="158"/>
      <c r="AG19" s="158"/>
      <c r="AH19" s="158"/>
      <c r="AI19" s="158"/>
      <c r="AJ19" s="147" cm="1">
        <f t="array" ref="AJ19">SUMPRODUCT(--(Category="Ex_Cat_3"),--(OpCo="Express"),--(Intl="International"),--(SC_Name=$A19),(SC_Count))</f>
        <v>0</v>
      </c>
      <c r="AK19" s="292"/>
      <c r="AL19" s="158"/>
      <c r="AM19" s="159"/>
    </row>
    <row r="20" spans="1:39" x14ac:dyDescent="0.35">
      <c r="A20" s="145" t="s">
        <v>57</v>
      </c>
      <c r="B20" s="146">
        <v>25.5</v>
      </c>
      <c r="C20" s="146"/>
      <c r="D20" s="272" cm="1">
        <f t="array" ref="D20">SUMPRODUCT(--(D_Category="Ex_Cat_1"),--(D_EffDate="Eff_Date_1"),--(D_Product="EE")+--(D_Product="All"),--(D_SC_Category=$A20),--(D_Zone="All"),(D_Percent))</f>
        <v>0</v>
      </c>
      <c r="E20" s="272" cm="1">
        <f t="array" ref="E20">SUMPRODUCT(--(D_Category="Ex_Cat_1"),--(D_EffDate="Eff_Date_2"),--(D_Product="EE")+--(D_Product="All"),--(D_SC_Category=$A20),--(D_Zone="All"),(D_Percent))</f>
        <v>0</v>
      </c>
      <c r="F20" s="67">
        <f>ROUND(($B20*(1-D20)),2)</f>
        <v>25.5</v>
      </c>
      <c r="G20" s="146"/>
      <c r="H20" s="146">
        <f t="shared" si="0"/>
        <v>0</v>
      </c>
      <c r="I20" s="146"/>
      <c r="J20" s="67">
        <f>ROUND(($B20*(1-E20)),2)</f>
        <v>25.5</v>
      </c>
      <c r="K20" s="146"/>
      <c r="L20" s="79" cm="1">
        <f t="array" ref="L20">SUMPRODUCT(--(Category="Ex_Cat_1"),--(OpCo="Express"),--(Intl="International"),--(SC_Cat=$A20),(SC_Count))</f>
        <v>0</v>
      </c>
      <c r="M20" s="67">
        <f>L20*F20</f>
        <v>0</v>
      </c>
      <c r="N20" s="67">
        <f t="shared" si="1"/>
        <v>0</v>
      </c>
      <c r="O20" s="67">
        <f t="shared" si="2"/>
        <v>0</v>
      </c>
      <c r="P20" s="277" cm="1">
        <f t="array" ref="P20">SUMPRODUCT(--(D_Category="Ex_Cat_2"),--(D_EffDate="Eff_Date_1"),--(D_Product="EE")+--(D_Product="All"),--(D_SC_Category=$A20),--(D_Zone="All"),(D_Percent))</f>
        <v>0</v>
      </c>
      <c r="Q20" s="277" cm="1">
        <f t="array" ref="Q20">SUMPRODUCT(--(D_Category="Ex_Cat_2"),--(D_EffDate="Eff_Date_2"),--(D_Product="EE")+--(D_Product="All"),--(D_SC_Category=$A20),--(D_Zone="All"),(D_Percent))</f>
        <v>0</v>
      </c>
      <c r="R20" s="67">
        <f>ROUND(($B20*(1-P20)),2)</f>
        <v>25.5</v>
      </c>
      <c r="S20" s="146"/>
      <c r="T20" s="146">
        <f t="shared" si="19"/>
        <v>0</v>
      </c>
      <c r="U20" s="146"/>
      <c r="V20" s="67">
        <f>ROUND(($B20*(1-Q20)),2)</f>
        <v>25.5</v>
      </c>
      <c r="W20" s="146"/>
      <c r="X20" s="79" cm="1">
        <f t="array" ref="X20">SUMPRODUCT(--(Category="Ex_Cat_2"),--(OpCo="Express"),--(Intl="International"),--(SC_Cat=$A20),(SC_Count))</f>
        <v>0</v>
      </c>
      <c r="Y20" s="67">
        <f>X20*R20</f>
        <v>0</v>
      </c>
      <c r="Z20" s="67">
        <f t="shared" si="4"/>
        <v>0</v>
      </c>
      <c r="AA20" s="67">
        <f t="shared" ref="AA20:AA21" si="23">X20*V20</f>
        <v>0</v>
      </c>
      <c r="AB20" s="279" cm="1">
        <f t="array" ref="AB20">SUMPRODUCT(--(D_Category="Ex_Cat_3"),--(D_EffDate="Eff_Date_1"),--(D_Product="EE")+--(D_Product="All"),--(D_SC_Category=$A20),--(D_Zone="All"),(D_Percent))</f>
        <v>0</v>
      </c>
      <c r="AC20" s="279" cm="1">
        <f t="array" ref="AC20">SUMPRODUCT(--(D_Category="Ex_Cat_3"),--(D_EffDate="Eff_Date_2"),--(D_Product="EE")+--(D_Product="All"),--(D_SC_Category=$A20),--(D_Zone="All"),(D_Percent))</f>
        <v>0</v>
      </c>
      <c r="AD20" s="67">
        <f>ROUND(($B20*(1-AB20)),2)</f>
        <v>25.5</v>
      </c>
      <c r="AE20" s="146"/>
      <c r="AF20" s="146">
        <f t="shared" si="20"/>
        <v>0</v>
      </c>
      <c r="AG20" s="146"/>
      <c r="AH20" s="67">
        <f>ROUND(($B20*(1-AC20)),2)</f>
        <v>25.5</v>
      </c>
      <c r="AI20" s="146"/>
      <c r="AJ20" s="79" cm="1">
        <f t="array" ref="AJ20">SUMPRODUCT(--(Category="Ex_Cat_3"),--(OpCo="Express"),--(Intl="International"),--(SC_Cat=$A20),(SC_Count))</f>
        <v>0</v>
      </c>
      <c r="AK20" s="67">
        <f>AJ20*AD20</f>
        <v>0</v>
      </c>
      <c r="AL20" s="67">
        <f t="shared" si="7"/>
        <v>0</v>
      </c>
      <c r="AM20" s="67">
        <f t="shared" ref="AM20:AM21" si="24">AJ20*AH20</f>
        <v>0</v>
      </c>
    </row>
    <row r="21" spans="1:39" x14ac:dyDescent="0.35">
      <c r="A21" s="141" t="s">
        <v>338</v>
      </c>
      <c r="B21" s="144">
        <v>4</v>
      </c>
      <c r="C21" s="144"/>
      <c r="D21" s="272" cm="1">
        <f t="array" ref="D21">SUMPRODUCT(--(D_Category="Ex_Cat_1"),--(D_EffDate="Eff_Date_1"),--(D_Product="EE"),--(D_SC_Name=$A21),--(D_Zone="All"),(D_Percent))</f>
        <v>0</v>
      </c>
      <c r="E21" s="272" cm="1">
        <f t="array" ref="E21">SUMPRODUCT(--(D_Category="Ex_Cat_1"),--(D_EffDate="Eff_Date_2"),--(D_Product="EE"),--(D_SC_Name=$A21),--(D_Zone="All"),(D_Percent))</f>
        <v>0</v>
      </c>
      <c r="F21" s="69">
        <f>ROUND(($B21*(1-D21)),2)</f>
        <v>4</v>
      </c>
      <c r="G21" s="69"/>
      <c r="H21" s="144">
        <f t="shared" si="0"/>
        <v>0</v>
      </c>
      <c r="I21" s="144"/>
      <c r="J21" s="69">
        <f>ROUND(($B21*(1-E21)),2)</f>
        <v>4</v>
      </c>
      <c r="K21" s="69"/>
      <c r="L21" s="74" cm="1">
        <f t="array" ref="L21">SUMPRODUCT(--(Category="Ex_Cat_1"),--(OpCo="Express"),--(Intl="International"),--(SC_Cat=$A21),(SC_Count))</f>
        <v>0</v>
      </c>
      <c r="M21" s="69">
        <f>L21*F21</f>
        <v>0</v>
      </c>
      <c r="N21" s="69">
        <f t="shared" si="1"/>
        <v>0</v>
      </c>
      <c r="O21" s="69">
        <f t="shared" si="2"/>
        <v>0</v>
      </c>
      <c r="P21" s="277" cm="1">
        <f t="array" ref="P21">SUMPRODUCT(--(D_Category="Ex_Cat_2"),--(D_EffDate="Eff_Date_1"),--(D_Product="EE"),--(D_SC_Name=$A21),--(D_Zone="All"),(D_Percent))</f>
        <v>0</v>
      </c>
      <c r="Q21" s="277" cm="1">
        <f t="array" ref="Q21">SUMPRODUCT(--(D_Category="Ex_Cat_2"),--(D_EffDate="Eff_Date_2"),--(D_Product="EE"),--(D_SC_Name=$A21),--(D_Zone="All"),(D_Percent))</f>
        <v>0</v>
      </c>
      <c r="R21" s="69">
        <f>ROUND(($B21*(1-P21)),2)</f>
        <v>4</v>
      </c>
      <c r="S21" s="69"/>
      <c r="T21" s="144">
        <f t="shared" si="19"/>
        <v>0</v>
      </c>
      <c r="U21" s="144"/>
      <c r="V21" s="69">
        <f>ROUND(($B21*(1-Q21)),2)</f>
        <v>4</v>
      </c>
      <c r="W21" s="69"/>
      <c r="X21" s="74" cm="1">
        <f t="array" ref="X21">SUMPRODUCT(--(Category="Ex_Cat_2"),--(OpCo="Express"),--(Intl="International"),--(SC_Cat=$A21),(SC_Count))</f>
        <v>0</v>
      </c>
      <c r="Y21" s="69">
        <f>X21*R21</f>
        <v>0</v>
      </c>
      <c r="Z21" s="69">
        <f t="shared" si="4"/>
        <v>0</v>
      </c>
      <c r="AA21" s="69">
        <f t="shared" si="23"/>
        <v>0</v>
      </c>
      <c r="AB21" s="279" cm="1">
        <f t="array" ref="AB21">SUMPRODUCT(--(D_Category="Ex_Cat_3"),--(D_EffDate="Eff_Date_1"),--(D_Product="EE"),--(D_SC_Name=$A21),--(D_Zone="All"),(D_Percent))</f>
        <v>0</v>
      </c>
      <c r="AC21" s="279" cm="1">
        <f t="array" ref="AC21">SUMPRODUCT(--(D_Category="Ex_Cat_3"),--(D_EffDate="Eff_Date_2"),--(D_Product="EE"),--(D_SC_Name=$A21),--(D_Zone="All"),(D_Percent))</f>
        <v>0</v>
      </c>
      <c r="AD21" s="69">
        <f>ROUND(($B21*(1-AB21)),2)</f>
        <v>4</v>
      </c>
      <c r="AE21" s="69"/>
      <c r="AF21" s="144">
        <f t="shared" si="20"/>
        <v>0</v>
      </c>
      <c r="AG21" s="144"/>
      <c r="AH21" s="69">
        <f>ROUND(($B21*(1-AC21)),2)</f>
        <v>4</v>
      </c>
      <c r="AI21" s="69"/>
      <c r="AJ21" s="74" cm="1">
        <f t="array" ref="AJ21">SUMPRODUCT(--(Category="Ex_Cat_3"),--(OpCo="Express"),--(Intl="International"),--(SC_Cat=$A21),(SC_Count))</f>
        <v>0</v>
      </c>
      <c r="AK21" s="69">
        <f>AJ21*AD21</f>
        <v>0</v>
      </c>
      <c r="AL21" s="69">
        <f t="shared" si="7"/>
        <v>0</v>
      </c>
      <c r="AM21" s="69">
        <f t="shared" si="24"/>
        <v>0</v>
      </c>
    </row>
    <row r="22" spans="1:39" x14ac:dyDescent="0.35">
      <c r="A22" s="474" t="s">
        <v>314</v>
      </c>
      <c r="B22" s="475">
        <v>170</v>
      </c>
      <c r="C22" s="475">
        <v>3.4</v>
      </c>
      <c r="D22" s="272" cm="1">
        <f t="array" ref="D22">SUMPRODUCT(--(D_Category="Ex_Cat_1"),--(D_EffDate="Eff_Date_1"),--(D_Product="EE"),--(D_SC_Name=$A22),--(D_Zone="All"),(D_Percent))</f>
        <v>0</v>
      </c>
      <c r="E22" s="272" cm="1">
        <f t="array" ref="E22">SUMPRODUCT(--(D_Category="Ex_Cat_1"),--(D_EffDate="Eff_Date_2"),--(D_Product="EE"),--(D_SC_Name=$A22),--(D_Zone="All"),(D_Percent))</f>
        <v>0</v>
      </c>
      <c r="F22" s="476">
        <f>ROUND(($B22*(1-D22)),2)</f>
        <v>170</v>
      </c>
      <c r="G22" s="476">
        <f>ROUND(($C22*(1-D22)),2)</f>
        <v>3.4</v>
      </c>
      <c r="H22" s="475">
        <f t="shared" ref="H22:I22" si="25">J22-F22</f>
        <v>0</v>
      </c>
      <c r="I22" s="475">
        <f t="shared" si="25"/>
        <v>0</v>
      </c>
      <c r="J22" s="476">
        <f>ROUND(($B22*(1-E22)),2)</f>
        <v>170</v>
      </c>
      <c r="K22" s="476">
        <f>ROUND(($C22*(1-E22)),2)</f>
        <v>3.4</v>
      </c>
      <c r="L22" s="477" cm="1">
        <f t="array" ref="L22">SUMPRODUCT(--(Category="Ex_Cat_1"),--(OpCo="Express"),--(Intl="International"),--(SC_Cat=$A22),(SC_Count))</f>
        <v>0</v>
      </c>
      <c r="M22" s="476">
        <f>L22*F22</f>
        <v>0</v>
      </c>
      <c r="N22" s="476">
        <f t="shared" ref="N22" si="26">O22-M22</f>
        <v>0</v>
      </c>
      <c r="O22" s="476">
        <f t="shared" ref="O22" si="27">L22*J22</f>
        <v>0</v>
      </c>
      <c r="P22" s="277" cm="1">
        <f t="array" ref="P22">SUMPRODUCT(--(D_Category="Ex_Cat_2"),--(D_EffDate="Eff_Date_1"),--(D_Product="EE"),--(D_SC_Name=$A22),--(D_Zone="All"),(D_Percent))</f>
        <v>0</v>
      </c>
      <c r="Q22" s="277" cm="1">
        <f t="array" ref="Q22">SUMPRODUCT(--(D_Category="Ex_Cat_2"),--(D_EffDate="Eff_Date_2"),--(D_Product="EE"),--(D_SC_Name=$A22),--(D_Zone="All"),(D_Percent))</f>
        <v>0</v>
      </c>
      <c r="R22" s="476">
        <f>ROUND(($B22*(1-P22)),2)</f>
        <v>170</v>
      </c>
      <c r="S22" s="476">
        <f>ROUND(($C22*(1-P22)),2)</f>
        <v>3.4</v>
      </c>
      <c r="T22" s="475">
        <f t="shared" ref="T22:U22" si="28">V22-R22</f>
        <v>0</v>
      </c>
      <c r="U22" s="475">
        <f t="shared" si="28"/>
        <v>0</v>
      </c>
      <c r="V22" s="476">
        <f>ROUND(($B22*(1-Q22)),2)</f>
        <v>170</v>
      </c>
      <c r="W22" s="476">
        <f>ROUND(($C22*(1-Q22)),2)</f>
        <v>3.4</v>
      </c>
      <c r="X22" s="477" cm="1">
        <f t="array" ref="X22">SUMPRODUCT(--(Category="Ex_Cat_2"),--(OpCo="Express"),--(Intl="International"),--(SC_Cat=$A22),(SC_Count))</f>
        <v>0</v>
      </c>
      <c r="Y22" s="476">
        <f>X22*R22</f>
        <v>0</v>
      </c>
      <c r="Z22" s="476">
        <f t="shared" ref="Z22" si="29">AA22-Y22</f>
        <v>0</v>
      </c>
      <c r="AA22" s="476">
        <f t="shared" ref="AA22" si="30">X22*V22</f>
        <v>0</v>
      </c>
      <c r="AB22" s="279" cm="1">
        <f t="array" ref="AB22">SUMPRODUCT(--(D_Category="Ex_Cat_3"),--(D_EffDate="Eff_Date_1"),--(D_Product="EE"),--(D_SC_Name=$A22),--(D_Zone="All"),(D_Percent))</f>
        <v>0</v>
      </c>
      <c r="AC22" s="279" cm="1">
        <f t="array" ref="AC22">SUMPRODUCT(--(D_Category="Ex_Cat_3"),--(D_EffDate="Eff_Date_2"),--(D_Product="EE"),--(D_SC_Name=$A22),--(D_Zone="All"),(D_Percent))</f>
        <v>0</v>
      </c>
      <c r="AD22" s="476">
        <f>ROUND(($B22*(1-AB22)),2)</f>
        <v>170</v>
      </c>
      <c r="AE22" s="476">
        <f>ROUND(($C22*(1-AB22)),2)</f>
        <v>3.4</v>
      </c>
      <c r="AF22" s="475">
        <f t="shared" ref="AF22" si="31">AH22-AD22</f>
        <v>0</v>
      </c>
      <c r="AG22" s="475">
        <f>AI22-AE22</f>
        <v>0</v>
      </c>
      <c r="AH22" s="476">
        <f>ROUND(($B22*(1-AC22)),2)</f>
        <v>170</v>
      </c>
      <c r="AI22" s="476">
        <f>ROUND(($C22*(1-AC22)),2)</f>
        <v>3.4</v>
      </c>
      <c r="AJ22" s="477" cm="1">
        <f t="array" ref="AJ22">SUMPRODUCT(--(Category="Ex_Cat_3"),--(OpCo="Express"),--(Intl="International"),--(SC_Cat=$A22),(SC_Count))</f>
        <v>0</v>
      </c>
      <c r="AK22" s="476">
        <f>AJ22*AD22</f>
        <v>0</v>
      </c>
      <c r="AL22" s="476">
        <f t="shared" ref="AL22" si="32">AM22-AK22</f>
        <v>0</v>
      </c>
      <c r="AM22" s="476">
        <f t="shared" ref="AM22" si="33">AJ22*AH22</f>
        <v>0</v>
      </c>
    </row>
    <row r="23" spans="1:39" ht="15.5" x14ac:dyDescent="0.35">
      <c r="A23" s="141" t="s">
        <v>955</v>
      </c>
      <c r="B23" s="144"/>
      <c r="C23" s="144"/>
      <c r="D23" s="272"/>
      <c r="E23" s="272"/>
      <c r="F23" s="69"/>
      <c r="G23" s="69"/>
      <c r="H23" s="144"/>
      <c r="I23" s="144"/>
      <c r="J23" s="69"/>
      <c r="K23" s="69"/>
      <c r="L23" s="157"/>
      <c r="M23" s="69"/>
      <c r="N23" s="69"/>
      <c r="O23" s="69"/>
      <c r="P23" s="277"/>
      <c r="Q23" s="277"/>
      <c r="R23" s="69"/>
      <c r="S23" s="69"/>
      <c r="T23" s="144"/>
      <c r="U23" s="144"/>
      <c r="V23" s="69"/>
      <c r="W23" s="69"/>
      <c r="X23" s="157"/>
      <c r="Y23" s="69"/>
      <c r="Z23" s="69"/>
      <c r="AA23" s="69"/>
      <c r="AB23" s="279"/>
      <c r="AC23" s="279"/>
      <c r="AD23" s="69"/>
      <c r="AE23" s="69"/>
      <c r="AF23" s="144">
        <f t="shared" si="20"/>
        <v>0</v>
      </c>
      <c r="AG23" s="144"/>
      <c r="AH23" s="69"/>
      <c r="AI23" s="69"/>
      <c r="AJ23" s="157"/>
      <c r="AK23" s="69"/>
      <c r="AL23" s="69"/>
      <c r="AM23" s="69"/>
    </row>
    <row r="24" spans="1:39" ht="15.5" x14ac:dyDescent="0.35">
      <c r="A24" s="143" t="s">
        <v>956</v>
      </c>
      <c r="B24" s="144">
        <v>4.45</v>
      </c>
      <c r="C24" s="144"/>
      <c r="D24" s="272" cm="1">
        <f t="array" ref="D24">SUMPRODUCT(--(D_Category="Ex_Cat_1"),--(D_EffDate="Eff_Date_1"),--(D_Product="EE"),--(D_SC_Name=$A24),--(D_Zone="All"),(D_Percent))</f>
        <v>0</v>
      </c>
      <c r="E24" s="272" cm="1">
        <f t="array" ref="E24">SUMPRODUCT(--(D_Category="Ex_Cat_1"),--(D_EffDate="Eff_Date_2"),--(D_Product="EE"),--(D_SC_Name=$A24),--(D_Zone="All"),(D_Percent))</f>
        <v>0</v>
      </c>
      <c r="F24" s="69">
        <f>ROUND(($B24*(1-D24)),2)</f>
        <v>4.45</v>
      </c>
      <c r="G24" s="69"/>
      <c r="H24" s="144">
        <f t="shared" si="0"/>
        <v>0</v>
      </c>
      <c r="I24" s="144"/>
      <c r="J24" s="69">
        <f>ROUND(($B24*(1-E24)),2)</f>
        <v>4.45</v>
      </c>
      <c r="K24" s="69"/>
      <c r="L24" s="157" cm="1">
        <f t="array" ref="L24">SUMPRODUCT(--(Category="Ex_Cat_1"),--(OpCo="Express"),--(Intl="International"),--(SC_Name=$A24),(SC_Count))</f>
        <v>0</v>
      </c>
      <c r="M24" s="69">
        <f>L24*F24</f>
        <v>0</v>
      </c>
      <c r="N24" s="69">
        <f t="shared" si="1"/>
        <v>0</v>
      </c>
      <c r="O24" s="69">
        <f t="shared" si="2"/>
        <v>0</v>
      </c>
      <c r="P24" s="277" cm="1">
        <f t="array" ref="P24">SUMPRODUCT(--(D_Category="Ex_Cat_2"),--(D_EffDate="Eff_Date_1"),--(D_Product="EE"),--(D_SC_Name=$A24),--(D_Zone="All"),(D_Percent))</f>
        <v>0</v>
      </c>
      <c r="Q24" s="277" cm="1">
        <f t="array" ref="Q24">SUMPRODUCT(--(D_Category="Ex_Cat_2"),--(D_EffDate="Eff_Date_2"),--(D_Product="EE"),--(D_SC_Name=$A24),--(D_Zone="All"),(D_Percent))</f>
        <v>0</v>
      </c>
      <c r="R24" s="69">
        <f>ROUND(($B24*(1-P24)),2)</f>
        <v>4.45</v>
      </c>
      <c r="S24" s="69"/>
      <c r="T24" s="144">
        <f t="shared" si="19"/>
        <v>0</v>
      </c>
      <c r="U24" s="144"/>
      <c r="V24" s="69">
        <f>ROUND(($B24*(1-Q24)),2)</f>
        <v>4.45</v>
      </c>
      <c r="W24" s="69"/>
      <c r="X24" s="157" cm="1">
        <f t="array" ref="X24">SUMPRODUCT(--(Category="Ex_Cat_2"),--(OpCo="Express"),--(Intl="International"),--(SC_Name=$A24),(SC_Count))</f>
        <v>0</v>
      </c>
      <c r="Y24" s="69">
        <f>X24*R24</f>
        <v>0</v>
      </c>
      <c r="Z24" s="69">
        <f t="shared" si="4"/>
        <v>0</v>
      </c>
      <c r="AA24" s="69">
        <f t="shared" ref="AA24:AA26" si="34">X24*V24</f>
        <v>0</v>
      </c>
      <c r="AB24" s="279" cm="1">
        <f t="array" ref="AB24">SUMPRODUCT(--(D_Category="Ex_Cat_3"),--(D_EffDate="Eff_Date_1"),--(D_Product="EE"),--(D_SC_Name=$A24),--(D_Zone="All"),(D_Percent))</f>
        <v>0</v>
      </c>
      <c r="AC24" s="279" cm="1">
        <f t="array" ref="AC24">SUMPRODUCT(--(D_Category="Ex_Cat_3"),--(D_EffDate="Eff_Date_2"),--(D_Product="EE"),--(D_SC_Name=$A24),--(D_Zone="All"),(D_Percent))</f>
        <v>0</v>
      </c>
      <c r="AD24" s="69">
        <f>ROUND(($B24*(1-AB24)),2)</f>
        <v>4.45</v>
      </c>
      <c r="AE24" s="69">
        <f>ROUND(($C24*(1-AB24)),2)</f>
        <v>0</v>
      </c>
      <c r="AF24" s="144">
        <f t="shared" si="20"/>
        <v>0</v>
      </c>
      <c r="AG24" s="144"/>
      <c r="AH24" s="69">
        <f>ROUND(($B24*(1-AC24)),2)</f>
        <v>4.45</v>
      </c>
      <c r="AI24" s="69">
        <f>ROUND(($C24*(1-AC24)),2)</f>
        <v>0</v>
      </c>
      <c r="AJ24" s="157" cm="1">
        <f t="array" ref="AJ24">SUMPRODUCT(--(Category="Ex_Cat_3"),--(OpCo="Express"),--(Intl="International"),--(SC_Name=$A24),(SC_Count))</f>
        <v>0</v>
      </c>
      <c r="AK24" s="69">
        <f>AJ24*AD24</f>
        <v>0</v>
      </c>
      <c r="AL24" s="69">
        <f t="shared" si="7"/>
        <v>0</v>
      </c>
      <c r="AM24" s="69">
        <f t="shared" ref="AM24:AM26" si="35">AJ24*AH24</f>
        <v>0</v>
      </c>
    </row>
    <row r="25" spans="1:39" ht="15.5" x14ac:dyDescent="0.35">
      <c r="A25" s="143" t="s">
        <v>957</v>
      </c>
      <c r="B25" s="144">
        <v>49</v>
      </c>
      <c r="C25" s="144">
        <v>0.52</v>
      </c>
      <c r="D25" s="272" cm="1">
        <f t="array" ref="D25">SUMPRODUCT(--(D_Category="Ex_Cat_1"),--(D_EffDate="Eff_Date_1"),--(D_Product="EE"),--(D_SC_Name=$A25),--(D_Zone="All"),(D_Percent))</f>
        <v>0</v>
      </c>
      <c r="E25" s="272" cm="1">
        <f t="array" ref="E25">SUMPRODUCT(--(D_Category="Ex_Cat_1"),--(D_EffDate="Eff_Date_2"),--(D_Product="EE"),--(D_SC_Name=$A25),--(D_Zone="All"),(D_Percent))</f>
        <v>0</v>
      </c>
      <c r="F25" s="69">
        <f>ROUND(($B25*(1-D25)),2)</f>
        <v>49</v>
      </c>
      <c r="G25" s="69">
        <f>ROUND(($C25*(1-D25)),2)</f>
        <v>0.52</v>
      </c>
      <c r="H25" s="144">
        <f t="shared" si="0"/>
        <v>0</v>
      </c>
      <c r="I25" s="144">
        <f t="shared" ref="I25:I26" si="36">K25-G25</f>
        <v>0</v>
      </c>
      <c r="J25" s="69">
        <f>ROUND(($B25*(1-E25)),2)</f>
        <v>49</v>
      </c>
      <c r="K25" s="69">
        <f>ROUND(($C25*(1-E25)),2)</f>
        <v>0.52</v>
      </c>
      <c r="L25" s="157" cm="1">
        <f t="array" ref="L25">SUMPRODUCT(--(Category="Ex_Cat_1"),--(OpCo="Express"),--(Intl="International"),--(SC_Name=$A25),(SC_Count))</f>
        <v>0</v>
      </c>
      <c r="M25" s="69">
        <f>L25*F25</f>
        <v>0</v>
      </c>
      <c r="N25" s="69">
        <f t="shared" si="1"/>
        <v>0</v>
      </c>
      <c r="O25" s="69">
        <f t="shared" si="2"/>
        <v>0</v>
      </c>
      <c r="P25" s="277" cm="1">
        <f t="array" ref="P25">SUMPRODUCT(--(D_Category="Ex_Cat_2"),--(D_EffDate="Eff_Date_1"),--(D_Product="EE"),--(D_SC_Name=$A25),--(D_Zone="All"),(D_Percent))</f>
        <v>0</v>
      </c>
      <c r="Q25" s="277" cm="1">
        <f t="array" ref="Q25">SUMPRODUCT(--(D_Category="Ex_Cat_2"),--(D_EffDate="Eff_Date_2"),--(D_Product="EE"),--(D_SC_Name=$A25),--(D_Zone="All"),(D_Percent))</f>
        <v>0</v>
      </c>
      <c r="R25" s="69">
        <f>ROUND(($B25*(1-P25)),2)</f>
        <v>49</v>
      </c>
      <c r="S25" s="69">
        <f>ROUND(($C25*(1-P25)),2)</f>
        <v>0.52</v>
      </c>
      <c r="T25" s="144">
        <f t="shared" si="19"/>
        <v>0</v>
      </c>
      <c r="U25" s="144">
        <f t="shared" ref="U25:U26" si="37">W25-S25</f>
        <v>0</v>
      </c>
      <c r="V25" s="69">
        <f>ROUND(($B25*(1-Q25)),2)</f>
        <v>49</v>
      </c>
      <c r="W25" s="69">
        <f>ROUND(($C25*(1-Q25)),2)</f>
        <v>0.52</v>
      </c>
      <c r="X25" s="157" cm="1">
        <f t="array" ref="X25">SUMPRODUCT(--(Category="Ex_Cat_2"),--(OpCo="Express"),--(Intl="International"),--(SC_Name=$A25),(SC_Count))</f>
        <v>0</v>
      </c>
      <c r="Y25" s="69">
        <f>X25*R25</f>
        <v>0</v>
      </c>
      <c r="Z25" s="69">
        <f t="shared" si="4"/>
        <v>0</v>
      </c>
      <c r="AA25" s="69">
        <f t="shared" si="34"/>
        <v>0</v>
      </c>
      <c r="AB25" s="279" cm="1">
        <f t="array" ref="AB25">SUMPRODUCT(--(D_Category="Ex_Cat_3"),--(D_EffDate="Eff_Date_1"),--(D_Product="EE"),--(D_SC_Name=$A25),--(D_Zone="All"),(D_Percent))</f>
        <v>0</v>
      </c>
      <c r="AC25" s="279" cm="1">
        <f t="array" ref="AC25">SUMPRODUCT(--(D_Category="Ex_Cat_3"),--(D_EffDate="Eff_Date_2"),--(D_Product="EE"),--(D_SC_Name=$A25),--(D_Zone="All"),(D_Percent))</f>
        <v>0</v>
      </c>
      <c r="AD25" s="69">
        <f>ROUND(($B25*(1-AB25)),2)</f>
        <v>49</v>
      </c>
      <c r="AE25" s="69">
        <f>ROUND(($C25*(1-AB25)),2)</f>
        <v>0.52</v>
      </c>
      <c r="AF25" s="144">
        <f t="shared" si="20"/>
        <v>0</v>
      </c>
      <c r="AG25" s="144">
        <f t="shared" ref="AG25:AG26" si="38">AI25-AE25</f>
        <v>0</v>
      </c>
      <c r="AH25" s="69">
        <f>ROUND(($B25*(1-AC25)),2)</f>
        <v>49</v>
      </c>
      <c r="AI25" s="69">
        <f>ROUND(($C25*(1-AC25)),2)</f>
        <v>0.52</v>
      </c>
      <c r="AJ25" s="157" cm="1">
        <f t="array" ref="AJ25">SUMPRODUCT(--(Category="Ex_Cat_3"),--(OpCo="Express"),--(Intl="International"),--(SC_Name=$A25),(SC_Count))</f>
        <v>0</v>
      </c>
      <c r="AK25" s="69">
        <f>AJ25*AD25</f>
        <v>0</v>
      </c>
      <c r="AL25" s="69">
        <f t="shared" si="7"/>
        <v>0</v>
      </c>
      <c r="AM25" s="69">
        <f t="shared" si="35"/>
        <v>0</v>
      </c>
    </row>
    <row r="26" spans="1:39" ht="15.5" x14ac:dyDescent="0.35">
      <c r="A26" s="143" t="s">
        <v>958</v>
      </c>
      <c r="B26" s="144">
        <v>68</v>
      </c>
      <c r="C26" s="144">
        <v>0.68</v>
      </c>
      <c r="D26" s="272" cm="1">
        <f t="array" ref="D26">SUMPRODUCT(--(D_Category="Ex_Cat_1"),--(D_EffDate="Eff_Date_1"),--(D_Product="EE"),--(D_SC_Name=$A26),--(D_Zone="All"),(D_Percent))</f>
        <v>0</v>
      </c>
      <c r="E26" s="272" cm="1">
        <f t="array" ref="E26">SUMPRODUCT(--(D_Category="Ex_Cat_1"),--(D_EffDate="Eff_Date_2"),--(D_Product="EE"),--(D_SC_Name=$A26),--(D_Zone="All"),(D_Percent))</f>
        <v>0</v>
      </c>
      <c r="F26" s="69">
        <f>ROUND(($B26*(1-D26)),2)</f>
        <v>68</v>
      </c>
      <c r="G26" s="69">
        <f>ROUND(($C26*(1-D26)),2)</f>
        <v>0.68</v>
      </c>
      <c r="H26" s="144">
        <f t="shared" si="0"/>
        <v>0</v>
      </c>
      <c r="I26" s="144">
        <f t="shared" si="36"/>
        <v>0</v>
      </c>
      <c r="J26" s="69">
        <f>ROUND(($B26*(1-E26)),2)</f>
        <v>68</v>
      </c>
      <c r="K26" s="69">
        <f>ROUND(($C26*(1-E26)),2)</f>
        <v>0.68</v>
      </c>
      <c r="L26" s="157" cm="1">
        <f t="array" ref="L26">SUMPRODUCT(--(Category="Ex_Cat_1"),--(OpCo="Express"),--(Intl="International"),--(SC_Name=$A26),(SC_Count))</f>
        <v>0</v>
      </c>
      <c r="M26" s="69">
        <f>L26*F26</f>
        <v>0</v>
      </c>
      <c r="N26" s="69">
        <f t="shared" si="1"/>
        <v>0</v>
      </c>
      <c r="O26" s="69">
        <f t="shared" si="2"/>
        <v>0</v>
      </c>
      <c r="P26" s="277" cm="1">
        <f t="array" ref="P26">SUMPRODUCT(--(D_Category="Ex_Cat_2"),--(D_EffDate="Eff_Date_1"),--(D_Product="EE"),--(D_SC_Name=$A26),--(D_Zone="All"),(D_Percent))</f>
        <v>0</v>
      </c>
      <c r="Q26" s="277" cm="1">
        <f t="array" ref="Q26">SUMPRODUCT(--(D_Category="Ex_Cat_2"),--(D_EffDate="Eff_Date_2"),--(D_Product="EE"),--(D_SC_Name=$A26),--(D_Zone="All"),(D_Percent))</f>
        <v>0</v>
      </c>
      <c r="R26" s="69">
        <f>ROUND(($B26*(1-P26)),2)</f>
        <v>68</v>
      </c>
      <c r="S26" s="69">
        <f>ROUND(($C26*(1-P26)),2)</f>
        <v>0.68</v>
      </c>
      <c r="T26" s="144">
        <f t="shared" si="19"/>
        <v>0</v>
      </c>
      <c r="U26" s="144">
        <f t="shared" si="37"/>
        <v>0</v>
      </c>
      <c r="V26" s="69">
        <f>ROUND(($B26*(1-Q26)),2)</f>
        <v>68</v>
      </c>
      <c r="W26" s="69">
        <f>ROUND(($C26*(1-Q26)),2)</f>
        <v>0.68</v>
      </c>
      <c r="X26" s="157" cm="1">
        <f t="array" ref="X26">SUMPRODUCT(--(Category="Ex_Cat_2"),--(OpCo="Express"),--(Intl="International"),--(SC_Name=$A26),(SC_Count))</f>
        <v>0</v>
      </c>
      <c r="Y26" s="69">
        <f>X26*R26</f>
        <v>0</v>
      </c>
      <c r="Z26" s="69">
        <f t="shared" si="4"/>
        <v>0</v>
      </c>
      <c r="AA26" s="69">
        <f t="shared" si="34"/>
        <v>0</v>
      </c>
      <c r="AB26" s="279" cm="1">
        <f t="array" ref="AB26">SUMPRODUCT(--(D_Category="Ex_Cat_3"),--(D_EffDate="Eff_Date_1"),--(D_Product="EE"),--(D_SC_Name=$A26),--(D_Zone="All"),(D_Percent))</f>
        <v>0</v>
      </c>
      <c r="AC26" s="279" cm="1">
        <f t="array" ref="AC26">SUMPRODUCT(--(D_Category="Ex_Cat_3"),--(D_EffDate="Eff_Date_2"),--(D_Product="EE"),--(D_SC_Name=$A26),--(D_Zone="All"),(D_Percent))</f>
        <v>0</v>
      </c>
      <c r="AD26" s="69">
        <f>ROUND(($B26*(1-AB26)),2)</f>
        <v>68</v>
      </c>
      <c r="AE26" s="69">
        <f>ROUND(($C26*(1-AB26)),2)</f>
        <v>0.68</v>
      </c>
      <c r="AF26" s="144">
        <f t="shared" si="20"/>
        <v>0</v>
      </c>
      <c r="AG26" s="144">
        <f t="shared" si="38"/>
        <v>0</v>
      </c>
      <c r="AH26" s="69">
        <f>ROUND(($B26*(1-AC26)),2)</f>
        <v>68</v>
      </c>
      <c r="AI26" s="69">
        <f>ROUND(($C26*(1-AC26)),2)</f>
        <v>0.68</v>
      </c>
      <c r="AJ26" s="157" cm="1">
        <f t="array" ref="AJ26">SUMPRODUCT(--(Category="Ex_Cat_3"),--(OpCo="Express"),--(Intl="International"),--(SC_Name=$A26),(SC_Count))</f>
        <v>0</v>
      </c>
      <c r="AK26" s="69">
        <f>AJ26*AD26</f>
        <v>0</v>
      </c>
      <c r="AL26" s="69">
        <f t="shared" si="7"/>
        <v>0</v>
      </c>
      <c r="AM26" s="69">
        <f t="shared" si="35"/>
        <v>0</v>
      </c>
    </row>
    <row r="27" spans="1:39" ht="15.5" x14ac:dyDescent="0.35">
      <c r="A27" s="478" t="s">
        <v>959</v>
      </c>
      <c r="B27" s="475"/>
      <c r="C27" s="475"/>
      <c r="D27" s="272"/>
      <c r="E27" s="272"/>
      <c r="F27" s="476"/>
      <c r="G27" s="476"/>
      <c r="H27" s="475">
        <f t="shared" si="0"/>
        <v>0</v>
      </c>
      <c r="I27" s="475"/>
      <c r="J27" s="476"/>
      <c r="K27" s="476"/>
      <c r="L27" s="480"/>
      <c r="M27" s="476"/>
      <c r="N27" s="476"/>
      <c r="O27" s="476"/>
      <c r="P27" s="277"/>
      <c r="Q27" s="277"/>
      <c r="R27" s="476"/>
      <c r="S27" s="476"/>
      <c r="T27" s="475">
        <f t="shared" si="19"/>
        <v>0</v>
      </c>
      <c r="U27" s="475"/>
      <c r="V27" s="476"/>
      <c r="W27" s="476"/>
      <c r="X27" s="480"/>
      <c r="Y27" s="476"/>
      <c r="Z27" s="476"/>
      <c r="AA27" s="476"/>
      <c r="AB27" s="279"/>
      <c r="AC27" s="279"/>
      <c r="AD27" s="476"/>
      <c r="AE27" s="476"/>
      <c r="AF27" s="475">
        <f t="shared" si="20"/>
        <v>0</v>
      </c>
      <c r="AG27" s="475"/>
      <c r="AH27" s="476"/>
      <c r="AI27" s="476"/>
      <c r="AJ27" s="480"/>
      <c r="AK27" s="476"/>
      <c r="AL27" s="476"/>
      <c r="AM27" s="476"/>
    </row>
    <row r="28" spans="1:39" ht="15.5" x14ac:dyDescent="0.35">
      <c r="A28" s="479" t="s">
        <v>960</v>
      </c>
      <c r="B28" s="475">
        <v>4.45</v>
      </c>
      <c r="C28" s="475"/>
      <c r="D28" s="272" cm="1">
        <f t="array" ref="D28">SUMPRODUCT(--(D_Category="Ex_Cat_1"),--(D_EffDate="Eff_Date_1"),--(D_Product="EE"),--(D_SC_Name=$A28),--(D_Zone="All"),(D_Percent))</f>
        <v>0</v>
      </c>
      <c r="E28" s="272" cm="1">
        <f t="array" ref="E28">SUMPRODUCT(--(D_Category="Ex_Cat_1"),--(D_EffDate="Eff_Date_2"),--(D_Product="EE"),--(D_SC_Name=$A28),--(D_Zone="All"),(D_Percent))</f>
        <v>0</v>
      </c>
      <c r="F28" s="476">
        <f t="shared" ref="F28:F34" si="39">ROUND(($B28*(1-D28)),2)</f>
        <v>4.45</v>
      </c>
      <c r="G28" s="476"/>
      <c r="H28" s="475">
        <f t="shared" si="0"/>
        <v>0</v>
      </c>
      <c r="I28" s="475"/>
      <c r="J28" s="476">
        <f t="shared" ref="J28:J34" si="40">ROUND(($B28*(1-E28)),2)</f>
        <v>4.45</v>
      </c>
      <c r="K28" s="476"/>
      <c r="L28" s="480" cm="1">
        <f t="array" ref="L28">SUMPRODUCT(--(Category="Ex_Cat_1"),--(OpCo="Express"),--(Intl="International"),--(SC_Name=$A28),(SC_Count))</f>
        <v>0</v>
      </c>
      <c r="M28" s="476">
        <f t="shared" ref="M28:M34" si="41">L28*F28</f>
        <v>0</v>
      </c>
      <c r="N28" s="476">
        <f t="shared" si="1"/>
        <v>0</v>
      </c>
      <c r="O28" s="476">
        <f t="shared" si="2"/>
        <v>0</v>
      </c>
      <c r="P28" s="277" cm="1">
        <f t="array" ref="P28">SUMPRODUCT(--(D_Category="Ex_Cat_2"),--(D_EffDate="Eff_Date_1"),--(D_Product="EE"),--(D_SC_Name=$A28),--(D_Zone="All"),(D_Percent))</f>
        <v>0</v>
      </c>
      <c r="Q28" s="277" cm="1">
        <f t="array" ref="Q28">SUMPRODUCT(--(D_Category="Ex_Cat_2"),--(D_EffDate="Eff_Date_2"),--(D_Product="EE"),--(D_SC_Name=$A28),--(D_Zone="All"),(D_Percent))</f>
        <v>0</v>
      </c>
      <c r="R28" s="476">
        <f t="shared" ref="R28:R34" si="42">ROUND(($B28*(1-P28)),2)</f>
        <v>4.45</v>
      </c>
      <c r="S28" s="476"/>
      <c r="T28" s="475">
        <f t="shared" si="19"/>
        <v>0</v>
      </c>
      <c r="U28" s="475"/>
      <c r="V28" s="476">
        <f t="shared" ref="V28:V34" si="43">ROUND(($B28*(1-Q28)),2)</f>
        <v>4.45</v>
      </c>
      <c r="W28" s="476"/>
      <c r="X28" s="480" cm="1">
        <f t="array" ref="X28">SUMPRODUCT(--(Category="Ex_Cat_2"),--(OpCo="Express"),--(Intl="International"),--(SC_Name=$A28),(SC_Count))</f>
        <v>0</v>
      </c>
      <c r="Y28" s="476">
        <f t="shared" ref="Y28:Y34" si="44">X28*R28</f>
        <v>0</v>
      </c>
      <c r="Z28" s="476">
        <f t="shared" si="4"/>
        <v>0</v>
      </c>
      <c r="AA28" s="476">
        <f t="shared" ref="AA28:AA34" si="45">X28*V28</f>
        <v>0</v>
      </c>
      <c r="AB28" s="279" cm="1">
        <f t="array" ref="AB28">SUMPRODUCT(--(D_Category="Ex_Cat_3"),--(D_EffDate="Eff_Date_1"),--(D_Product="EE"),--(D_SC_Name=$A28),--(D_Zone="All"),(D_Percent))</f>
        <v>0</v>
      </c>
      <c r="AC28" s="279" cm="1">
        <f t="array" ref="AC28">SUMPRODUCT(--(D_Category="Ex_Cat_3"),--(D_EffDate="Eff_Date_2"),--(D_Product="EE"),--(D_SC_Name=$A28),--(D_Zone="All"),(D_Percent))</f>
        <v>0</v>
      </c>
      <c r="AD28" s="476">
        <f t="shared" ref="AD28:AD34" si="46">ROUND(($B28*(1-AB28)),2)</f>
        <v>4.45</v>
      </c>
      <c r="AE28" s="476"/>
      <c r="AF28" s="475">
        <f t="shared" si="20"/>
        <v>0</v>
      </c>
      <c r="AG28" s="475"/>
      <c r="AH28" s="476">
        <f t="shared" ref="AH28:AH34" si="47">ROUND(($B28*(1-AC28)),2)</f>
        <v>4.45</v>
      </c>
      <c r="AI28" s="476"/>
      <c r="AJ28" s="480" cm="1">
        <f t="array" ref="AJ28">SUMPRODUCT(--(Category="Ex_Cat_3"),--(OpCo="Express"),--(Intl="International"),--(SC_Name=$A28),(SC_Count))</f>
        <v>0</v>
      </c>
      <c r="AK28" s="476">
        <f t="shared" ref="AK28:AK34" si="48">AJ28*AD28</f>
        <v>0</v>
      </c>
      <c r="AL28" s="476">
        <f t="shared" si="7"/>
        <v>0</v>
      </c>
      <c r="AM28" s="476">
        <f t="shared" ref="AM28:AM34" si="49">AJ28*AH28</f>
        <v>0</v>
      </c>
    </row>
    <row r="29" spans="1:39" ht="15.5" x14ac:dyDescent="0.35">
      <c r="A29" s="479" t="s">
        <v>961</v>
      </c>
      <c r="B29" s="475">
        <v>49</v>
      </c>
      <c r="C29" s="475">
        <v>0.52</v>
      </c>
      <c r="D29" s="272" cm="1">
        <f t="array" ref="D29">SUMPRODUCT(--(D_Category="Ex_Cat_1"),--(D_EffDate="Eff_Date_1"),--(D_Product="EE"),--(D_SC_Name=$A29),--(D_Zone="All"),(D_Percent))</f>
        <v>0</v>
      </c>
      <c r="E29" s="272" cm="1">
        <f t="array" ref="E29">SUMPRODUCT(--(D_Category="Ex_Cat_1"),--(D_EffDate="Eff_Date_2"),--(D_Product="EE"),--(D_SC_Name=$A29),--(D_Zone="All"),(D_Percent))</f>
        <v>0</v>
      </c>
      <c r="F29" s="476">
        <f t="shared" si="39"/>
        <v>49</v>
      </c>
      <c r="G29" s="476">
        <f>ROUND(($C29*(1-D29)),2)</f>
        <v>0.52</v>
      </c>
      <c r="H29" s="475">
        <f t="shared" si="0"/>
        <v>0</v>
      </c>
      <c r="I29" s="475">
        <f t="shared" ref="I29:I30" si="50">K29-G29</f>
        <v>0</v>
      </c>
      <c r="J29" s="476">
        <f t="shared" si="40"/>
        <v>49</v>
      </c>
      <c r="K29" s="476">
        <f>ROUND(($C29*(1-E29)),2)</f>
        <v>0.52</v>
      </c>
      <c r="L29" s="480" cm="1">
        <f t="array" ref="L29">SUMPRODUCT(--(Category="Ex_Cat_1"),--(OpCo="Express"),--(Intl="International"),--(SC_Name=$A29),(SC_Count))</f>
        <v>0</v>
      </c>
      <c r="M29" s="476">
        <f t="shared" si="41"/>
        <v>0</v>
      </c>
      <c r="N29" s="476">
        <f t="shared" si="1"/>
        <v>0</v>
      </c>
      <c r="O29" s="476">
        <f t="shared" si="2"/>
        <v>0</v>
      </c>
      <c r="P29" s="277" cm="1">
        <f t="array" ref="P29">SUMPRODUCT(--(D_Category="Ex_Cat_2"),--(D_EffDate="Eff_Date_1"),--(D_Product="EE"),--(D_SC_Name=$A29),--(D_Zone="All"),(D_Percent))</f>
        <v>0</v>
      </c>
      <c r="Q29" s="277" cm="1">
        <f t="array" ref="Q29">SUMPRODUCT(--(D_Category="Ex_Cat_2"),--(D_EffDate="Eff_Date_2"),--(D_Product="EE"),--(D_SC_Name=$A29),--(D_Zone="All"),(D_Percent))</f>
        <v>0</v>
      </c>
      <c r="R29" s="476">
        <f t="shared" si="42"/>
        <v>49</v>
      </c>
      <c r="S29" s="476">
        <f>ROUND(($C29*(1-P29)),2)</f>
        <v>0.52</v>
      </c>
      <c r="T29" s="475">
        <f t="shared" si="19"/>
        <v>0</v>
      </c>
      <c r="U29" s="475">
        <f t="shared" ref="U29:U30" si="51">W29-S29</f>
        <v>0</v>
      </c>
      <c r="V29" s="476">
        <f t="shared" si="43"/>
        <v>49</v>
      </c>
      <c r="W29" s="476">
        <f>ROUND(($C29*(1-Q29)),2)</f>
        <v>0.52</v>
      </c>
      <c r="X29" s="480" cm="1">
        <f t="array" ref="X29">SUMPRODUCT(--(Category="Ex_Cat_2"),--(OpCo="Express"),--(Intl="International"),--(SC_Name=$A29),(SC_Count))</f>
        <v>0</v>
      </c>
      <c r="Y29" s="476">
        <f t="shared" si="44"/>
        <v>0</v>
      </c>
      <c r="Z29" s="476">
        <f t="shared" si="4"/>
        <v>0</v>
      </c>
      <c r="AA29" s="476">
        <f t="shared" si="45"/>
        <v>0</v>
      </c>
      <c r="AB29" s="279" cm="1">
        <f t="array" ref="AB29">SUMPRODUCT(--(D_Category="Ex_Cat_3"),--(D_EffDate="Eff_Date_1"),--(D_Product="EE"),--(D_SC_Name=$A29),--(D_Zone="All"),(D_Percent))</f>
        <v>0</v>
      </c>
      <c r="AC29" s="279" cm="1">
        <f t="array" ref="AC29">SUMPRODUCT(--(D_Category="Ex_Cat_3"),--(D_EffDate="Eff_Date_2"),--(D_Product="EE"),--(D_SC_Name=$A29),--(D_Zone="All"),(D_Percent))</f>
        <v>0</v>
      </c>
      <c r="AD29" s="476">
        <f t="shared" si="46"/>
        <v>49</v>
      </c>
      <c r="AE29" s="476">
        <f>ROUND(($C29*(1-AB29)),2)</f>
        <v>0.52</v>
      </c>
      <c r="AF29" s="475">
        <f t="shared" si="20"/>
        <v>0</v>
      </c>
      <c r="AG29" s="475">
        <f t="shared" ref="AG29:AG30" si="52">AI29-AE29</f>
        <v>0</v>
      </c>
      <c r="AH29" s="476">
        <f t="shared" si="47"/>
        <v>49</v>
      </c>
      <c r="AI29" s="476">
        <f>ROUND(($C29*(1-AC29)),2)</f>
        <v>0.52</v>
      </c>
      <c r="AJ29" s="480" cm="1">
        <f t="array" ref="AJ29">SUMPRODUCT(--(Category="Ex_Cat_3"),--(OpCo="Express"),--(Intl="International"),--(SC_Name=$A29),(SC_Count))</f>
        <v>0</v>
      </c>
      <c r="AK29" s="476">
        <f t="shared" si="48"/>
        <v>0</v>
      </c>
      <c r="AL29" s="476">
        <f t="shared" si="7"/>
        <v>0</v>
      </c>
      <c r="AM29" s="476">
        <f t="shared" si="49"/>
        <v>0</v>
      </c>
    </row>
    <row r="30" spans="1:39" ht="15.5" x14ac:dyDescent="0.35">
      <c r="A30" s="479" t="s">
        <v>962</v>
      </c>
      <c r="B30" s="475">
        <v>68</v>
      </c>
      <c r="C30" s="475">
        <v>0.68</v>
      </c>
      <c r="D30" s="272" cm="1">
        <f t="array" ref="D30">SUMPRODUCT(--(D_Category="Ex_Cat_1"),--(D_EffDate="Eff_Date_1"),--(D_Product="EE"),--(D_SC_Name=$A30),--(D_Zone="All"),(D_Percent))</f>
        <v>0</v>
      </c>
      <c r="E30" s="272" cm="1">
        <f t="array" ref="E30">SUMPRODUCT(--(D_Category="Ex_Cat_1"),--(D_EffDate="Eff_Date_2"),--(D_Product="EE"),--(D_SC_Name=$A30),--(D_Zone="All"),(D_Percent))</f>
        <v>0</v>
      </c>
      <c r="F30" s="476">
        <f t="shared" si="39"/>
        <v>68</v>
      </c>
      <c r="G30" s="476">
        <f>ROUND(($C30*(1-D30)),2)</f>
        <v>0.68</v>
      </c>
      <c r="H30" s="475">
        <f t="shared" si="0"/>
        <v>0</v>
      </c>
      <c r="I30" s="475">
        <f t="shared" si="50"/>
        <v>0</v>
      </c>
      <c r="J30" s="476">
        <f t="shared" si="40"/>
        <v>68</v>
      </c>
      <c r="K30" s="476">
        <f>ROUND(($C30*(1-E30)),2)</f>
        <v>0.68</v>
      </c>
      <c r="L30" s="480" cm="1">
        <f t="array" ref="L30">SUMPRODUCT(--(Category="Ex_Cat_1"),--(OpCo="Express"),--(Intl="International"),--(SC_Name=$A30),(SC_Count))</f>
        <v>0</v>
      </c>
      <c r="M30" s="476">
        <f t="shared" si="41"/>
        <v>0</v>
      </c>
      <c r="N30" s="476">
        <f t="shared" si="1"/>
        <v>0</v>
      </c>
      <c r="O30" s="476">
        <f t="shared" si="2"/>
        <v>0</v>
      </c>
      <c r="P30" s="277" cm="1">
        <f t="array" ref="P30">SUMPRODUCT(--(D_Category="Ex_Cat_2"),--(D_EffDate="Eff_Date_1"),--(D_Product="EE"),--(D_SC_Name=$A30),--(D_Zone="All"),(D_Percent))</f>
        <v>0</v>
      </c>
      <c r="Q30" s="277" cm="1">
        <f t="array" ref="Q30">SUMPRODUCT(--(D_Category="Ex_Cat_2"),--(D_EffDate="Eff_Date_2"),--(D_Product="EE"),--(D_SC_Name=$A30),--(D_Zone="All"),(D_Percent))</f>
        <v>0</v>
      </c>
      <c r="R30" s="476">
        <f t="shared" si="42"/>
        <v>68</v>
      </c>
      <c r="S30" s="476">
        <f>ROUND(($C30*(1-P30)),2)</f>
        <v>0.68</v>
      </c>
      <c r="T30" s="475">
        <f t="shared" si="19"/>
        <v>0</v>
      </c>
      <c r="U30" s="475">
        <f t="shared" si="51"/>
        <v>0</v>
      </c>
      <c r="V30" s="476">
        <f t="shared" si="43"/>
        <v>68</v>
      </c>
      <c r="W30" s="476">
        <f>ROUND(($C30*(1-Q30)),2)</f>
        <v>0.68</v>
      </c>
      <c r="X30" s="480" cm="1">
        <f t="array" ref="X30">SUMPRODUCT(--(Category="Ex_Cat_2"),--(OpCo="Express"),--(Intl="International"),--(SC_Name=$A30),(SC_Count))</f>
        <v>0</v>
      </c>
      <c r="Y30" s="476">
        <f t="shared" si="44"/>
        <v>0</v>
      </c>
      <c r="Z30" s="476">
        <f t="shared" si="4"/>
        <v>0</v>
      </c>
      <c r="AA30" s="476">
        <f t="shared" si="45"/>
        <v>0</v>
      </c>
      <c r="AB30" s="279" cm="1">
        <f t="array" ref="AB30">SUMPRODUCT(--(D_Category="Ex_Cat_3"),--(D_EffDate="Eff_Date_1"),--(D_Product="EE"),--(D_SC_Name=$A30),--(D_Zone="All"),(D_Percent))</f>
        <v>0</v>
      </c>
      <c r="AC30" s="279" cm="1">
        <f t="array" ref="AC30">SUMPRODUCT(--(D_Category="Ex_Cat_3"),--(D_EffDate="Eff_Date_2"),--(D_Product="EE"),--(D_SC_Name=$A30),--(D_Zone="All"),(D_Percent))</f>
        <v>0</v>
      </c>
      <c r="AD30" s="476">
        <f t="shared" si="46"/>
        <v>68</v>
      </c>
      <c r="AE30" s="476">
        <f>ROUND(($C30*(1-AB30)),2)</f>
        <v>0.68</v>
      </c>
      <c r="AF30" s="475">
        <f t="shared" si="20"/>
        <v>0</v>
      </c>
      <c r="AG30" s="475">
        <f t="shared" si="52"/>
        <v>0</v>
      </c>
      <c r="AH30" s="476">
        <f t="shared" si="47"/>
        <v>68</v>
      </c>
      <c r="AI30" s="476">
        <f>ROUND(($C30*(1-AC30)),2)</f>
        <v>0.68</v>
      </c>
      <c r="AJ30" s="480" cm="1">
        <f t="array" ref="AJ30">SUMPRODUCT(--(Category="Ex_Cat_3"),--(OpCo="Express"),--(Intl="International"),--(SC_Name=$A30),(SC_Count))</f>
        <v>0</v>
      </c>
      <c r="AK30" s="476">
        <f t="shared" si="48"/>
        <v>0</v>
      </c>
      <c r="AL30" s="476">
        <f t="shared" si="7"/>
        <v>0</v>
      </c>
      <c r="AM30" s="476">
        <f t="shared" si="49"/>
        <v>0</v>
      </c>
    </row>
    <row r="31" spans="1:39" x14ac:dyDescent="0.35">
      <c r="A31" s="141" t="s">
        <v>40</v>
      </c>
      <c r="B31" s="144">
        <v>208</v>
      </c>
      <c r="C31" s="144"/>
      <c r="D31" s="272" cm="1">
        <f t="array" ref="D31">SUMPRODUCT(--(D_Category="Ex_Cat_1"),--(D_EffDate="Eff_Date_1"),--(D_Product="EE"),--(D_SC_Name=$A31),--(D_Zone="All"),(D_Percent))</f>
        <v>0</v>
      </c>
      <c r="E31" s="272" cm="1">
        <f t="array" ref="E31">SUMPRODUCT(--(D_Category="Ex_Cat_1"),--(D_EffDate="Eff_Date_2"),--(D_Product="EE"),--(D_SC_Name=$A31),--(D_Zone="All"),(D_Percent))</f>
        <v>0</v>
      </c>
      <c r="F31" s="69">
        <f t="shared" si="39"/>
        <v>208</v>
      </c>
      <c r="G31" s="144"/>
      <c r="H31" s="144">
        <f t="shared" si="0"/>
        <v>0</v>
      </c>
      <c r="I31" s="144"/>
      <c r="J31" s="69">
        <f t="shared" si="40"/>
        <v>208</v>
      </c>
      <c r="K31" s="144"/>
      <c r="L31" s="74" cm="1">
        <f t="array" ref="L31">SUMPRODUCT(--(Category="Ex_Cat_1"),--(OpCo="Express"),--(Intl="International"),--(SC_Cat=$A31),(SC_Count))</f>
        <v>0</v>
      </c>
      <c r="M31" s="69">
        <f t="shared" si="41"/>
        <v>0</v>
      </c>
      <c r="N31" s="69">
        <f t="shared" si="1"/>
        <v>0</v>
      </c>
      <c r="O31" s="69">
        <f t="shared" si="2"/>
        <v>0</v>
      </c>
      <c r="P31" s="277" cm="1">
        <f t="array" ref="P31">SUMPRODUCT(--(D_Category="Ex_Cat_2"),--(D_EffDate="Eff_Date_1"),--(D_Product="EE"),--(D_SC_Name=$A31),--(D_Zone="All"),(D_Percent))</f>
        <v>0</v>
      </c>
      <c r="Q31" s="277" cm="1">
        <f t="array" ref="Q31">SUMPRODUCT(--(D_Category="Ex_Cat_2"),--(D_EffDate="Eff_Date_2"),--(D_Product="EE"),--(D_SC_Name=$A31),--(D_Zone="All"),(D_Percent))</f>
        <v>0</v>
      </c>
      <c r="R31" s="69">
        <f t="shared" si="42"/>
        <v>208</v>
      </c>
      <c r="S31" s="144"/>
      <c r="T31" s="144">
        <f t="shared" si="19"/>
        <v>0</v>
      </c>
      <c r="U31" s="144"/>
      <c r="V31" s="69">
        <f t="shared" si="43"/>
        <v>208</v>
      </c>
      <c r="W31" s="144"/>
      <c r="X31" s="74" cm="1">
        <f t="array" ref="X31">SUMPRODUCT(--(Category="Ex_Cat_2"),--(OpCo="Express"),--(Intl="International"),--(SC_Cat=$A31),(SC_Count))</f>
        <v>0</v>
      </c>
      <c r="Y31" s="69">
        <f t="shared" si="44"/>
        <v>0</v>
      </c>
      <c r="Z31" s="69">
        <f t="shared" si="4"/>
        <v>0</v>
      </c>
      <c r="AA31" s="69">
        <f t="shared" si="45"/>
        <v>0</v>
      </c>
      <c r="AB31" s="279" cm="1">
        <f t="array" ref="AB31">SUMPRODUCT(--(D_Category="Ex_Cat_3"),--(D_EffDate="Eff_Date_1"),--(D_Product="EE"),--(D_SC_Name=$A31),--(D_Zone="All"),(D_Percent))</f>
        <v>0</v>
      </c>
      <c r="AC31" s="279" cm="1">
        <f t="array" ref="AC31">SUMPRODUCT(--(D_Category="Ex_Cat_3"),--(D_EffDate="Eff_Date_2"),--(D_Product="EE"),--(D_SC_Name=$A31),--(D_Zone="All"),(D_Percent))</f>
        <v>0</v>
      </c>
      <c r="AD31" s="69">
        <f t="shared" si="46"/>
        <v>208</v>
      </c>
      <c r="AE31" s="144"/>
      <c r="AF31" s="144">
        <f t="shared" si="20"/>
        <v>0</v>
      </c>
      <c r="AG31" s="144"/>
      <c r="AH31" s="69">
        <f t="shared" si="47"/>
        <v>208</v>
      </c>
      <c r="AI31" s="144"/>
      <c r="AJ31" s="74" cm="1">
        <f t="array" ref="AJ31">SUMPRODUCT(--(Category="Ex_Cat_3"),--(OpCo="Express"),--(Intl="International"),--(SC_Cat=$A31),(SC_Count))</f>
        <v>0</v>
      </c>
      <c r="AK31" s="69">
        <f t="shared" si="48"/>
        <v>0</v>
      </c>
      <c r="AL31" s="69">
        <f t="shared" si="7"/>
        <v>0</v>
      </c>
      <c r="AM31" s="69">
        <f t="shared" si="49"/>
        <v>0</v>
      </c>
    </row>
    <row r="32" spans="1:39" x14ac:dyDescent="0.35">
      <c r="A32" s="474" t="s">
        <v>852</v>
      </c>
      <c r="B32" s="475">
        <v>25.5</v>
      </c>
      <c r="C32" s="475"/>
      <c r="D32" s="272" cm="1">
        <f t="array" ref="D32">SUMPRODUCT(--(D_Category="Ex_Cat_1"),--(D_EffDate="Eff_Date_1"),--(D_Product="EE")+--(D_Product="All"),--(D_SC_Category=$A32),--(D_Zone="All"),(D_Percent))</f>
        <v>0</v>
      </c>
      <c r="E32" s="272" cm="1">
        <f t="array" ref="E32">SUMPRODUCT(--(D_Category="Ex_Cat_1"),--(D_EffDate="Eff_Date_2"),--(D_Product="EE")+--(D_Product="All"),--(D_SC_Category=$A32),--(D_Zone="All"),(D_Percent))</f>
        <v>0</v>
      </c>
      <c r="F32" s="476">
        <f t="shared" si="39"/>
        <v>25.5</v>
      </c>
      <c r="G32" s="475"/>
      <c r="H32" s="475">
        <f t="shared" si="0"/>
        <v>0</v>
      </c>
      <c r="I32" s="475"/>
      <c r="J32" s="476">
        <f t="shared" si="40"/>
        <v>25.5</v>
      </c>
      <c r="K32" s="475"/>
      <c r="L32" s="477" cm="1">
        <f t="array" ref="L32">SUMPRODUCT(--(Category="Ex_Cat_1"),--(OpCo="Express"),--(Intl="International"),--(SC_Name=$A32),(SC_Count))</f>
        <v>0</v>
      </c>
      <c r="M32" s="476">
        <f t="shared" si="41"/>
        <v>0</v>
      </c>
      <c r="N32" s="476">
        <f t="shared" si="1"/>
        <v>0</v>
      </c>
      <c r="O32" s="476">
        <f t="shared" si="2"/>
        <v>0</v>
      </c>
      <c r="P32" s="277" cm="1">
        <f t="array" ref="P32">SUMPRODUCT(--(D_Category="Ex_Cat_2"),--(D_EffDate="Eff_Date_1"),--(D_Product="EE")+--(D_Product="All"),--(D_SC_Category=$A32),--(D_Zone="All"),(D_Percent))</f>
        <v>0</v>
      </c>
      <c r="Q32" s="277" cm="1">
        <f t="array" ref="Q32">SUMPRODUCT(--(D_Category="Ex_Cat_2"),--(D_EffDate="Eff_Date_2"),--(D_Product="EE")+--(D_Product="All"),--(D_SC_Category=$A32),--(D_Zone="All"),(D_Percent))</f>
        <v>0</v>
      </c>
      <c r="R32" s="476">
        <f t="shared" si="42"/>
        <v>25.5</v>
      </c>
      <c r="S32" s="475"/>
      <c r="T32" s="475">
        <f t="shared" si="19"/>
        <v>0</v>
      </c>
      <c r="U32" s="475"/>
      <c r="V32" s="476">
        <f t="shared" si="43"/>
        <v>25.5</v>
      </c>
      <c r="W32" s="475"/>
      <c r="X32" s="477" cm="1">
        <f t="array" ref="X32">SUMPRODUCT(--(Category="Ex_Cat_2"),--(OpCo="Express"),--(Intl="International"),--(SC_Name=$A32),(SC_Count))</f>
        <v>0</v>
      </c>
      <c r="Y32" s="476">
        <f t="shared" si="44"/>
        <v>0</v>
      </c>
      <c r="Z32" s="476">
        <f t="shared" si="4"/>
        <v>0</v>
      </c>
      <c r="AA32" s="476">
        <f t="shared" si="45"/>
        <v>0</v>
      </c>
      <c r="AB32" s="279" cm="1">
        <f t="array" ref="AB32">SUMPRODUCT(--(D_Category="Ex_Cat_3"),--(D_EffDate="Eff_Date_1"),--(D_Product="EE")+--(D_Product="All"),--(D_SC_Category=$A32),--(D_Zone="All"),(D_Percent))</f>
        <v>0</v>
      </c>
      <c r="AC32" s="279" cm="1">
        <f t="array" ref="AC32">SUMPRODUCT(--(D_Category="Ex_Cat_3"),--(D_EffDate="Eff_Date_2"),--(D_Product="EE")+--(D_Product="All"),--(D_SC_Category=$A32),--(D_Zone="All"),(D_Percent))</f>
        <v>0</v>
      </c>
      <c r="AD32" s="476">
        <f t="shared" si="46"/>
        <v>25.5</v>
      </c>
      <c r="AE32" s="475"/>
      <c r="AF32" s="475">
        <f t="shared" si="20"/>
        <v>0</v>
      </c>
      <c r="AG32" s="475"/>
      <c r="AH32" s="476">
        <f t="shared" si="47"/>
        <v>25.5</v>
      </c>
      <c r="AI32" s="475"/>
      <c r="AJ32" s="477" cm="1">
        <f t="array" ref="AJ32">SUMPRODUCT(--(Category="Ex_Cat_3"),--(OpCo="Express"),--(Intl="International"),--(SC_Name=$A32),(SC_Count))</f>
        <v>0</v>
      </c>
      <c r="AK32" s="476">
        <f t="shared" si="48"/>
        <v>0</v>
      </c>
      <c r="AL32" s="476">
        <f t="shared" si="7"/>
        <v>0</v>
      </c>
      <c r="AM32" s="476">
        <f t="shared" si="49"/>
        <v>0</v>
      </c>
    </row>
    <row r="33" spans="1:39" x14ac:dyDescent="0.35">
      <c r="A33" s="141" t="s">
        <v>25</v>
      </c>
      <c r="B33" s="144">
        <v>6.95</v>
      </c>
      <c r="C33" s="144"/>
      <c r="D33" s="272" cm="1">
        <f t="array" ref="D33">SUMPRODUCT(--(D_Category="Ex_Cat_1"),--(D_EffDate="Eff_Date_1"),--(D_Product="EE"),--(D_SC_Name=$A33),--(D_Zone="All"),(D_Percent))</f>
        <v>0</v>
      </c>
      <c r="E33" s="272" cm="1">
        <f t="array" ref="E33">SUMPRODUCT(--(D_Category="Ex_Cat_1"),--(D_EffDate="Eff_Date_2"),--(D_Product="EE"),--(D_SC_Name=$A33),--(D_Zone="All"),(D_Percent))</f>
        <v>0</v>
      </c>
      <c r="F33" s="69">
        <f t="shared" si="39"/>
        <v>6.95</v>
      </c>
      <c r="G33" s="144"/>
      <c r="H33" s="144">
        <f t="shared" si="0"/>
        <v>0</v>
      </c>
      <c r="I33" s="144"/>
      <c r="J33" s="69">
        <f t="shared" si="40"/>
        <v>6.95</v>
      </c>
      <c r="K33" s="144"/>
      <c r="L33" s="74" cm="1">
        <f t="array" ref="L33">SUMPRODUCT(--(Category="Ex_Cat_1"),--(OpCo="Express"),--(Intl="International"),--(SC_Name=$A33),(SC_Count))</f>
        <v>0</v>
      </c>
      <c r="M33" s="69">
        <f t="shared" si="41"/>
        <v>0</v>
      </c>
      <c r="N33" s="69">
        <f t="shared" si="1"/>
        <v>0</v>
      </c>
      <c r="O33" s="69">
        <f t="shared" si="2"/>
        <v>0</v>
      </c>
      <c r="P33" s="277" cm="1">
        <f t="array" ref="P33">SUMPRODUCT(--(D_Category="Ex_Cat_2"),--(D_EffDate="Eff_Date_1"),--(D_Product="EE"),--(D_SC_Name=$A33),--(D_Zone="All"),(D_Percent))</f>
        <v>0</v>
      </c>
      <c r="Q33" s="277" cm="1">
        <f t="array" ref="Q33">SUMPRODUCT(--(D_Category="Ex_Cat_2"),--(D_EffDate="Eff_Date_2"),--(D_Product="EE"),--(D_SC_Name=$A33),--(D_Zone="All"),(D_Percent))</f>
        <v>0</v>
      </c>
      <c r="R33" s="69">
        <f t="shared" si="42"/>
        <v>6.95</v>
      </c>
      <c r="S33" s="144"/>
      <c r="T33" s="144">
        <f t="shared" si="19"/>
        <v>0</v>
      </c>
      <c r="U33" s="144"/>
      <c r="V33" s="69">
        <f t="shared" si="43"/>
        <v>6.95</v>
      </c>
      <c r="W33" s="144"/>
      <c r="X33" s="74" cm="1">
        <f t="array" ref="X33">SUMPRODUCT(--(Category="Ex_Cat_2"),--(OpCo="Express"),--(Intl="International"),--(SC_Name=$A33),(SC_Count))</f>
        <v>0</v>
      </c>
      <c r="Y33" s="69">
        <f t="shared" si="44"/>
        <v>0</v>
      </c>
      <c r="Z33" s="69">
        <f t="shared" si="4"/>
        <v>0</v>
      </c>
      <c r="AA33" s="69">
        <f t="shared" si="45"/>
        <v>0</v>
      </c>
      <c r="AB33" s="279" cm="1">
        <f t="array" ref="AB33">SUMPRODUCT(--(D_Category="Ex_Cat_3"),--(D_EffDate="Eff_Date_1"),--(D_Product="EE"),--(D_SC_Name=$A33),--(D_Zone="All"),(D_Percent))</f>
        <v>0</v>
      </c>
      <c r="AC33" s="279" cm="1">
        <f t="array" ref="AC33">SUMPRODUCT(--(D_Category="Ex_Cat_3"),--(D_EffDate="Eff_Date_2"),--(D_Product="EE"),--(D_SC_Name=$A33),--(D_Zone="All"),(D_Percent))</f>
        <v>0</v>
      </c>
      <c r="AD33" s="69">
        <f t="shared" si="46"/>
        <v>6.95</v>
      </c>
      <c r="AE33" s="144"/>
      <c r="AF33" s="144">
        <f t="shared" si="20"/>
        <v>0</v>
      </c>
      <c r="AG33" s="144"/>
      <c r="AH33" s="69">
        <f t="shared" si="47"/>
        <v>6.95</v>
      </c>
      <c r="AI33" s="144"/>
      <c r="AJ33" s="74" cm="1">
        <f t="array" ref="AJ33">SUMPRODUCT(--(Category="Ex_Cat_3"),--(OpCo="Express"),--(Intl="International"),--(SC_Name=$A33),(SC_Count))</f>
        <v>0</v>
      </c>
      <c r="AK33" s="69">
        <f t="shared" si="48"/>
        <v>0</v>
      </c>
      <c r="AL33" s="69">
        <f t="shared" si="7"/>
        <v>0</v>
      </c>
      <c r="AM33" s="69">
        <f t="shared" si="49"/>
        <v>0</v>
      </c>
    </row>
    <row r="34" spans="1:39" x14ac:dyDescent="0.35">
      <c r="A34" s="474" t="s">
        <v>1733</v>
      </c>
      <c r="B34" s="475">
        <v>2.65</v>
      </c>
      <c r="C34" s="475"/>
      <c r="D34" s="272" cm="1">
        <f t="array" ref="D34">SUMPRODUCT(--(D_Category="Ex_Cat_1"),--(D_EffDate="Eff_Date_1"),--(D_Product="IE"),--(D_SC_Name=$A34),--(D_Zone="All"),(D_Percent))</f>
        <v>0</v>
      </c>
      <c r="E34" s="272" cm="1">
        <f t="array" ref="E34">SUMPRODUCT(--(D_Category="Ex_Cat_1"),--(D_EffDate="Eff_Date_2"),--(D_Product="IE"),--(D_SC_Name=$A34),--(D_Zone="All"),(D_Percent))</f>
        <v>0</v>
      </c>
      <c r="F34" s="476">
        <f t="shared" si="39"/>
        <v>2.65</v>
      </c>
      <c r="G34" s="475"/>
      <c r="H34" s="475">
        <f t="shared" si="0"/>
        <v>0</v>
      </c>
      <c r="I34" s="475"/>
      <c r="J34" s="476">
        <f t="shared" si="40"/>
        <v>2.65</v>
      </c>
      <c r="K34" s="475"/>
      <c r="L34" s="477" cm="1">
        <f t="array" ref="L34">SUMPRODUCT(--(Category="Ex_Cat_1"),--(OpCo="Express"),--(Intl="International"),--(SC_Name=$A34),(SC_Count))</f>
        <v>0</v>
      </c>
      <c r="M34" s="476">
        <f t="shared" si="41"/>
        <v>0</v>
      </c>
      <c r="N34" s="476">
        <f t="shared" si="1"/>
        <v>0</v>
      </c>
      <c r="O34" s="476">
        <f t="shared" si="2"/>
        <v>0</v>
      </c>
      <c r="P34" s="277" cm="1">
        <f t="array" ref="P34">SUMPRODUCT(--(D_Category="Ex_Cat_2"),--(D_EffDate="Eff_Date_1"),--(D_Product="IE"),--(D_SC_Name=$A34),--(D_Zone="All"),(D_Percent))</f>
        <v>0</v>
      </c>
      <c r="Q34" s="277" cm="1">
        <f t="array" ref="Q34">SUMPRODUCT(--(D_Category="Ex_Cat_2"),--(D_EffDate="Eff_Date_2"),--(D_Product="IE"),--(D_SC_Name=$A34),--(D_Zone="All"),(D_Percent))</f>
        <v>0</v>
      </c>
      <c r="R34" s="476">
        <f t="shared" si="42"/>
        <v>2.65</v>
      </c>
      <c r="S34" s="475"/>
      <c r="T34" s="475">
        <f t="shared" si="19"/>
        <v>0</v>
      </c>
      <c r="U34" s="475"/>
      <c r="V34" s="476">
        <f t="shared" si="43"/>
        <v>2.65</v>
      </c>
      <c r="W34" s="475"/>
      <c r="X34" s="477" cm="1">
        <f t="array" ref="X34">SUMPRODUCT(--(Category="Ex_Cat_2"),--(OpCo="Express"),--(Intl="International"),--(SC_Name=$A34),(SC_Count))</f>
        <v>0</v>
      </c>
      <c r="Y34" s="476">
        <f t="shared" si="44"/>
        <v>0</v>
      </c>
      <c r="Z34" s="476">
        <f t="shared" si="4"/>
        <v>0</v>
      </c>
      <c r="AA34" s="476">
        <f t="shared" si="45"/>
        <v>0</v>
      </c>
      <c r="AB34" s="279" cm="1">
        <f t="array" ref="AB34">SUMPRODUCT(--(D_Category="Ex_Cat_3"),--(D_EffDate="Eff_Date_1"),--(D_Product="IE"),--(D_SC_Name=$A34),--(D_Zone="All"),(D_Percent))</f>
        <v>0</v>
      </c>
      <c r="AC34" s="279" cm="1">
        <f t="array" ref="AC34">SUMPRODUCT(--(D_Category="Ex_Cat_3"),--(D_EffDate="Eff_Date_2"),--(D_Product="IE"),--(D_SC_Name=$A34),--(D_Zone="All"),(D_Percent))</f>
        <v>0</v>
      </c>
      <c r="AD34" s="476">
        <f t="shared" si="46"/>
        <v>2.65</v>
      </c>
      <c r="AE34" s="475"/>
      <c r="AF34" s="475">
        <f t="shared" si="20"/>
        <v>0</v>
      </c>
      <c r="AG34" s="475"/>
      <c r="AH34" s="476">
        <f t="shared" si="47"/>
        <v>2.65</v>
      </c>
      <c r="AI34" s="475"/>
      <c r="AJ34" s="477" cm="1">
        <f t="array" ref="AJ34">SUMPRODUCT(--(Category="Ex_Cat_3"),--(OpCo="Express"),--(Intl="International"),--(SC_Name=$A34),(SC_Count))</f>
        <v>0</v>
      </c>
      <c r="AK34" s="476">
        <f t="shared" si="48"/>
        <v>0</v>
      </c>
      <c r="AL34" s="476">
        <f t="shared" si="7"/>
        <v>0</v>
      </c>
      <c r="AM34" s="476">
        <f t="shared" si="49"/>
        <v>0</v>
      </c>
    </row>
    <row r="35" spans="1:39" x14ac:dyDescent="0.35">
      <c r="A35" s="141" t="s">
        <v>283</v>
      </c>
      <c r="B35" s="144"/>
      <c r="C35" s="144"/>
      <c r="D35" s="272"/>
      <c r="E35" s="272"/>
      <c r="F35" s="144"/>
      <c r="G35" s="144"/>
      <c r="H35" s="144">
        <f t="shared" si="0"/>
        <v>0</v>
      </c>
      <c r="I35" s="144"/>
      <c r="J35" s="144"/>
      <c r="K35" s="144"/>
      <c r="L35" s="74"/>
      <c r="M35" s="69"/>
      <c r="N35" s="69"/>
      <c r="O35" s="69"/>
      <c r="P35" s="277"/>
      <c r="Q35" s="277"/>
      <c r="R35" s="144"/>
      <c r="S35" s="144"/>
      <c r="T35" s="144">
        <f t="shared" si="19"/>
        <v>0</v>
      </c>
      <c r="U35" s="144"/>
      <c r="V35" s="144"/>
      <c r="W35" s="144"/>
      <c r="X35" s="74"/>
      <c r="Y35" s="69"/>
      <c r="Z35" s="69"/>
      <c r="AA35" s="69"/>
      <c r="AB35" s="279"/>
      <c r="AC35" s="279"/>
      <c r="AD35" s="144"/>
      <c r="AE35" s="144"/>
      <c r="AF35" s="144">
        <f t="shared" si="20"/>
        <v>0</v>
      </c>
      <c r="AG35" s="144"/>
      <c r="AH35" s="144"/>
      <c r="AI35" s="144"/>
      <c r="AJ35" s="74"/>
      <c r="AK35" s="69"/>
      <c r="AL35" s="69"/>
      <c r="AM35" s="69"/>
    </row>
    <row r="36" spans="1:39" x14ac:dyDescent="0.35">
      <c r="A36" s="143" t="s">
        <v>1003</v>
      </c>
      <c r="B36" s="144">
        <v>1.05</v>
      </c>
      <c r="C36" s="144"/>
      <c r="D36" s="272" cm="1">
        <f t="array" ref="D36">SUMPRODUCT(--(D_Category="Ex_Cat_1"),--(D_EffDate="Eff_Date_1"),--(D_Product="EE"),--(D_SC_Name=$A36),--(D_Zone="All"),(D_Percent))</f>
        <v>0</v>
      </c>
      <c r="E36" s="272" cm="1">
        <f t="array" ref="E36">SUMPRODUCT(--(D_Category="Ex_Cat_1"),--(D_EffDate="Eff_Date_2"),--(D_Product="EE"),--(D_SC_Name=$A36),--(D_Zone="All"),(D_Percent))</f>
        <v>0</v>
      </c>
      <c r="F36" s="69">
        <f>ROUND(($B36*(1-D36)),2)</f>
        <v>1.05</v>
      </c>
      <c r="G36" s="144"/>
      <c r="H36" s="144">
        <f t="shared" si="0"/>
        <v>0</v>
      </c>
      <c r="I36" s="144"/>
      <c r="J36" s="69">
        <f>ROUND(($B36*(1-E36)),2)</f>
        <v>1.05</v>
      </c>
      <c r="K36" s="144"/>
      <c r="L36" s="74" cm="1">
        <f t="array" ref="L36">SUMPRODUCT(--(Category="Ex_Cat_1"),--(OpCo="Express"),--(Intl="International"),--(SC_Name=$A36),(SC_Count))</f>
        <v>0</v>
      </c>
      <c r="M36" s="69">
        <f>L36*F36</f>
        <v>0</v>
      </c>
      <c r="N36" s="69">
        <f t="shared" si="1"/>
        <v>0</v>
      </c>
      <c r="O36" s="69">
        <f t="shared" si="2"/>
        <v>0</v>
      </c>
      <c r="P36" s="277" cm="1">
        <f t="array" ref="P36">SUMPRODUCT(--(D_Category="Ex_Cat_2"),--(D_EffDate="Eff_Date_1"),--(D_Product="EE"),--(D_SC_Name=$A36),--(D_Zone="All"),(D_Percent))</f>
        <v>0</v>
      </c>
      <c r="Q36" s="277" cm="1">
        <f t="array" ref="Q36">SUMPRODUCT(--(D_Category="Ex_Cat_2"),--(D_EffDate="Eff_Date_2"),--(D_Product="EE"),--(D_SC_Name=$A36),--(D_Zone="All"),(D_Percent))</f>
        <v>0</v>
      </c>
      <c r="R36" s="69">
        <f>ROUND(($B36*(1-P36)),2)</f>
        <v>1.05</v>
      </c>
      <c r="S36" s="144"/>
      <c r="T36" s="144">
        <f t="shared" si="19"/>
        <v>0</v>
      </c>
      <c r="U36" s="144"/>
      <c r="V36" s="69">
        <f>ROUND(($B36*(1-Q36)),2)</f>
        <v>1.05</v>
      </c>
      <c r="W36" s="144"/>
      <c r="X36" s="74" cm="1">
        <f t="array" ref="X36">SUMPRODUCT(--(Category="Ex_Cat_2"),--(OpCo="Express"),--(Intl="International"),--(SC_Name=$A36),(SC_Count))</f>
        <v>0</v>
      </c>
      <c r="Y36" s="69">
        <f>X36*R36</f>
        <v>0</v>
      </c>
      <c r="Z36" s="69">
        <f t="shared" si="4"/>
        <v>0</v>
      </c>
      <c r="AA36" s="69">
        <f t="shared" ref="AA36:AA39" si="53">X36*V36</f>
        <v>0</v>
      </c>
      <c r="AB36" s="279" cm="1">
        <f t="array" ref="AB36">SUMPRODUCT(--(D_Category="Ex_Cat_3"),--(D_EffDate="Eff_Date_1"),--(D_Product="EE"),--(D_SC_Name=$A36),--(D_Zone="All"),(D_Percent))</f>
        <v>0</v>
      </c>
      <c r="AC36" s="279" cm="1">
        <f t="array" ref="AC36">SUMPRODUCT(--(D_Category="Ex_Cat_3"),--(D_EffDate="Eff_Date_2"),--(D_Product="EE"),--(D_SC_Name=$A36),--(D_Zone="All"),(D_Percent))</f>
        <v>0</v>
      </c>
      <c r="AD36" s="69">
        <f>ROUND(($B36*(1-AB36)),2)</f>
        <v>1.05</v>
      </c>
      <c r="AE36" s="144"/>
      <c r="AF36" s="144">
        <f t="shared" si="20"/>
        <v>0</v>
      </c>
      <c r="AG36" s="144"/>
      <c r="AH36" s="69">
        <f>ROUND(($B36*(1-AC36)),2)</f>
        <v>1.05</v>
      </c>
      <c r="AI36" s="144"/>
      <c r="AJ36" s="74" cm="1">
        <f t="array" ref="AJ36">SUMPRODUCT(--(Category="Ex_Cat_3"),--(OpCo="Express"),--(Intl="International"),--(SC_Name=$A36),(SC_Count))</f>
        <v>0</v>
      </c>
      <c r="AK36" s="69">
        <f>AJ36*AD36</f>
        <v>0</v>
      </c>
      <c r="AL36" s="69">
        <f t="shared" si="7"/>
        <v>0</v>
      </c>
      <c r="AM36" s="69">
        <f t="shared" ref="AM36:AM39" si="54">AJ36*AH36</f>
        <v>0</v>
      </c>
    </row>
    <row r="37" spans="1:39" x14ac:dyDescent="0.35">
      <c r="A37" s="143" t="s">
        <v>1005</v>
      </c>
      <c r="B37" s="144">
        <v>1.05</v>
      </c>
      <c r="C37" s="144"/>
      <c r="D37" s="272" cm="1">
        <f t="array" ref="D37">SUMPRODUCT(--(D_Category="Ex_Cat_1"),--(D_EffDate="Eff_Date_1"),--(D_Product="EE"),--(D_SC_Name=$A37),--(D_Zone="All"),(D_Percent))</f>
        <v>0</v>
      </c>
      <c r="E37" s="272" cm="1">
        <f t="array" ref="E37">SUMPRODUCT(--(D_Category="Ex_Cat_1"),--(D_EffDate="Eff_Date_2"),--(D_Product="EE"),--(D_SC_Name=$A37),--(D_Zone="All"),(D_Percent))</f>
        <v>0</v>
      </c>
      <c r="F37" s="69">
        <f>ROUND(($B37*(1-D37)),2)</f>
        <v>1.05</v>
      </c>
      <c r="G37" s="144"/>
      <c r="H37" s="144">
        <f t="shared" si="0"/>
        <v>0</v>
      </c>
      <c r="I37" s="144"/>
      <c r="J37" s="69">
        <f>ROUND(($B37*(1-E37)),2)</f>
        <v>1.05</v>
      </c>
      <c r="K37" s="144"/>
      <c r="L37" s="74" cm="1">
        <f t="array" ref="L37">SUMPRODUCT(--(Category="Ex_Cat_1"),--(OpCo="Express"),--(Intl="International"),--(SC_Name=$A37),(SC_Count))</f>
        <v>0</v>
      </c>
      <c r="M37" s="69">
        <f>L37*F37</f>
        <v>0</v>
      </c>
      <c r="N37" s="69">
        <f t="shared" si="1"/>
        <v>0</v>
      </c>
      <c r="O37" s="69">
        <f t="shared" si="2"/>
        <v>0</v>
      </c>
      <c r="P37" s="277" cm="1">
        <f t="array" ref="P37">SUMPRODUCT(--(D_Category="Ex_Cat_2"),--(D_EffDate="Eff_Date_1"),--(D_Product="EE"),--(D_SC_Name=$A37),--(D_Zone="All"),(D_Percent))</f>
        <v>0</v>
      </c>
      <c r="Q37" s="277" cm="1">
        <f t="array" ref="Q37">SUMPRODUCT(--(D_Category="Ex_Cat_2"),--(D_EffDate="Eff_Date_2"),--(D_Product="EE"),--(D_SC_Name=$A37),--(D_Zone="All"),(D_Percent))</f>
        <v>0</v>
      </c>
      <c r="R37" s="69">
        <f>ROUND(($B37*(1-P37)),2)</f>
        <v>1.05</v>
      </c>
      <c r="S37" s="144"/>
      <c r="T37" s="144">
        <f t="shared" si="19"/>
        <v>0</v>
      </c>
      <c r="U37" s="144"/>
      <c r="V37" s="69">
        <f>ROUND(($B37*(1-Q37)),2)</f>
        <v>1.05</v>
      </c>
      <c r="W37" s="144"/>
      <c r="X37" s="74" cm="1">
        <f t="array" ref="X37">SUMPRODUCT(--(Category="Ex_Cat_2"),--(OpCo="Express"),--(Intl="International"),--(SC_Name=$A37),(SC_Count))</f>
        <v>0</v>
      </c>
      <c r="Y37" s="69">
        <f>X37*R37</f>
        <v>0</v>
      </c>
      <c r="Z37" s="69">
        <f t="shared" si="4"/>
        <v>0</v>
      </c>
      <c r="AA37" s="69">
        <f t="shared" si="53"/>
        <v>0</v>
      </c>
      <c r="AB37" s="279" cm="1">
        <f t="array" ref="AB37">SUMPRODUCT(--(D_Category="Ex_Cat_3"),--(D_EffDate="Eff_Date_1"),--(D_Product="EE"),--(D_SC_Name=$A37),--(D_Zone="All"),(D_Percent))</f>
        <v>0</v>
      </c>
      <c r="AC37" s="279" cm="1">
        <f t="array" ref="AC37">SUMPRODUCT(--(D_Category="Ex_Cat_3"),--(D_EffDate="Eff_Date_2"),--(D_Product="EE"),--(D_SC_Name=$A37),--(D_Zone="All"),(D_Percent))</f>
        <v>0</v>
      </c>
      <c r="AD37" s="69">
        <f>ROUND(($B37*(1-AB37)),2)</f>
        <v>1.05</v>
      </c>
      <c r="AE37" s="144"/>
      <c r="AF37" s="144">
        <f t="shared" si="20"/>
        <v>0</v>
      </c>
      <c r="AG37" s="144"/>
      <c r="AH37" s="69">
        <f>ROUND(($B37*(1-AC37)),2)</f>
        <v>1.05</v>
      </c>
      <c r="AI37" s="144"/>
      <c r="AJ37" s="74" cm="1">
        <f t="array" ref="AJ37">SUMPRODUCT(--(Category="Ex_Cat_3"),--(OpCo="Express"),--(Intl="International"),--(SC_Name=$A37),(SC_Count))</f>
        <v>0</v>
      </c>
      <c r="AK37" s="69">
        <f>AJ37*AD37</f>
        <v>0</v>
      </c>
      <c r="AL37" s="69">
        <f t="shared" si="7"/>
        <v>0</v>
      </c>
      <c r="AM37" s="69">
        <f t="shared" si="54"/>
        <v>0</v>
      </c>
    </row>
    <row r="38" spans="1:39" x14ac:dyDescent="0.35">
      <c r="A38" s="474" t="s">
        <v>46</v>
      </c>
      <c r="B38" s="475">
        <v>16</v>
      </c>
      <c r="C38" s="475"/>
      <c r="D38" s="272" cm="1">
        <f t="array" ref="D38">SUMPRODUCT(--(D_Category="Ex_Cat_1"),--(D_EffDate="Eff_Date_1"),--(D_Product="EE"),--(D_SC_Name=$A38),--(D_Zone="All"),(D_Percent))</f>
        <v>0</v>
      </c>
      <c r="E38" s="272" cm="1">
        <f t="array" ref="E38">SUMPRODUCT(--(D_Category="Ex_Cat_1"),--(D_EffDate="Eff_Date_2"),--(D_Product="EE"),--(D_SC_Name=$A38),--(D_Zone="All"),(D_Percent))</f>
        <v>0</v>
      </c>
      <c r="F38" s="476">
        <f>ROUND(($B38*(1-D38)),2)</f>
        <v>16</v>
      </c>
      <c r="G38" s="475"/>
      <c r="H38" s="475">
        <f t="shared" si="0"/>
        <v>0</v>
      </c>
      <c r="I38" s="475"/>
      <c r="J38" s="476">
        <f>ROUND(($B38*(1-E38)),2)</f>
        <v>16</v>
      </c>
      <c r="K38" s="475"/>
      <c r="L38" s="477" cm="1">
        <f t="array" ref="L38">SUMPRODUCT(--(Category="Ex_Cat_1"),--(OpCo="Express"),--(Intl="International"),--(SC_Name=$A38),(SC_Count))</f>
        <v>0</v>
      </c>
      <c r="M38" s="476">
        <f>L38*F38</f>
        <v>0</v>
      </c>
      <c r="N38" s="476">
        <f t="shared" si="1"/>
        <v>0</v>
      </c>
      <c r="O38" s="476">
        <f t="shared" si="2"/>
        <v>0</v>
      </c>
      <c r="P38" s="277" cm="1">
        <f t="array" ref="P38">SUMPRODUCT(--(D_Category="Ex_Cat_2"),--(D_EffDate="Eff_Date_1"),--(D_Product="EE"),--(D_SC_Name=$A38),--(D_Zone="All"),(D_Percent))</f>
        <v>0</v>
      </c>
      <c r="Q38" s="277" cm="1">
        <f t="array" ref="Q38">SUMPRODUCT(--(D_Category="Ex_Cat_2"),--(D_EffDate="Eff_Date_2"),--(D_Product="EE"),--(D_SC_Name=$A38),--(D_Zone="All"),(D_Percent))</f>
        <v>0</v>
      </c>
      <c r="R38" s="476">
        <f>ROUND(($B38*(1-P38)),2)</f>
        <v>16</v>
      </c>
      <c r="S38" s="475"/>
      <c r="T38" s="475">
        <f t="shared" si="19"/>
        <v>0</v>
      </c>
      <c r="U38" s="475"/>
      <c r="V38" s="476">
        <f>ROUND(($B38*(1-Q38)),2)</f>
        <v>16</v>
      </c>
      <c r="W38" s="475"/>
      <c r="X38" s="477" cm="1">
        <f t="array" ref="X38">SUMPRODUCT(--(Category="Ex_Cat_2"),--(OpCo="Express"),--(Intl="International"),--(SC_Name=$A38),(SC_Count))</f>
        <v>0</v>
      </c>
      <c r="Y38" s="476">
        <f>X38*R38</f>
        <v>0</v>
      </c>
      <c r="Z38" s="476">
        <f t="shared" si="4"/>
        <v>0</v>
      </c>
      <c r="AA38" s="476">
        <f t="shared" si="53"/>
        <v>0</v>
      </c>
      <c r="AB38" s="279" cm="1">
        <f t="array" ref="AB38">SUMPRODUCT(--(D_Category="Ex_Cat_3"),--(D_EffDate="Eff_Date_1"),--(D_Product="EE"),--(D_SC_Name=$A38),--(D_Zone="All"),(D_Percent))</f>
        <v>0</v>
      </c>
      <c r="AC38" s="279" cm="1">
        <f t="array" ref="AC38">SUMPRODUCT(--(D_Category="Ex_Cat_3"),--(D_EffDate="Eff_Date_2"),--(D_Product="EE"),--(D_SC_Name=$A38),--(D_Zone="All"),(D_Percent))</f>
        <v>0</v>
      </c>
      <c r="AD38" s="476">
        <f>ROUND(($B38*(1-AB38)),2)</f>
        <v>16</v>
      </c>
      <c r="AE38" s="475"/>
      <c r="AF38" s="475">
        <f t="shared" si="20"/>
        <v>0</v>
      </c>
      <c r="AG38" s="475"/>
      <c r="AH38" s="476">
        <f>ROUND(($B38*(1-AC38)),2)</f>
        <v>16</v>
      </c>
      <c r="AI38" s="475"/>
      <c r="AJ38" s="477" cm="1">
        <f t="array" ref="AJ38">SUMPRODUCT(--(Category="Ex_Cat_3"),--(OpCo="Express"),--(Intl="International"),--(SC_Name=$A38),(SC_Count))</f>
        <v>0</v>
      </c>
      <c r="AK38" s="476">
        <f>AJ38*AD38</f>
        <v>0</v>
      </c>
      <c r="AL38" s="476">
        <f t="shared" si="7"/>
        <v>0</v>
      </c>
      <c r="AM38" s="476">
        <f t="shared" si="54"/>
        <v>0</v>
      </c>
    </row>
    <row r="39" spans="1:39" x14ac:dyDescent="0.35">
      <c r="A39" s="148" t="s">
        <v>24</v>
      </c>
      <c r="B39" s="69">
        <v>16</v>
      </c>
      <c r="C39" s="69"/>
      <c r="D39" s="272" cm="1">
        <f t="array" ref="D39">SUMPRODUCT(--(D_Category="Ex_Cat_1"),--(D_EffDate="Eff_Date_1"),--(D_Product="EE"),--(D_SC_Name=$A39),--(D_Zone="All"),(D_Percent))</f>
        <v>0</v>
      </c>
      <c r="E39" s="272" cm="1">
        <f t="array" ref="E39">SUMPRODUCT(--(D_Category="Ex_Cat_1"),--(D_EffDate="Eff_Date_2"),--(D_Product="EE"),--(D_SC_Name=$A39),--(D_Zone="All"),(D_Percent))</f>
        <v>0</v>
      </c>
      <c r="F39" s="69">
        <f>ROUND(($B39*(1-D39)),2)</f>
        <v>16</v>
      </c>
      <c r="G39" s="149"/>
      <c r="H39" s="69">
        <f t="shared" si="0"/>
        <v>0</v>
      </c>
      <c r="I39" s="69"/>
      <c r="J39" s="69">
        <f>ROUND(($B39*(1-E39)),2)</f>
        <v>16</v>
      </c>
      <c r="K39" s="149"/>
      <c r="L39" s="77" cm="1">
        <f t="array" ref="L39">SUMPRODUCT(--(Category="Ex_Cat_1"),--(OpCo="Express"),--(Intl="International"),--(SC_Name=$A39),(SC_Count))</f>
        <v>0</v>
      </c>
      <c r="M39" s="149">
        <f>L39*F39</f>
        <v>0</v>
      </c>
      <c r="N39" s="69">
        <f t="shared" si="1"/>
        <v>0</v>
      </c>
      <c r="O39" s="69">
        <f t="shared" si="2"/>
        <v>0</v>
      </c>
      <c r="P39" s="277" cm="1">
        <f t="array" ref="P39">SUMPRODUCT(--(D_Category="Ex_Cat_2"),--(D_EffDate="Eff_Date_1"),--(D_Product="EE"),--(D_SC_Name=$A39),--(D_Zone="All"),(D_Percent))</f>
        <v>0</v>
      </c>
      <c r="Q39" s="277" cm="1">
        <f t="array" ref="Q39">SUMPRODUCT(--(D_Category="Ex_Cat_2"),--(D_EffDate="Eff_Date_2"),--(D_Product="EE"),--(D_SC_Name=$A39),--(D_Zone="All"),(D_Percent))</f>
        <v>0</v>
      </c>
      <c r="R39" s="69">
        <f>ROUND(($B39*(1-P39)),2)</f>
        <v>16</v>
      </c>
      <c r="S39" s="149"/>
      <c r="T39" s="69">
        <f t="shared" si="19"/>
        <v>0</v>
      </c>
      <c r="U39" s="69"/>
      <c r="V39" s="69">
        <f>ROUND(($B39*(1-Q39)),2)</f>
        <v>16</v>
      </c>
      <c r="W39" s="149"/>
      <c r="X39" s="77" cm="1">
        <f t="array" ref="X39">SUMPRODUCT(--(Category="Ex_Cat_2"),--(OpCo="Express"),--(Intl="International"),--(SC_Name=$A39),(SC_Count))</f>
        <v>0</v>
      </c>
      <c r="Y39" s="149">
        <f>X39*R39</f>
        <v>0</v>
      </c>
      <c r="Z39" s="69">
        <f t="shared" si="4"/>
        <v>0</v>
      </c>
      <c r="AA39" s="69">
        <f t="shared" si="53"/>
        <v>0</v>
      </c>
      <c r="AB39" s="279" cm="1">
        <f t="array" ref="AB39">SUMPRODUCT(--(D_Category="Ex_Cat_3"),--(D_EffDate="Eff_Date_1"),--(D_Product="EE"),--(D_SC_Name=$A39),--(D_Zone="All"),(D_Percent))</f>
        <v>0</v>
      </c>
      <c r="AC39" s="279" cm="1">
        <f t="array" ref="AC39">SUMPRODUCT(--(D_Category="Ex_Cat_3"),--(D_EffDate="Eff_Date_2"),--(D_Product="EE"),--(D_SC_Name=$A39),--(D_Zone="All"),(D_Percent))</f>
        <v>0</v>
      </c>
      <c r="AD39" s="69">
        <f>ROUND(($B39*(1-AB39)),2)</f>
        <v>16</v>
      </c>
      <c r="AE39" s="149"/>
      <c r="AF39" s="69">
        <f t="shared" si="20"/>
        <v>0</v>
      </c>
      <c r="AG39" s="69"/>
      <c r="AH39" s="69">
        <f>ROUND(($B39*(1-AC39)),2)</f>
        <v>16</v>
      </c>
      <c r="AI39" s="149"/>
      <c r="AJ39" s="77" cm="1">
        <f t="array" ref="AJ39">SUMPRODUCT(--(Category="Ex_Cat_3"),--(OpCo="Express"),--(Intl="International"),--(SC_Name=$A39),(SC_Count))</f>
        <v>0</v>
      </c>
      <c r="AK39" s="149">
        <f>AJ39*AD39</f>
        <v>0</v>
      </c>
      <c r="AL39" s="69">
        <f t="shared" si="7"/>
        <v>0</v>
      </c>
      <c r="AM39" s="69">
        <f t="shared" si="54"/>
        <v>0</v>
      </c>
    </row>
    <row r="40" spans="1:39" ht="15" customHeight="1" x14ac:dyDescent="0.35">
      <c r="A40" s="620" t="s">
        <v>1746</v>
      </c>
      <c r="B40" s="620"/>
      <c r="C40" s="620"/>
      <c r="D40" s="620"/>
      <c r="E40" s="620"/>
      <c r="F40" s="620"/>
      <c r="G40" s="620"/>
      <c r="H40" s="620"/>
      <c r="I40" s="620"/>
      <c r="J40" s="620"/>
      <c r="K40" s="620"/>
      <c r="L40" s="620"/>
      <c r="M40" s="620"/>
      <c r="N40" s="620"/>
      <c r="O40" s="620"/>
      <c r="P40" s="458"/>
      <c r="Q40" s="458"/>
      <c r="R40" s="458"/>
      <c r="S40" s="458"/>
      <c r="T40" s="458"/>
      <c r="U40" s="458"/>
      <c r="V40" s="458"/>
      <c r="W40" s="458"/>
      <c r="X40" s="458"/>
      <c r="Y40" s="458"/>
      <c r="Z40" s="458"/>
      <c r="AA40" s="458"/>
      <c r="AB40" s="458"/>
      <c r="AC40" s="458"/>
      <c r="AD40" s="458"/>
      <c r="AE40" s="458"/>
      <c r="AF40" s="458"/>
      <c r="AG40" s="458"/>
      <c r="AH40" s="458"/>
      <c r="AI40" s="458"/>
      <c r="AJ40" s="458"/>
      <c r="AK40" s="458"/>
      <c r="AL40" s="458"/>
      <c r="AM40" s="458"/>
    </row>
    <row r="41" spans="1:39" x14ac:dyDescent="0.35">
      <c r="A41" s="621"/>
      <c r="B41" s="621"/>
      <c r="C41" s="621"/>
      <c r="D41" s="621"/>
      <c r="E41" s="621"/>
      <c r="F41" s="621"/>
      <c r="G41" s="621"/>
      <c r="H41" s="621"/>
      <c r="I41" s="621"/>
      <c r="J41" s="621"/>
      <c r="K41" s="621"/>
      <c r="L41" s="621"/>
      <c r="M41" s="621"/>
      <c r="N41" s="621"/>
      <c r="O41" s="621"/>
      <c r="P41" s="268"/>
      <c r="Q41" s="268"/>
      <c r="R41" s="268"/>
      <c r="S41" s="268"/>
      <c r="T41" s="268"/>
      <c r="U41" s="268"/>
      <c r="V41" s="268"/>
      <c r="W41" s="268"/>
      <c r="X41" s="268"/>
      <c r="Y41" s="268"/>
      <c r="Z41" s="268"/>
      <c r="AA41" s="268"/>
      <c r="AB41" s="268"/>
      <c r="AC41" s="268"/>
      <c r="AD41" s="268"/>
      <c r="AE41" s="268"/>
      <c r="AF41" s="268"/>
      <c r="AG41" s="268"/>
      <c r="AH41" s="268"/>
      <c r="AI41" s="268"/>
      <c r="AJ41" s="268"/>
      <c r="AK41" s="268"/>
      <c r="AL41" s="268"/>
      <c r="AM41" s="268"/>
    </row>
    <row r="42" spans="1:39" x14ac:dyDescent="0.35">
      <c r="A42" s="621"/>
      <c r="B42" s="621"/>
      <c r="C42" s="621"/>
      <c r="D42" s="621"/>
      <c r="E42" s="621"/>
      <c r="F42" s="621"/>
      <c r="G42" s="621"/>
      <c r="H42" s="621"/>
      <c r="I42" s="621"/>
      <c r="J42" s="621"/>
      <c r="K42" s="621"/>
      <c r="L42" s="621"/>
      <c r="M42" s="621"/>
      <c r="N42" s="621"/>
      <c r="O42" s="621"/>
      <c r="P42" s="268"/>
      <c r="Q42" s="268"/>
      <c r="R42" s="268"/>
      <c r="S42" s="268"/>
      <c r="T42" s="268"/>
      <c r="U42" s="268"/>
      <c r="V42" s="268"/>
      <c r="W42" s="268"/>
      <c r="X42" s="268"/>
      <c r="Y42" s="268"/>
      <c r="Z42" s="268"/>
      <c r="AA42" s="268"/>
      <c r="AB42" s="268"/>
      <c r="AC42" s="268"/>
      <c r="AD42" s="268"/>
      <c r="AE42" s="268"/>
      <c r="AF42" s="268"/>
      <c r="AG42" s="268"/>
      <c r="AH42" s="268"/>
      <c r="AI42" s="268"/>
      <c r="AJ42" s="268"/>
      <c r="AK42" s="268"/>
      <c r="AL42" s="268"/>
      <c r="AM42" s="268"/>
    </row>
    <row r="43" spans="1:39" x14ac:dyDescent="0.35">
      <c r="A43" s="621"/>
      <c r="B43" s="621"/>
      <c r="C43" s="621"/>
      <c r="D43" s="621"/>
      <c r="E43" s="621"/>
      <c r="F43" s="621"/>
      <c r="G43" s="621"/>
      <c r="H43" s="621"/>
      <c r="I43" s="621"/>
      <c r="J43" s="621"/>
      <c r="K43" s="621"/>
      <c r="L43" s="621"/>
      <c r="M43" s="621"/>
      <c r="N43" s="621"/>
      <c r="O43" s="621"/>
      <c r="P43" s="268"/>
      <c r="Q43" s="268"/>
      <c r="R43" s="268"/>
      <c r="S43" s="268"/>
      <c r="T43" s="268"/>
      <c r="U43" s="268"/>
      <c r="V43" s="268"/>
      <c r="W43" s="268"/>
      <c r="X43" s="268"/>
      <c r="Y43" s="268"/>
      <c r="Z43" s="268"/>
      <c r="AA43" s="268"/>
      <c r="AB43" s="268"/>
      <c r="AC43" s="268"/>
      <c r="AD43" s="268"/>
      <c r="AE43" s="268"/>
      <c r="AF43" s="268"/>
      <c r="AG43" s="268"/>
      <c r="AH43" s="268"/>
      <c r="AI43" s="268"/>
      <c r="AJ43" s="268"/>
      <c r="AK43" s="268"/>
      <c r="AL43" s="268"/>
      <c r="AM43" s="268"/>
    </row>
    <row r="44" spans="1:39" x14ac:dyDescent="0.35">
      <c r="A44" s="621"/>
      <c r="B44" s="621"/>
      <c r="C44" s="621"/>
      <c r="D44" s="621"/>
      <c r="E44" s="621"/>
      <c r="F44" s="621"/>
      <c r="G44" s="621"/>
      <c r="H44" s="621"/>
      <c r="I44" s="621"/>
      <c r="J44" s="621"/>
      <c r="K44" s="621"/>
      <c r="L44" s="621"/>
      <c r="M44" s="621"/>
      <c r="N44" s="621"/>
      <c r="O44" s="621"/>
      <c r="P44" s="268"/>
      <c r="Q44" s="268"/>
      <c r="R44" s="268"/>
      <c r="S44" s="268"/>
      <c r="T44" s="268"/>
      <c r="U44" s="268"/>
      <c r="V44" s="268"/>
      <c r="W44" s="268"/>
      <c r="X44" s="268"/>
      <c r="Y44" s="268"/>
      <c r="Z44" s="268"/>
      <c r="AA44" s="268"/>
      <c r="AB44" s="268"/>
      <c r="AC44" s="268"/>
      <c r="AD44" s="268"/>
      <c r="AE44" s="268"/>
      <c r="AF44" s="268"/>
      <c r="AG44" s="268"/>
      <c r="AH44" s="268"/>
      <c r="AI44" s="268"/>
      <c r="AJ44" s="268"/>
      <c r="AK44" s="268"/>
      <c r="AL44" s="268"/>
      <c r="AM44" s="268"/>
    </row>
    <row r="45" spans="1:39" x14ac:dyDescent="0.35">
      <c r="A45" s="621"/>
      <c r="B45" s="621"/>
      <c r="C45" s="621"/>
      <c r="D45" s="621"/>
      <c r="E45" s="621"/>
      <c r="F45" s="621"/>
      <c r="G45" s="621"/>
      <c r="H45" s="621"/>
      <c r="I45" s="621"/>
      <c r="J45" s="621"/>
      <c r="K45" s="621"/>
      <c r="L45" s="621"/>
      <c r="M45" s="621"/>
      <c r="N45" s="621"/>
      <c r="O45" s="621"/>
      <c r="P45" s="268"/>
      <c r="Q45" s="268"/>
      <c r="R45" s="268"/>
      <c r="S45" s="268"/>
      <c r="T45" s="268"/>
      <c r="U45" s="268"/>
      <c r="V45" s="268"/>
      <c r="W45" s="268"/>
      <c r="X45" s="268"/>
      <c r="Y45" s="268"/>
      <c r="Z45" s="268"/>
      <c r="AA45" s="268"/>
      <c r="AB45" s="268"/>
      <c r="AC45" s="268"/>
      <c r="AD45" s="268"/>
      <c r="AE45" s="268"/>
      <c r="AF45" s="268"/>
      <c r="AG45" s="268"/>
      <c r="AH45" s="268"/>
      <c r="AI45" s="268"/>
      <c r="AJ45" s="268"/>
      <c r="AK45" s="268"/>
      <c r="AL45" s="268"/>
      <c r="AM45" s="268"/>
    </row>
    <row r="46" spans="1:39" x14ac:dyDescent="0.35">
      <c r="A46" s="621"/>
      <c r="B46" s="621"/>
      <c r="C46" s="621"/>
      <c r="D46" s="621"/>
      <c r="E46" s="621"/>
      <c r="F46" s="621"/>
      <c r="G46" s="621"/>
      <c r="H46" s="621"/>
      <c r="I46" s="621"/>
      <c r="J46" s="621"/>
      <c r="K46" s="621"/>
      <c r="L46" s="621"/>
      <c r="M46" s="621"/>
      <c r="N46" s="621"/>
      <c r="O46" s="621"/>
      <c r="P46" s="268"/>
      <c r="Q46" s="268"/>
      <c r="R46" s="268"/>
      <c r="S46" s="268"/>
      <c r="T46" s="268"/>
      <c r="U46" s="268"/>
      <c r="V46" s="268"/>
      <c r="W46" s="268"/>
      <c r="X46" s="268"/>
      <c r="Y46" s="268"/>
      <c r="Z46" s="268"/>
      <c r="AA46" s="268"/>
      <c r="AB46" s="268"/>
      <c r="AC46" s="268"/>
      <c r="AD46" s="268"/>
      <c r="AE46" s="268"/>
      <c r="AF46" s="268"/>
      <c r="AG46" s="268"/>
      <c r="AH46" s="268"/>
      <c r="AI46" s="268"/>
      <c r="AJ46" s="268"/>
      <c r="AK46" s="268"/>
      <c r="AL46" s="268"/>
      <c r="AM46" s="268"/>
    </row>
  </sheetData>
  <mergeCells count="34">
    <mergeCell ref="P2:AA2"/>
    <mergeCell ref="E3:E4"/>
    <mergeCell ref="Q3:Q4"/>
    <mergeCell ref="AC3:AC4"/>
    <mergeCell ref="N3:N4"/>
    <mergeCell ref="O3:O4"/>
    <mergeCell ref="X3:X4"/>
    <mergeCell ref="Y3:Y4"/>
    <mergeCell ref="D2:O2"/>
    <mergeCell ref="AB2:AM2"/>
    <mergeCell ref="AM3:AM4"/>
    <mergeCell ref="T3:U3"/>
    <mergeCell ref="V3:W3"/>
    <mergeCell ref="Z3:Z4"/>
    <mergeCell ref="AA3:AA4"/>
    <mergeCell ref="AH3:AI3"/>
    <mergeCell ref="AK3:AK4"/>
    <mergeCell ref="AL3:AL4"/>
    <mergeCell ref="F3:G3"/>
    <mergeCell ref="P3:P4"/>
    <mergeCell ref="AD3:AE3"/>
    <mergeCell ref="AJ3:AJ4"/>
    <mergeCell ref="R3:S3"/>
    <mergeCell ref="L3:L4"/>
    <mergeCell ref="AB3:AB4"/>
    <mergeCell ref="M3:M4"/>
    <mergeCell ref="AF3:AG3"/>
    <mergeCell ref="A40:O46"/>
    <mergeCell ref="A1:O1"/>
    <mergeCell ref="A3:A4"/>
    <mergeCell ref="B3:C3"/>
    <mergeCell ref="H3:I3"/>
    <mergeCell ref="J3:K3"/>
    <mergeCell ref="D3:D4"/>
  </mergeCells>
  <pageMargins left="0.25" right="0.25"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58B2D-EC0C-4FFC-BE00-DD31D4257610}">
  <sheetPr codeName="Sheet15">
    <tabColor theme="2" tint="-0.499984740745262"/>
  </sheetPr>
  <dimension ref="A1:BP37"/>
  <sheetViews>
    <sheetView zoomScaleNormal="100" workbookViewId="0">
      <selection sqref="A1:O1"/>
    </sheetView>
  </sheetViews>
  <sheetFormatPr defaultColWidth="9.1796875" defaultRowHeight="14.5" x14ac:dyDescent="0.35"/>
  <cols>
    <col min="1" max="1" width="36.26953125" bestFit="1" customWidth="1"/>
    <col min="2" max="2" width="9.81640625" bestFit="1" customWidth="1"/>
    <col min="3" max="3" width="8.7265625" customWidth="1"/>
    <col min="4" max="4" width="8.81640625" bestFit="1" customWidth="1"/>
    <col min="5" max="5" width="8.81640625" customWidth="1"/>
    <col min="6" max="6" width="9.81640625" bestFit="1" customWidth="1"/>
    <col min="7" max="7" width="7.54296875" bestFit="1" customWidth="1"/>
    <col min="8" max="8" width="8.7265625" bestFit="1" customWidth="1"/>
    <col min="9" max="9" width="7.54296875" bestFit="1" customWidth="1"/>
    <col min="10" max="10" width="9.81640625" bestFit="1" customWidth="1"/>
    <col min="11" max="11" width="7.54296875" customWidth="1"/>
    <col min="12" max="12" width="11.81640625" bestFit="1" customWidth="1"/>
    <col min="13" max="13" width="10.26953125" bestFit="1" customWidth="1"/>
    <col min="14" max="14" width="7.54296875" bestFit="1" customWidth="1"/>
    <col min="15" max="15" width="10.26953125" bestFit="1" customWidth="1"/>
    <col min="16" max="17" width="8.7265625" hidden="1" customWidth="1"/>
    <col min="18" max="18" width="9.81640625" style="3" hidden="1" customWidth="1"/>
    <col min="19" max="19" width="7.54296875" style="3" hidden="1" customWidth="1"/>
    <col min="20" max="20" width="8.7265625" style="3" hidden="1" customWidth="1"/>
    <col min="21" max="21" width="7.54296875" style="3" hidden="1" customWidth="1"/>
    <col min="22" max="22" width="9.81640625" style="3" hidden="1" customWidth="1"/>
    <col min="23" max="23" width="7.54296875" style="3" hidden="1" customWidth="1"/>
    <col min="24" max="24" width="11.81640625" style="3" hidden="1" customWidth="1"/>
    <col min="25" max="27" width="13.453125" style="3" hidden="1" customWidth="1"/>
    <col min="28" max="29" width="8.7265625" style="3" hidden="1" customWidth="1"/>
    <col min="30" max="30" width="9.81640625" style="3" hidden="1" customWidth="1"/>
    <col min="31" max="31" width="7.54296875" style="3" hidden="1" customWidth="1"/>
    <col min="32" max="32" width="8.7265625" style="3" hidden="1" customWidth="1"/>
    <col min="33" max="33" width="7.54296875" style="3" hidden="1" customWidth="1"/>
    <col min="34" max="34" width="9.81640625" style="3" hidden="1" customWidth="1"/>
    <col min="35" max="35" width="7.54296875" style="3" hidden="1" customWidth="1"/>
    <col min="36" max="36" width="11.81640625" style="3" hidden="1" customWidth="1"/>
    <col min="37" max="37" width="10.26953125" style="3" hidden="1" customWidth="1"/>
    <col min="38" max="38" width="7.54296875" style="3" hidden="1" customWidth="1"/>
    <col min="39" max="39" width="10.26953125" style="3" hidden="1" customWidth="1"/>
    <col min="40" max="68" width="9.1796875" style="3"/>
  </cols>
  <sheetData>
    <row r="1" spans="1:39" ht="26" x14ac:dyDescent="0.6">
      <c r="A1" s="706" t="s">
        <v>954</v>
      </c>
      <c r="B1" s="707"/>
      <c r="C1" s="707"/>
      <c r="D1" s="707"/>
      <c r="E1" s="707"/>
      <c r="F1" s="707"/>
      <c r="G1" s="707"/>
      <c r="H1" s="707"/>
      <c r="I1" s="707"/>
      <c r="J1" s="707"/>
      <c r="K1" s="707"/>
      <c r="L1" s="707"/>
      <c r="M1" s="707"/>
      <c r="N1" s="707"/>
      <c r="O1" s="707"/>
      <c r="P1" s="280"/>
      <c r="Q1" s="280"/>
      <c r="R1" s="280"/>
      <c r="S1" s="280"/>
      <c r="T1" s="280"/>
      <c r="U1" s="280"/>
      <c r="V1" s="280"/>
      <c r="W1" s="280"/>
      <c r="X1" s="280"/>
      <c r="Y1" s="280"/>
      <c r="Z1" s="280"/>
      <c r="AA1" s="280"/>
      <c r="AB1" s="280"/>
      <c r="AC1" s="280"/>
      <c r="AD1" s="280"/>
      <c r="AE1" s="280"/>
      <c r="AF1" s="280"/>
      <c r="AG1" s="280"/>
      <c r="AH1" s="280"/>
      <c r="AI1" s="280"/>
      <c r="AJ1" s="280"/>
      <c r="AK1" s="280"/>
      <c r="AL1" s="280"/>
      <c r="AM1" s="280"/>
    </row>
    <row r="2" spans="1:39" ht="23.5" x14ac:dyDescent="0.55000000000000004">
      <c r="A2" s="284"/>
      <c r="B2" s="285"/>
      <c r="C2" s="285"/>
      <c r="D2" s="711" t="s">
        <v>1341</v>
      </c>
      <c r="E2" s="711"/>
      <c r="F2" s="711"/>
      <c r="G2" s="711"/>
      <c r="H2" s="711"/>
      <c r="I2" s="711"/>
      <c r="J2" s="711"/>
      <c r="K2" s="711"/>
      <c r="L2" s="711"/>
      <c r="M2" s="711"/>
      <c r="N2" s="711"/>
      <c r="O2" s="711"/>
      <c r="P2" s="623" t="s">
        <v>1350</v>
      </c>
      <c r="Q2" s="623"/>
      <c r="R2" s="623"/>
      <c r="S2" s="623"/>
      <c r="T2" s="623"/>
      <c r="U2" s="623"/>
      <c r="V2" s="623"/>
      <c r="W2" s="623"/>
      <c r="X2" s="623"/>
      <c r="Y2" s="623"/>
      <c r="Z2" s="340"/>
      <c r="AA2" s="340"/>
      <c r="AB2" s="710" t="s">
        <v>1351</v>
      </c>
      <c r="AC2" s="710"/>
      <c r="AD2" s="710"/>
      <c r="AE2" s="710"/>
      <c r="AF2" s="710"/>
      <c r="AG2" s="710"/>
      <c r="AH2" s="710"/>
      <c r="AI2" s="710"/>
      <c r="AJ2" s="710"/>
      <c r="AK2" s="710"/>
      <c r="AL2" s="710"/>
      <c r="AM2" s="710"/>
    </row>
    <row r="3" spans="1:39" ht="23.25" customHeight="1" x14ac:dyDescent="0.55000000000000004">
      <c r="A3" s="413"/>
      <c r="B3" s="709" t="s">
        <v>1739</v>
      </c>
      <c r="C3" s="709"/>
      <c r="D3" s="681" t="s">
        <v>1712</v>
      </c>
      <c r="E3" s="692" t="s">
        <v>1714</v>
      </c>
      <c r="F3" s="680" t="s">
        <v>1718</v>
      </c>
      <c r="G3" s="680"/>
      <c r="H3" s="678" t="s">
        <v>1427</v>
      </c>
      <c r="I3" s="679"/>
      <c r="J3" s="680" t="s">
        <v>1720</v>
      </c>
      <c r="K3" s="680"/>
      <c r="L3" s="681" t="s">
        <v>1446</v>
      </c>
      <c r="M3" s="681" t="s">
        <v>1719</v>
      </c>
      <c r="N3" s="692" t="s">
        <v>1427</v>
      </c>
      <c r="O3" s="681" t="s">
        <v>1713</v>
      </c>
      <c r="P3" s="685" t="s">
        <v>1712</v>
      </c>
      <c r="Q3" s="694" t="s">
        <v>1714</v>
      </c>
      <c r="R3" s="662" t="s">
        <v>1718</v>
      </c>
      <c r="S3" s="662"/>
      <c r="T3" s="703" t="s">
        <v>1427</v>
      </c>
      <c r="U3" s="704"/>
      <c r="V3" s="662" t="s">
        <v>1720</v>
      </c>
      <c r="W3" s="662"/>
      <c r="X3" s="685" t="s">
        <v>1446</v>
      </c>
      <c r="Y3" s="685" t="s">
        <v>1719</v>
      </c>
      <c r="Z3" s="694" t="s">
        <v>1427</v>
      </c>
      <c r="AA3" s="685" t="s">
        <v>1713</v>
      </c>
      <c r="AB3" s="682" t="s">
        <v>1712</v>
      </c>
      <c r="AC3" s="683" t="s">
        <v>1714</v>
      </c>
      <c r="AD3" s="686" t="s">
        <v>1718</v>
      </c>
      <c r="AE3" s="686"/>
      <c r="AF3" s="687" t="s">
        <v>1427</v>
      </c>
      <c r="AG3" s="688"/>
      <c r="AH3" s="686" t="s">
        <v>1720</v>
      </c>
      <c r="AI3" s="686"/>
      <c r="AJ3" s="682" t="s">
        <v>1446</v>
      </c>
      <c r="AK3" s="682" t="s">
        <v>1719</v>
      </c>
      <c r="AL3" s="683" t="s">
        <v>1427</v>
      </c>
      <c r="AM3" s="682" t="s">
        <v>1713</v>
      </c>
    </row>
    <row r="4" spans="1:39" ht="15.5" x14ac:dyDescent="0.35">
      <c r="A4" s="414" t="s">
        <v>345</v>
      </c>
      <c r="B4" s="301" t="s">
        <v>888</v>
      </c>
      <c r="C4" s="301" t="s">
        <v>887</v>
      </c>
      <c r="D4" s="681"/>
      <c r="E4" s="693"/>
      <c r="F4" s="337" t="s">
        <v>888</v>
      </c>
      <c r="G4" s="337" t="s">
        <v>887</v>
      </c>
      <c r="H4" s="337" t="s">
        <v>888</v>
      </c>
      <c r="I4" s="337" t="s">
        <v>887</v>
      </c>
      <c r="J4" s="337" t="s">
        <v>888</v>
      </c>
      <c r="K4" s="337" t="s">
        <v>887</v>
      </c>
      <c r="L4" s="680"/>
      <c r="M4" s="681"/>
      <c r="N4" s="696"/>
      <c r="O4" s="681"/>
      <c r="P4" s="685"/>
      <c r="Q4" s="695"/>
      <c r="R4" s="140" t="s">
        <v>888</v>
      </c>
      <c r="S4" s="140" t="s">
        <v>887</v>
      </c>
      <c r="T4" s="140" t="s">
        <v>888</v>
      </c>
      <c r="U4" s="140" t="s">
        <v>887</v>
      </c>
      <c r="V4" s="140" t="s">
        <v>888</v>
      </c>
      <c r="W4" s="140" t="s">
        <v>887</v>
      </c>
      <c r="X4" s="662"/>
      <c r="Y4" s="685"/>
      <c r="Z4" s="705"/>
      <c r="AA4" s="685"/>
      <c r="AB4" s="682"/>
      <c r="AC4" s="684"/>
      <c r="AD4" s="339" t="s">
        <v>888</v>
      </c>
      <c r="AE4" s="339" t="s">
        <v>887</v>
      </c>
      <c r="AF4" s="339" t="s">
        <v>888</v>
      </c>
      <c r="AG4" s="339" t="s">
        <v>887</v>
      </c>
      <c r="AH4" s="339" t="s">
        <v>888</v>
      </c>
      <c r="AI4" s="339" t="s">
        <v>887</v>
      </c>
      <c r="AJ4" s="686"/>
      <c r="AK4" s="682"/>
      <c r="AL4" s="684"/>
      <c r="AM4" s="682"/>
    </row>
    <row r="5" spans="1:39" ht="15.5" x14ac:dyDescent="0.35">
      <c r="A5" s="160" t="s">
        <v>66</v>
      </c>
      <c r="B5" s="161"/>
      <c r="C5" s="161"/>
      <c r="D5" s="281"/>
      <c r="E5" s="441"/>
      <c r="F5" s="443"/>
      <c r="G5" s="161"/>
      <c r="H5" s="161"/>
      <c r="I5" s="161"/>
      <c r="J5" s="417"/>
      <c r="K5" s="162"/>
      <c r="L5" s="163"/>
      <c r="M5" s="418"/>
      <c r="N5" s="421"/>
      <c r="O5" s="164"/>
      <c r="P5" s="286"/>
      <c r="Q5" s="442"/>
      <c r="R5" s="443"/>
      <c r="S5" s="161"/>
      <c r="T5" s="161"/>
      <c r="U5" s="161"/>
      <c r="V5" s="417"/>
      <c r="W5" s="162"/>
      <c r="X5" s="163"/>
      <c r="Y5" s="418"/>
      <c r="Z5" s="421"/>
      <c r="AA5" s="164"/>
      <c r="AB5" s="289"/>
      <c r="AC5" s="444"/>
      <c r="AD5" s="161"/>
      <c r="AE5" s="161"/>
      <c r="AF5" s="161"/>
      <c r="AG5" s="161"/>
      <c r="AH5" s="417"/>
      <c r="AI5" s="162"/>
      <c r="AJ5" s="163"/>
      <c r="AK5" s="418"/>
      <c r="AL5" s="421"/>
      <c r="AM5" s="164"/>
    </row>
    <row r="6" spans="1:39" ht="15.5" x14ac:dyDescent="0.35">
      <c r="A6" s="165" t="s">
        <v>293</v>
      </c>
      <c r="B6" s="166">
        <v>275</v>
      </c>
      <c r="C6" s="166"/>
      <c r="D6" s="282" cm="1">
        <f t="array" ref="D6">SUMPRODUCT(--(D_Category="Ex_Cat_1"),--(D_EffDate="Eff_Date_1"),--(D_Product="IF"),--(D_SC_Name=$A6),--(D_Zone="All"),(D_Percent))</f>
        <v>0</v>
      </c>
      <c r="E6" s="282" cm="1">
        <f t="array" ref="E6">SUMPRODUCT(--(D_Category="Ex_Cat_1"),--(D_EffDate="Eff_Date_2"),--(D_Product="IF"),--(D_SC_Name=$A6),--(D_Zone="All"),(D_Percent))</f>
        <v>0</v>
      </c>
      <c r="F6" s="167">
        <f>ROUND(($B6*(1-D6)),2)</f>
        <v>275</v>
      </c>
      <c r="G6" s="416"/>
      <c r="H6" s="166">
        <f>J6-F6</f>
        <v>0</v>
      </c>
      <c r="I6" s="166"/>
      <c r="J6" s="167">
        <f>ROUND(($B6*(1-E6)),2)</f>
        <v>275</v>
      </c>
      <c r="K6" s="168"/>
      <c r="L6" s="169" cm="1">
        <f t="array" ref="L6">SUMPRODUCT(--(Category="Ex_Cat_1"),--(OpCo="Express Freight"),--(Intl="International"),--(SC_Name=$A6),(SC_Count))</f>
        <v>0</v>
      </c>
      <c r="M6" s="419">
        <f>L6*F6</f>
        <v>0</v>
      </c>
      <c r="N6" s="422">
        <f>O6-M6</f>
        <v>0</v>
      </c>
      <c r="O6" s="170">
        <f>L6*J6</f>
        <v>0</v>
      </c>
      <c r="P6" s="287" cm="1">
        <f t="array" ref="P6">SUMPRODUCT(--(D_Category="Ex_Cat_2"),--(D_EffDate="Eff_Date_1"),--(D_Product="IF"),--(D_SC_Name=$A6),--(D_Zone="All"),(D_Percent))</f>
        <v>0</v>
      </c>
      <c r="Q6" s="287" cm="1">
        <f t="array" ref="Q6">SUMPRODUCT(--(D_Category="Ex_Cat_2"),--(D_EffDate="Eff_Date_2"),--(D_Product="IF"),--(D_SC_Name=$A6),--(D_Zone="All"),(D_Percent))</f>
        <v>0</v>
      </c>
      <c r="R6" s="167">
        <f>ROUND(($B6*(1-P6)),2)</f>
        <v>275</v>
      </c>
      <c r="S6" s="416"/>
      <c r="T6" s="166">
        <f>V6-R6</f>
        <v>0</v>
      </c>
      <c r="U6" s="166"/>
      <c r="V6" s="167">
        <f>ROUND(($B6*(1-Q6)),2)</f>
        <v>275</v>
      </c>
      <c r="W6" s="168"/>
      <c r="X6" s="169" cm="1">
        <f t="array" ref="X6">SUMPRODUCT(--(Category="Ex_Cat_2"),--(OpCo="Express Freight"),--(Intl="International"),--(SC_Name=$A6),(SC_Count))</f>
        <v>0</v>
      </c>
      <c r="Y6" s="419">
        <f>X6*R6</f>
        <v>0</v>
      </c>
      <c r="Z6" s="422">
        <f>AA6-Y6</f>
        <v>0</v>
      </c>
      <c r="AA6" s="170">
        <f>X6*V6</f>
        <v>0</v>
      </c>
      <c r="AB6" s="290" cm="1">
        <f t="array" ref="AB6">SUMPRODUCT(--(D_Category="Ex_Cat_3"),--(D_EffDate="Eff_Date_1"),--(D_Product="IF"),--(D_SC_Name=$A6),--(D_Zone="All"),(D_Percent))</f>
        <v>0</v>
      </c>
      <c r="AC6" s="290" cm="1">
        <f t="array" ref="AC6">SUMPRODUCT(--(D_Category="Ex_Cat_3"),--(D_EffDate="Eff_Date_2"),--(D_Product="IF"),--(D_SC_Name=$A6),--(D_Zone="All"),(D_Percent))</f>
        <v>0</v>
      </c>
      <c r="AD6" s="167">
        <f>ROUND(($B6*(1-AB6)),2)</f>
        <v>275</v>
      </c>
      <c r="AE6" s="416"/>
      <c r="AF6" s="166">
        <f>AH6-AD6</f>
        <v>0</v>
      </c>
      <c r="AG6" s="166"/>
      <c r="AH6" s="167">
        <f>ROUND(($B6*(1-AC6)),2)</f>
        <v>275</v>
      </c>
      <c r="AI6" s="168"/>
      <c r="AJ6" s="169" cm="1">
        <f t="array" ref="AJ6">SUMPRODUCT(--(Category="Ex_Cat_3"),--(OpCo="Express Freight"),--(Intl="International"),--(SC_Name=$A6),(SC_Count))</f>
        <v>0</v>
      </c>
      <c r="AK6" s="419">
        <f>AJ6*AD6</f>
        <v>0</v>
      </c>
      <c r="AL6" s="422">
        <f>AM6-AK6</f>
        <v>0</v>
      </c>
      <c r="AM6" s="170">
        <f>AJ6*AH6</f>
        <v>0</v>
      </c>
    </row>
    <row r="7" spans="1:39" ht="15.5" x14ac:dyDescent="0.35">
      <c r="A7" s="165" t="s">
        <v>291</v>
      </c>
      <c r="B7" s="166">
        <v>350</v>
      </c>
      <c r="C7" s="166"/>
      <c r="D7" s="282" cm="1">
        <f t="array" ref="D7">SUMPRODUCT(--(D_Category="Ex_Cat_1"),--(D_EffDate="Eff_Date_1"),--(D_Product="IF"),--(D_SC_Name=$A7),--(D_Zone="All"),(D_Percent))</f>
        <v>0</v>
      </c>
      <c r="E7" s="282" cm="1">
        <f t="array" ref="E7">SUMPRODUCT(--(D_Category="Ex_Cat_1"),--(D_EffDate="Eff_Date_2"),--(D_Product="IF"),--(D_SC_Name=$A7),--(D_Zone="All"),(D_Percent))</f>
        <v>0</v>
      </c>
      <c r="F7" s="167">
        <f>ROUND(($B7*(1-D7)),2)</f>
        <v>350</v>
      </c>
      <c r="G7" s="416"/>
      <c r="H7" s="166">
        <f t="shared" ref="H7:H8" si="0">J7-F7</f>
        <v>0</v>
      </c>
      <c r="I7" s="166"/>
      <c r="J7" s="167">
        <f>ROUND(($B7*(1-E7)),2)</f>
        <v>350</v>
      </c>
      <c r="K7" s="168"/>
      <c r="L7" s="169" cm="1">
        <f t="array" ref="L7">SUMPRODUCT(--(Category="Ex_Cat_1"),--(OpCo="Express Freight"),--(Intl="International"),--(SC_Name=$A7),(SC_Count))</f>
        <v>0</v>
      </c>
      <c r="M7" s="419">
        <f>L7*F7</f>
        <v>0</v>
      </c>
      <c r="N7" s="422">
        <f t="shared" ref="N7:N29" si="1">O7-M7</f>
        <v>0</v>
      </c>
      <c r="O7" s="170">
        <f t="shared" ref="O7:O29" si="2">L7*J7</f>
        <v>0</v>
      </c>
      <c r="P7" s="287" cm="1">
        <f t="array" ref="P7">SUMPRODUCT(--(D_Category="Ex_Cat_2"),--(D_EffDate="Eff_Date_1"),--(D_Product="IF"),--(D_SC_Name=$A7),--(D_Zone="All"),(D_Percent))</f>
        <v>0</v>
      </c>
      <c r="Q7" s="287" cm="1">
        <f t="array" ref="Q7">SUMPRODUCT(--(D_Category="Ex_Cat_2"),--(D_EffDate="Eff_Date_2"),--(D_Product="IF"),--(D_SC_Name=$A7),--(D_Zone="All"),(D_Percent))</f>
        <v>0</v>
      </c>
      <c r="R7" s="167">
        <f>ROUND(($B7*(1-P7)),2)</f>
        <v>350</v>
      </c>
      <c r="S7" s="416"/>
      <c r="T7" s="166">
        <f t="shared" ref="T7:T8" si="3">V7-R7</f>
        <v>0</v>
      </c>
      <c r="U7" s="166"/>
      <c r="V7" s="167">
        <f>ROUND(($B7*(1-Q7)),2)</f>
        <v>350</v>
      </c>
      <c r="W7" s="168"/>
      <c r="X7" s="169" cm="1">
        <f t="array" ref="X7">SUMPRODUCT(--(Category="Ex_Cat_2"),--(OpCo="Express Freight"),--(Intl="International"),--(SC_Name=$A7),(SC_Count))</f>
        <v>0</v>
      </c>
      <c r="Y7" s="419">
        <f>X7*R7</f>
        <v>0</v>
      </c>
      <c r="Z7" s="422">
        <f t="shared" ref="Z7:Z29" si="4">AA7-Y7</f>
        <v>0</v>
      </c>
      <c r="AA7" s="170">
        <f t="shared" ref="AA7:AA8" si="5">X7*V7</f>
        <v>0</v>
      </c>
      <c r="AB7" s="290" cm="1">
        <f t="array" ref="AB7">SUMPRODUCT(--(D_Category="Ex_Cat_3"),--(D_EffDate="Eff_Date_1"),--(D_Product="IF"),--(D_SC_Name=$A7),--(D_Zone="All"),(D_Percent))</f>
        <v>0</v>
      </c>
      <c r="AC7" s="290" cm="1">
        <f t="array" ref="AC7">SUMPRODUCT(--(D_Category="Ex_Cat_3"),--(D_EffDate="Eff_Date_2"),--(D_Product="IF"),--(D_SC_Name=$A7),--(D_Zone="All"),(D_Percent))</f>
        <v>0</v>
      </c>
      <c r="AD7" s="167">
        <f>ROUND(($B7*(1-AB7)),2)</f>
        <v>350</v>
      </c>
      <c r="AE7" s="416"/>
      <c r="AF7" s="166">
        <f t="shared" ref="AF7:AF8" si="6">AH7-AD7</f>
        <v>0</v>
      </c>
      <c r="AG7" s="166"/>
      <c r="AH7" s="167">
        <f>ROUND(($B7*(1-AC7)),2)</f>
        <v>350</v>
      </c>
      <c r="AI7" s="168"/>
      <c r="AJ7" s="169" cm="1">
        <f t="array" ref="AJ7">SUMPRODUCT(--(Category="Ex_Cat_3"),--(OpCo="Express Freight"),--(Intl="International"),--(SC_Name=$A7),(SC_Count))</f>
        <v>0</v>
      </c>
      <c r="AK7" s="419">
        <f>AJ7*AD7</f>
        <v>0</v>
      </c>
      <c r="AL7" s="422">
        <f t="shared" ref="AL7:AL29" si="7">AM7-AK7</f>
        <v>0</v>
      </c>
      <c r="AM7" s="170">
        <f t="shared" ref="AM7:AM8" si="8">AJ7*AH7</f>
        <v>0</v>
      </c>
    </row>
    <row r="8" spans="1:39" ht="15.5" x14ac:dyDescent="0.35">
      <c r="A8" s="171" t="s">
        <v>31</v>
      </c>
      <c r="B8" s="172">
        <v>25.5</v>
      </c>
      <c r="C8" s="172"/>
      <c r="D8" s="282" cm="1">
        <f t="array" ref="D8">SUMPRODUCT(--(D_Category="Ex_Cat_1"),--(D_EffDate="Eff_Date_1"),--(D_Product="IF"),--(D_SC_Name=$A8),--(D_Zone="All"),(D_Percent))</f>
        <v>0</v>
      </c>
      <c r="E8" s="282" cm="1">
        <f t="array" ref="E8">SUMPRODUCT(--(D_Category="Ex_Cat_1"),--(D_EffDate="Eff_Date_2"),--(D_Product="IF"),--(D_SC_Name=$A8),--(D_Zone="All"),(D_Percent))</f>
        <v>0</v>
      </c>
      <c r="F8" s="173">
        <f>ROUND(($B8*(1-D8)),2)</f>
        <v>25.5</v>
      </c>
      <c r="G8" s="415"/>
      <c r="H8" s="172">
        <f t="shared" si="0"/>
        <v>0</v>
      </c>
      <c r="I8" s="172"/>
      <c r="J8" s="173">
        <f>ROUND(($B8*(1-E8)),2)</f>
        <v>25.5</v>
      </c>
      <c r="K8" s="174"/>
      <c r="L8" s="175" cm="1">
        <f t="array" ref="L8">SUMPRODUCT(--(Category="Ex_Cat_1"),--(OpCo="Express Freight"),--(Intl="International"),--(SC_Name=$A8),(SC_Count))</f>
        <v>0</v>
      </c>
      <c r="M8" s="420">
        <f>L8*F8</f>
        <v>0</v>
      </c>
      <c r="N8" s="423">
        <f t="shared" si="1"/>
        <v>0</v>
      </c>
      <c r="O8" s="176">
        <f t="shared" si="2"/>
        <v>0</v>
      </c>
      <c r="P8" s="287" cm="1">
        <f t="array" ref="P8">SUMPRODUCT(--(D_Category="Ex_Cat_2"),--(D_EffDate="Eff_Date_1"),--(D_Product="IF"),--(D_SC_Name=$A8),--(D_Zone="All"),(D_Percent))</f>
        <v>0</v>
      </c>
      <c r="Q8" s="287" cm="1">
        <f t="array" ref="Q8">SUMPRODUCT(--(D_Category="Ex_Cat_2"),--(D_EffDate="Eff_Date_2"),--(D_Product="IF"),--(D_SC_Name=$A8),--(D_Zone="All"),(D_Percent))</f>
        <v>0</v>
      </c>
      <c r="R8" s="173">
        <f>ROUND(($B8*(1-P8)),2)</f>
        <v>25.5</v>
      </c>
      <c r="S8" s="415"/>
      <c r="T8" s="172">
        <f t="shared" si="3"/>
        <v>0</v>
      </c>
      <c r="U8" s="172"/>
      <c r="V8" s="173">
        <f>ROUND(($B8*(1-Q8)),2)</f>
        <v>25.5</v>
      </c>
      <c r="W8" s="174"/>
      <c r="X8" s="175" cm="1">
        <f t="array" ref="X8">SUMPRODUCT(--(Category="Ex_Cat_2"),--(OpCo="Express Freight"),--(Intl="International"),--(SC_Name=$A8),(SC_Count))</f>
        <v>0</v>
      </c>
      <c r="Y8" s="420">
        <f>X8*R8</f>
        <v>0</v>
      </c>
      <c r="Z8" s="423">
        <f t="shared" si="4"/>
        <v>0</v>
      </c>
      <c r="AA8" s="176">
        <f t="shared" si="5"/>
        <v>0</v>
      </c>
      <c r="AB8" s="290" cm="1">
        <f t="array" ref="AB8">SUMPRODUCT(--(D_Category="Ex_Cat_3"),--(D_EffDate="Eff_Date_1"),--(D_Product="IF"),--(D_SC_Name=$A8),--(D_Zone="All"),(D_Percent))</f>
        <v>0</v>
      </c>
      <c r="AC8" s="290" cm="1">
        <f t="array" ref="AC8">SUMPRODUCT(--(D_Category="Ex_Cat_3"),--(D_EffDate="Eff_Date_2"),--(D_Product="IF"),--(D_SC_Name=$A8),--(D_Zone="All"),(D_Percent))</f>
        <v>0</v>
      </c>
      <c r="AD8" s="173">
        <f>ROUND(($B8*(1-AB8)),2)</f>
        <v>25.5</v>
      </c>
      <c r="AE8" s="415"/>
      <c r="AF8" s="172">
        <f t="shared" si="6"/>
        <v>0</v>
      </c>
      <c r="AG8" s="172"/>
      <c r="AH8" s="173">
        <f>ROUND(($B8*(1-AC8)),2)</f>
        <v>25.5</v>
      </c>
      <c r="AI8" s="174"/>
      <c r="AJ8" s="175" cm="1">
        <f t="array" ref="AJ8">SUMPRODUCT(--(Category="Ex_Cat_3"),--(OpCo="Express Freight"),--(Intl="International"),--(SC_Name=$A8),(SC_Count))</f>
        <v>0</v>
      </c>
      <c r="AK8" s="420">
        <f>AJ8*AD8</f>
        <v>0</v>
      </c>
      <c r="AL8" s="423">
        <f t="shared" si="7"/>
        <v>0</v>
      </c>
      <c r="AM8" s="176">
        <f t="shared" si="8"/>
        <v>0</v>
      </c>
    </row>
    <row r="9" spans="1:39" s="3" customFormat="1" ht="15.5" x14ac:dyDescent="0.35">
      <c r="A9" s="160" t="s">
        <v>51</v>
      </c>
      <c r="B9" s="166"/>
      <c r="C9" s="166"/>
      <c r="D9" s="282"/>
      <c r="E9" s="282"/>
      <c r="F9" s="167"/>
      <c r="G9" s="416"/>
      <c r="H9" s="166"/>
      <c r="I9" s="166"/>
      <c r="J9" s="167"/>
      <c r="K9" s="168"/>
      <c r="L9" s="169"/>
      <c r="M9" s="419"/>
      <c r="N9" s="422">
        <f t="shared" si="1"/>
        <v>0</v>
      </c>
      <c r="O9" s="170"/>
      <c r="P9" s="287"/>
      <c r="Q9" s="287"/>
      <c r="R9" s="167"/>
      <c r="S9" s="416"/>
      <c r="T9" s="166"/>
      <c r="U9" s="166"/>
      <c r="V9" s="167"/>
      <c r="W9" s="168"/>
      <c r="X9" s="169"/>
      <c r="Y9" s="419"/>
      <c r="Z9" s="422">
        <f t="shared" si="4"/>
        <v>0</v>
      </c>
      <c r="AA9" s="170"/>
      <c r="AB9" s="290"/>
      <c r="AC9" s="290"/>
      <c r="AD9" s="167"/>
      <c r="AE9" s="416"/>
      <c r="AF9" s="166"/>
      <c r="AG9" s="166"/>
      <c r="AH9" s="167"/>
      <c r="AI9" s="168"/>
      <c r="AJ9" s="169"/>
      <c r="AK9" s="419"/>
      <c r="AL9" s="422">
        <f t="shared" si="7"/>
        <v>0</v>
      </c>
      <c r="AM9" s="170"/>
    </row>
    <row r="10" spans="1:39" s="3" customFormat="1" ht="15.5" x14ac:dyDescent="0.35">
      <c r="A10" s="165" t="s">
        <v>876</v>
      </c>
      <c r="B10" s="166">
        <v>270</v>
      </c>
      <c r="C10" s="166">
        <v>1.48</v>
      </c>
      <c r="D10" s="282" cm="1">
        <f t="array" ref="D10">SUMPRODUCT(--(D_Category="Ex_Cat_1"),--(D_EffDate="Eff_Date_1"),--(D_Product="IF"),--(D_SC_Name=$A10),--(D_Zone="All"),(D_Percent))</f>
        <v>0</v>
      </c>
      <c r="E10" s="282" cm="1">
        <f t="array" ref="E10">SUMPRODUCT(--(D_Category="Ex_Cat_1"),--(D_EffDate="Eff_Date_2"),--(D_Product="IF"),--(D_SC_Name=$A10),--(D_Zone="All"),(D_Percent))</f>
        <v>0</v>
      </c>
      <c r="F10" s="167">
        <f>ROUND(($B10*(1-D10)),2)</f>
        <v>270</v>
      </c>
      <c r="G10" s="167">
        <f>ROUND(($C10*(1-D10)),2)</f>
        <v>1.48</v>
      </c>
      <c r="H10" s="166">
        <f t="shared" ref="H10:H12" si="9">J10-F10</f>
        <v>0</v>
      </c>
      <c r="I10" s="166">
        <f t="shared" ref="I10:I12" si="10">K10-G10</f>
        <v>0</v>
      </c>
      <c r="J10" s="167">
        <f>ROUND(($B10*(1-E10)),2)</f>
        <v>270</v>
      </c>
      <c r="K10" s="183">
        <f>ROUND(($C10*(1-E10)),2)</f>
        <v>1.48</v>
      </c>
      <c r="L10" s="169" cm="1">
        <f t="array" ref="L10">SUMPRODUCT(--(Category="Ex_Cat_1"),--(OpCo="Express Freight"),--(Intl="International"),--(SC_Name=$A10),(SC_Count))</f>
        <v>0</v>
      </c>
      <c r="M10" s="419">
        <f>L10*F10</f>
        <v>0</v>
      </c>
      <c r="N10" s="422">
        <f t="shared" si="1"/>
        <v>0</v>
      </c>
      <c r="O10" s="170">
        <f t="shared" si="2"/>
        <v>0</v>
      </c>
      <c r="P10" s="287" cm="1">
        <f t="array" ref="P10">SUMPRODUCT(--(D_Category="Ex_Cat_2"),--(D_EffDate="Eff_Date_1"),--(D_Product="IF"),--(D_SC_Name=$A10),--(D_Zone="All"),(D_Percent))</f>
        <v>0</v>
      </c>
      <c r="Q10" s="287" cm="1">
        <f t="array" ref="Q10">SUMPRODUCT(--(D_Category="Ex_Cat_2"),--(D_EffDate="Eff_Date_2"),--(D_Product="IF"),--(D_SC_Name=$A10),--(D_Zone="All"),(D_Percent))</f>
        <v>0</v>
      </c>
      <c r="R10" s="167">
        <f>ROUND(($B10*(1-P10)),2)</f>
        <v>270</v>
      </c>
      <c r="S10" s="167">
        <f>ROUND(($C10*(1-P10)),2)</f>
        <v>1.48</v>
      </c>
      <c r="T10" s="166">
        <f t="shared" ref="T10:T12" si="11">V10-R10</f>
        <v>0</v>
      </c>
      <c r="U10" s="166">
        <f t="shared" ref="U10:U12" si="12">W10-S10</f>
        <v>0</v>
      </c>
      <c r="V10" s="167">
        <f>ROUND(($B10*(1-Q10)),2)</f>
        <v>270</v>
      </c>
      <c r="W10" s="183">
        <f>ROUND(($C10*(1-Q10)),2)</f>
        <v>1.48</v>
      </c>
      <c r="X10" s="169" cm="1">
        <f t="array" ref="X10">SUMPRODUCT(--(Category="Ex_Cat_2"),--(OpCo="Express Freight"),--(Intl="International"),--(SC_Name=$A10),(SC_Count))</f>
        <v>0</v>
      </c>
      <c r="Y10" s="419">
        <f>X10*R10</f>
        <v>0</v>
      </c>
      <c r="Z10" s="422">
        <f t="shared" si="4"/>
        <v>0</v>
      </c>
      <c r="AA10" s="170">
        <f t="shared" ref="AA10:AA11" si="13">X10*V10</f>
        <v>0</v>
      </c>
      <c r="AB10" s="290" cm="1">
        <f t="array" ref="AB10">SUMPRODUCT(--(D_Category="Ex_Cat_3"),--(D_EffDate="Eff_Date_1"),--(D_Product="IF"),--(D_SC_Name=$A10),--(D_Zone="All"),(D_Percent))</f>
        <v>0</v>
      </c>
      <c r="AC10" s="290" cm="1">
        <f t="array" ref="AC10">SUMPRODUCT(--(D_Category="Ex_Cat_3"),--(D_EffDate="Eff_Date_2"),--(D_Product="IF"),--(D_SC_Name=$A10),--(D_Zone="All"),(D_Percent))</f>
        <v>0</v>
      </c>
      <c r="AD10" s="167">
        <f>ROUND(($B10*(1-AB10)),2)</f>
        <v>270</v>
      </c>
      <c r="AE10" s="167">
        <f>ROUND(($C10*(1-AB10)),2)</f>
        <v>1.48</v>
      </c>
      <c r="AF10" s="166">
        <f t="shared" ref="AF10:AF12" si="14">AH10-AD10</f>
        <v>0</v>
      </c>
      <c r="AG10" s="166">
        <f t="shared" ref="AG10:AG12" si="15">AI10-AE10</f>
        <v>0</v>
      </c>
      <c r="AH10" s="167">
        <f>ROUND(($B10*(1-AC10)),2)</f>
        <v>270</v>
      </c>
      <c r="AI10" s="183">
        <f>ROUND(($C10*(1-AC10)),2)</f>
        <v>1.48</v>
      </c>
      <c r="AJ10" s="169" cm="1">
        <f t="array" ref="AJ10">SUMPRODUCT(--(Category="Ex_Cat_3"),--(OpCo="Express Freight"),--(Intl="International"),--(SC_Name=$A10),(SC_Count))</f>
        <v>0</v>
      </c>
      <c r="AK10" s="419">
        <f>AJ10*AD10</f>
        <v>0</v>
      </c>
      <c r="AL10" s="422">
        <f t="shared" si="7"/>
        <v>0</v>
      </c>
      <c r="AM10" s="170">
        <f t="shared" ref="AM10:AM11" si="16">AJ10*AH10</f>
        <v>0</v>
      </c>
    </row>
    <row r="11" spans="1:39" s="3" customFormat="1" ht="15.5" x14ac:dyDescent="0.35">
      <c r="A11" s="165" t="s">
        <v>877</v>
      </c>
      <c r="B11" s="166">
        <v>153.5</v>
      </c>
      <c r="C11" s="166">
        <v>0.71</v>
      </c>
      <c r="D11" s="282" cm="1">
        <f t="array" ref="D11">SUMPRODUCT(--(D_Category="Ex_Cat_1"),--(D_EffDate="Eff_Date_1"),--(D_Product="IF"),--(D_SC_Name=$A11),--(D_Zone="All"),(D_Percent))</f>
        <v>0</v>
      </c>
      <c r="E11" s="282" cm="1">
        <f t="array" ref="E11">SUMPRODUCT(--(D_Category="Ex_Cat_1"),--(D_EffDate="Eff_Date_2"),--(D_Product="IF"),--(D_SC_Name=$A11),--(D_Zone="All"),(D_Percent))</f>
        <v>0</v>
      </c>
      <c r="F11" s="167">
        <f>ROUND(($B11*(1-D11)),2)</f>
        <v>153.5</v>
      </c>
      <c r="G11" s="167">
        <f>ROUND(($C11*(1-D11)),2)</f>
        <v>0.71</v>
      </c>
      <c r="H11" s="166">
        <f t="shared" si="9"/>
        <v>0</v>
      </c>
      <c r="I11" s="166">
        <f t="shared" si="10"/>
        <v>0</v>
      </c>
      <c r="J11" s="167">
        <f>ROUND(($B11*(1-E11)),2)</f>
        <v>153.5</v>
      </c>
      <c r="K11" s="183">
        <f>ROUND(($C11*(1-E11)),2)</f>
        <v>0.71</v>
      </c>
      <c r="L11" s="169" cm="1">
        <f t="array" ref="L11">SUMPRODUCT(--(Category="Ex_Cat_1"),--(OpCo="Express Freight"),--(Intl="International"),--(SC_Name=$A11),(SC_Count))</f>
        <v>0</v>
      </c>
      <c r="M11" s="419">
        <f>L11*F11</f>
        <v>0</v>
      </c>
      <c r="N11" s="422">
        <f t="shared" si="1"/>
        <v>0</v>
      </c>
      <c r="O11" s="170">
        <f t="shared" si="2"/>
        <v>0</v>
      </c>
      <c r="P11" s="287" cm="1">
        <f t="array" ref="P11">SUMPRODUCT(--(D_Category="Ex_Cat_2"),--(D_EffDate="Eff_Date_1"),--(D_Product="IF"),--(D_SC_Name=$A11),--(D_Zone="All"),(D_Percent))</f>
        <v>0</v>
      </c>
      <c r="Q11" s="287" cm="1">
        <f t="array" ref="Q11">SUMPRODUCT(--(D_Category="Ex_Cat_2"),--(D_EffDate="Eff_Date_2"),--(D_Product="IF"),--(D_SC_Name=$A11),--(D_Zone="All"),(D_Percent))</f>
        <v>0</v>
      </c>
      <c r="R11" s="167">
        <f>ROUND(($B11*(1-P11)),2)</f>
        <v>153.5</v>
      </c>
      <c r="S11" s="167">
        <f>ROUND(($C11*(1-P11)),2)</f>
        <v>0.71</v>
      </c>
      <c r="T11" s="166">
        <f t="shared" si="11"/>
        <v>0</v>
      </c>
      <c r="U11" s="166">
        <f t="shared" si="12"/>
        <v>0</v>
      </c>
      <c r="V11" s="167">
        <f>ROUND(($B11*(1-Q11)),2)</f>
        <v>153.5</v>
      </c>
      <c r="W11" s="183">
        <f>ROUND(($C11*(1-Q11)),2)</f>
        <v>0.71</v>
      </c>
      <c r="X11" s="169" cm="1">
        <f t="array" ref="X11">SUMPRODUCT(--(Category="Ex_Cat_2"),--(OpCo="Express Freight"),--(Intl="International"),--(SC_Name=$A11),(SC_Count))</f>
        <v>0</v>
      </c>
      <c r="Y11" s="419">
        <f>X11*R11</f>
        <v>0</v>
      </c>
      <c r="Z11" s="422">
        <f t="shared" si="4"/>
        <v>0</v>
      </c>
      <c r="AA11" s="170">
        <f t="shared" si="13"/>
        <v>0</v>
      </c>
      <c r="AB11" s="290" cm="1">
        <f t="array" ref="AB11">SUMPRODUCT(--(D_Category="Ex_Cat_3"),--(D_EffDate="Eff_Date_1"),--(D_Product="IF"),--(D_SC_Name=$A11),--(D_Zone="All"),(D_Percent))</f>
        <v>0</v>
      </c>
      <c r="AC11" s="290" cm="1">
        <f t="array" ref="AC11">SUMPRODUCT(--(D_Category="Ex_Cat_3"),--(D_EffDate="Eff_Date_2"),--(D_Product="IF"),--(D_SC_Name=$A11),--(D_Zone="All"),(D_Percent))</f>
        <v>0</v>
      </c>
      <c r="AD11" s="167">
        <f>ROUND(($B11*(1-AB11)),2)</f>
        <v>153.5</v>
      </c>
      <c r="AE11" s="167">
        <f>ROUND(($C11*(1-AB11)),2)</f>
        <v>0.71</v>
      </c>
      <c r="AF11" s="166">
        <f t="shared" si="14"/>
        <v>0</v>
      </c>
      <c r="AG11" s="166">
        <f t="shared" si="15"/>
        <v>0</v>
      </c>
      <c r="AH11" s="167">
        <f>ROUND(($B11*(1-AC11)),2)</f>
        <v>153.5</v>
      </c>
      <c r="AI11" s="183">
        <f>ROUND(($C11*(1-AC11)),2)</f>
        <v>0.71</v>
      </c>
      <c r="AJ11" s="169" cm="1">
        <f t="array" ref="AJ11">SUMPRODUCT(--(Category="Ex_Cat_3"),--(OpCo="Express Freight"),--(Intl="International"),--(SC_Name=$A11),(SC_Count))</f>
        <v>0</v>
      </c>
      <c r="AK11" s="419">
        <f>AJ11*AD11</f>
        <v>0</v>
      </c>
      <c r="AL11" s="422">
        <f t="shared" si="7"/>
        <v>0</v>
      </c>
      <c r="AM11" s="170">
        <f t="shared" si="16"/>
        <v>0</v>
      </c>
    </row>
    <row r="12" spans="1:39" s="3" customFormat="1" ht="15.5" x14ac:dyDescent="0.35">
      <c r="A12" s="178" t="s">
        <v>28</v>
      </c>
      <c r="B12" s="172">
        <v>1.65</v>
      </c>
      <c r="C12" s="172">
        <v>9.07</v>
      </c>
      <c r="D12" s="282" cm="1">
        <f t="array" ref="D12">SUMPRODUCT(--(D_Category="Ex_Cat_1"),--(D_EffDate="Eff_Date_1"),--(D_Product="IF"),--(D_SC_Name=$A12),--(D_Zone="All"),(D_Percent))</f>
        <v>0</v>
      </c>
      <c r="E12" s="282" cm="1">
        <f t="array" ref="E12">SUMPRODUCT(--(D_Category="Ex_Cat_1"),--(D_EffDate="Eff_Date_2"),--(D_Product="IF"),--(D_SC_Name=$A12),--(D_Zone="All"),(D_Percent))</f>
        <v>0</v>
      </c>
      <c r="F12" s="173">
        <f>ROUND(($B12*(1-D12)),2)</f>
        <v>1.65</v>
      </c>
      <c r="G12" s="173">
        <f>ROUND(($C12*(1-D12)),2)</f>
        <v>9.07</v>
      </c>
      <c r="H12" s="172">
        <f t="shared" si="9"/>
        <v>0</v>
      </c>
      <c r="I12" s="172">
        <f t="shared" si="10"/>
        <v>0</v>
      </c>
      <c r="J12" s="173">
        <f>ROUND(($B12*(1-E12)),2)</f>
        <v>1.65</v>
      </c>
      <c r="K12" s="184">
        <f>ROUND(($C12*(1-E12)),2)</f>
        <v>9.07</v>
      </c>
      <c r="L12" s="175" cm="1">
        <f t="array" ref="L12">SUMPRODUCT(--(Category="Ex_Cat_1"),--(OpCo="Express Freight"),--(Intl="International"),--(SC_Name=$A12),(SC_Count))</f>
        <v>0</v>
      </c>
      <c r="M12" s="270"/>
      <c r="N12" s="373"/>
      <c r="O12" s="373"/>
      <c r="P12" s="287" cm="1">
        <f t="array" ref="P12">SUMPRODUCT(--(D_Category="Ex_Cat_2"),--(D_EffDate="Eff_Date_1"),--(D_Product="IF"),--(D_SC_Name=$A12),--(D_Zone="All"),(D_Percent))</f>
        <v>0</v>
      </c>
      <c r="Q12" s="287" cm="1">
        <f t="array" ref="Q12">SUMPRODUCT(--(D_Category="Ex_Cat_2"),--(D_EffDate="Eff_Date_2"),--(D_Product="IF"),--(D_SC_Name=$A12),--(D_Zone="All"),(D_Percent))</f>
        <v>0</v>
      </c>
      <c r="R12" s="173">
        <f>ROUND(($B12*(1-P12)),2)</f>
        <v>1.65</v>
      </c>
      <c r="S12" s="173">
        <f>ROUND(($C12*(1-P12)),2)</f>
        <v>9.07</v>
      </c>
      <c r="T12" s="172">
        <f t="shared" si="11"/>
        <v>0</v>
      </c>
      <c r="U12" s="172">
        <f t="shared" si="12"/>
        <v>0</v>
      </c>
      <c r="V12" s="173">
        <f>ROUND(($B12*(1-Q12)),2)</f>
        <v>1.65</v>
      </c>
      <c r="W12" s="184">
        <f>ROUND(($C12*(1-Q12)),2)</f>
        <v>9.07</v>
      </c>
      <c r="X12" s="175" cm="1">
        <f t="array" ref="X12">SUMPRODUCT(--(Category="Ex_Cat_2"),--(OpCo="Express Freight"),--(Intl="International"),--(SC_Name=$A12),(SC_Count))</f>
        <v>0</v>
      </c>
      <c r="Y12" s="270"/>
      <c r="Z12" s="373"/>
      <c r="AA12" s="373"/>
      <c r="AB12" s="290" cm="1">
        <f t="array" ref="AB12">SUMPRODUCT(--(D_Category="Ex_Cat_3"),--(D_EffDate="Eff_Date_1"),--(D_Product="IF"),--(D_SC_Name=$A12),--(D_Zone="All"),(D_Percent))</f>
        <v>0</v>
      </c>
      <c r="AC12" s="290" cm="1">
        <f t="array" ref="AC12">SUMPRODUCT(--(D_Category="Ex_Cat_3"),--(D_EffDate="Eff_Date_2"),--(D_Product="IF"),--(D_SC_Name=$A12),--(D_Zone="All"),(D_Percent))</f>
        <v>0</v>
      </c>
      <c r="AD12" s="173">
        <f>ROUND(($B12*(1-AB12)),2)</f>
        <v>1.65</v>
      </c>
      <c r="AE12" s="173">
        <f>ROUND(($C12*(1-AB12)),2)</f>
        <v>9.07</v>
      </c>
      <c r="AF12" s="172">
        <f t="shared" si="14"/>
        <v>0</v>
      </c>
      <c r="AG12" s="172">
        <f t="shared" si="15"/>
        <v>0</v>
      </c>
      <c r="AH12" s="173">
        <f>ROUND(($B12*(1-AC12)),2)</f>
        <v>1.65</v>
      </c>
      <c r="AI12" s="184">
        <f>ROUND(($C12*(1-AC12)),2)</f>
        <v>9.07</v>
      </c>
      <c r="AJ12" s="175" cm="1">
        <f t="array" ref="AJ12">SUMPRODUCT(--(Category="Ex_Cat_3"),--(OpCo="Express Freight"),--(Intl="International"),--(SC_Name=$A12),(SC_Count))</f>
        <v>0</v>
      </c>
      <c r="AK12" s="270"/>
      <c r="AL12" s="373"/>
      <c r="AM12" s="373"/>
    </row>
    <row r="13" spans="1:39" ht="15.5" x14ac:dyDescent="0.35">
      <c r="A13" s="180" t="s">
        <v>18</v>
      </c>
      <c r="B13" s="468"/>
      <c r="C13" s="469"/>
      <c r="D13" s="282" cm="1">
        <f t="array" ref="D13">SUMPRODUCT(--(D_Category="Ex_Cat_1"),--(D_EffDate="Eff_Date_1"),--(D_Product="IF"),--(D_SC_Name=$A13),--(D_Zone="All"),(D_Percent))</f>
        <v>0</v>
      </c>
      <c r="E13" s="282" cm="1">
        <f t="array" ref="E13">SUMPRODUCT(--(D_Category="Ex_Cat_1"),--(D_EffDate="Eff_Date_2"),--(D_Product="IF"),--(D_SC_Name=$A13),--(D_Zone="All"),(D_Percent))</f>
        <v>0</v>
      </c>
      <c r="F13" s="708"/>
      <c r="G13" s="708"/>
      <c r="H13" s="167"/>
      <c r="I13" s="167"/>
      <c r="J13" s="167"/>
      <c r="K13" s="183"/>
      <c r="L13" s="181" cm="1">
        <f t="array" ref="L13">SUMPRODUCT(--(Category="Ex_Cat_1"),--(OpCo="Express Freight"),--(Intl="International"),--(SC_Name=$A13),(SC_Count))</f>
        <v>0</v>
      </c>
      <c r="M13" s="257"/>
      <c r="N13" s="371"/>
      <c r="O13" s="371"/>
      <c r="P13" s="287" cm="1">
        <f t="array" ref="P13">SUMPRODUCT(--(D_Category="Ex_Cat_2"),--(D_EffDate="Eff_Date_1"),--(D_Product="IF"),--(D_SC_Name=$A13),--(D_Zone="All"),(D_Percent))</f>
        <v>0</v>
      </c>
      <c r="Q13" s="287" cm="1">
        <f t="array" ref="Q13">SUMPRODUCT(--(D_Category="Ex_Cat_2"),--(D_EffDate="Eff_Date_2"),--(D_Product="IF"),--(D_SC_Name=$A13),--(D_Zone="All"),(D_Percent))</f>
        <v>0</v>
      </c>
      <c r="R13" s="708"/>
      <c r="S13" s="708"/>
      <c r="T13" s="167"/>
      <c r="U13" s="167"/>
      <c r="V13" s="167"/>
      <c r="W13" s="183"/>
      <c r="X13" s="181" cm="1">
        <f t="array" ref="X13">SUMPRODUCT(--(Category="Ex_Cat_2"),--(OpCo="Express Freight"),--(Intl="International"),--(SC_Name=$A13),(SC_Count))</f>
        <v>0</v>
      </c>
      <c r="Y13" s="257"/>
      <c r="Z13" s="371"/>
      <c r="AA13" s="371"/>
      <c r="AB13" s="290" cm="1">
        <f t="array" ref="AB13">SUMPRODUCT(--(D_Category="Ex_Cat_3"),--(D_EffDate="Eff_Date_1"),--(D_Product="IF"),--(D_SC_Name=$A13),--(D_Zone="All"),(D_Percent))</f>
        <v>0</v>
      </c>
      <c r="AC13" s="290" cm="1">
        <f t="array" ref="AC13">SUMPRODUCT(--(D_Category="Ex_Cat_3"),--(D_EffDate="Eff_Date_2"),--(D_Product="IF"),--(D_SC_Name=$A13),--(D_Zone="All"),(D_Percent))</f>
        <v>0</v>
      </c>
      <c r="AD13" s="708"/>
      <c r="AE13" s="708"/>
      <c r="AF13" s="167"/>
      <c r="AG13" s="167"/>
      <c r="AH13" s="167"/>
      <c r="AI13" s="183"/>
      <c r="AJ13" s="181" cm="1">
        <f t="array" ref="AJ13">SUMPRODUCT(--(Category="Ex_Cat_3"),--(OpCo="Express Freight"),--(Intl="International"),--(SC_Name=$A13),(SC_Count))</f>
        <v>0</v>
      </c>
      <c r="AK13" s="257"/>
      <c r="AL13" s="371"/>
      <c r="AM13" s="371"/>
    </row>
    <row r="14" spans="1:39" ht="15.5" x14ac:dyDescent="0.35">
      <c r="A14" s="178" t="s">
        <v>955</v>
      </c>
      <c r="B14" s="172"/>
      <c r="C14" s="179"/>
      <c r="D14" s="282"/>
      <c r="E14" s="282"/>
      <c r="F14" s="173"/>
      <c r="G14" s="415"/>
      <c r="H14" s="172"/>
      <c r="I14" s="179"/>
      <c r="J14" s="173"/>
      <c r="K14" s="174"/>
      <c r="L14" s="175"/>
      <c r="M14" s="420"/>
      <c r="N14" s="423"/>
      <c r="O14" s="176"/>
      <c r="P14" s="287"/>
      <c r="Q14" s="287"/>
      <c r="R14" s="173"/>
      <c r="S14" s="415"/>
      <c r="T14" s="172"/>
      <c r="U14" s="179"/>
      <c r="V14" s="173"/>
      <c r="W14" s="174"/>
      <c r="X14" s="175"/>
      <c r="Y14" s="420"/>
      <c r="Z14" s="423"/>
      <c r="AA14" s="176"/>
      <c r="AB14" s="290"/>
      <c r="AC14" s="290"/>
      <c r="AD14" s="173"/>
      <c r="AE14" s="415"/>
      <c r="AF14" s="172"/>
      <c r="AG14" s="179"/>
      <c r="AH14" s="173"/>
      <c r="AI14" s="174"/>
      <c r="AJ14" s="175"/>
      <c r="AK14" s="420"/>
      <c r="AL14" s="423"/>
      <c r="AM14" s="176"/>
    </row>
    <row r="15" spans="1:39" ht="15.5" x14ac:dyDescent="0.35">
      <c r="A15" s="182" t="s">
        <v>957</v>
      </c>
      <c r="B15" s="172">
        <v>260</v>
      </c>
      <c r="C15" s="172"/>
      <c r="D15" s="282" cm="1">
        <f t="array" ref="D15">SUMPRODUCT(--(D_Category="Ex_Cat_1"),--(D_EffDate="Eff_Date_1"),--(D_Product="IF"),--(D_SC_Name=$A15),--(D_Zone="All"),(D_Percent))</f>
        <v>0</v>
      </c>
      <c r="E15" s="282" cm="1">
        <f t="array" ref="E15">SUMPRODUCT(--(D_Category="Ex_Cat_1"),--(D_EffDate="Eff_Date_2"),--(D_Product="IF"),--(D_SC_Name=$A15),--(D_Zone="All"),(D_Percent))</f>
        <v>0</v>
      </c>
      <c r="F15" s="173">
        <f>ROUND(($B15*(1-D15)),2)</f>
        <v>260</v>
      </c>
      <c r="G15" s="173">
        <f>ROUND(($C15*(1-D15)),2)</f>
        <v>0</v>
      </c>
      <c r="H15" s="172">
        <f t="shared" ref="H15:H16" si="17">J15-F15</f>
        <v>0</v>
      </c>
      <c r="I15" s="179">
        <f t="shared" ref="I15:I16" si="18">K15-G15</f>
        <v>0</v>
      </c>
      <c r="J15" s="173">
        <f>ROUND(($B15*(1-E15)),2)</f>
        <v>260</v>
      </c>
      <c r="K15" s="184">
        <f>ROUND(($C15*(1-E15)),2)</f>
        <v>0</v>
      </c>
      <c r="L15" s="175" cm="1">
        <f t="array" ref="L15">SUMPRODUCT(--(Category="Ex_Cat_1"),--(OpCo="Express Freight"),--(Intl="International"),--(SC_Name=$A15),(SC_Count))</f>
        <v>0</v>
      </c>
      <c r="M15" s="420">
        <f>L15*F15</f>
        <v>0</v>
      </c>
      <c r="N15" s="423">
        <f t="shared" si="1"/>
        <v>0</v>
      </c>
      <c r="O15" s="176">
        <f t="shared" si="2"/>
        <v>0</v>
      </c>
      <c r="P15" s="287" cm="1">
        <f t="array" ref="P15">SUMPRODUCT(--(D_Category="Ex_Cat_2"),--(D_EffDate="Eff_Date_1"),--(D_Product="IF"),--(D_SC_Name=$A15),--(D_Zone="All"),(D_Percent))</f>
        <v>0</v>
      </c>
      <c r="Q15" s="287" cm="1">
        <f t="array" ref="Q15">SUMPRODUCT(--(D_Category="Ex_Cat_2"),--(D_EffDate="Eff_Date_2"),--(D_Product="IF"),--(D_SC_Name=$A15),--(D_Zone="All"),(D_Percent))</f>
        <v>0</v>
      </c>
      <c r="R15" s="173">
        <f>ROUND(($B15*(1-P15)),2)</f>
        <v>260</v>
      </c>
      <c r="S15" s="173">
        <f>ROUND(($C15*(1-P15)),2)</f>
        <v>0</v>
      </c>
      <c r="T15" s="172">
        <f t="shared" ref="T15:T16" si="19">V15-R15</f>
        <v>0</v>
      </c>
      <c r="U15" s="179">
        <f t="shared" ref="U15:U16" si="20">W15-S15</f>
        <v>0</v>
      </c>
      <c r="V15" s="173">
        <f>ROUND(($B15*(1-Q15)),2)</f>
        <v>260</v>
      </c>
      <c r="W15" s="184">
        <f>ROUND(($C15*(1-Q15)),2)</f>
        <v>0</v>
      </c>
      <c r="X15" s="175" cm="1">
        <f t="array" ref="X15">SUMPRODUCT(--(Category="Ex_Cat_2"),--(OpCo="Express Freight"),--(Intl="International"),--(SC_Name=$A15),(SC_Count))</f>
        <v>0</v>
      </c>
      <c r="Y15" s="420">
        <f>X15*R15</f>
        <v>0</v>
      </c>
      <c r="Z15" s="423">
        <f t="shared" si="4"/>
        <v>0</v>
      </c>
      <c r="AA15" s="176">
        <f t="shared" ref="AA15:AA16" si="21">X15*V15</f>
        <v>0</v>
      </c>
      <c r="AB15" s="290" cm="1">
        <f t="array" ref="AB15">SUMPRODUCT(--(D_Category="Ex_Cat_3"),--(D_EffDate="Eff_Date_1"),--(D_Product="IF"),--(D_SC_Name=$A15),--(D_Zone="All"),(D_Percent))</f>
        <v>0</v>
      </c>
      <c r="AC15" s="290" cm="1">
        <f t="array" ref="AC15">SUMPRODUCT(--(D_Category="Ex_Cat_3"),--(D_EffDate="Eff_Date_2"),--(D_Product="IF"),--(D_SC_Name=$A15),--(D_Zone="All"),(D_Percent))</f>
        <v>0</v>
      </c>
      <c r="AD15" s="173">
        <f>ROUND(($B15*(1-AB15)),2)</f>
        <v>260</v>
      </c>
      <c r="AE15" s="173">
        <f>ROUND(($C15*(1-AB15)),2)</f>
        <v>0</v>
      </c>
      <c r="AF15" s="172">
        <f t="shared" ref="AF15:AF16" si="22">AH15-AD15</f>
        <v>0</v>
      </c>
      <c r="AG15" s="179">
        <f t="shared" ref="AG15:AG16" si="23">AI15-AE15</f>
        <v>0</v>
      </c>
      <c r="AH15" s="173">
        <f>ROUND(($B15*(1-AC15)),2)</f>
        <v>260</v>
      </c>
      <c r="AI15" s="184">
        <f>ROUND(($C15*(1-AC15)),2)</f>
        <v>0</v>
      </c>
      <c r="AJ15" s="175" cm="1">
        <f t="array" ref="AJ15">SUMPRODUCT(--(Category="Ex_Cat_3"),--(OpCo="Express Freight"),--(Intl="International"),--(SC_Name=$A15),(SC_Count))</f>
        <v>0</v>
      </c>
      <c r="AK15" s="420">
        <f>AJ15*AD15</f>
        <v>0</v>
      </c>
      <c r="AL15" s="423">
        <f t="shared" si="7"/>
        <v>0</v>
      </c>
      <c r="AM15" s="176">
        <f t="shared" ref="AM15:AM16" si="24">AJ15*AH15</f>
        <v>0</v>
      </c>
    </row>
    <row r="16" spans="1:39" ht="15.5" x14ac:dyDescent="0.35">
      <c r="A16" s="182" t="s">
        <v>958</v>
      </c>
      <c r="B16" s="172">
        <v>340</v>
      </c>
      <c r="C16" s="172"/>
      <c r="D16" s="282" cm="1">
        <f t="array" ref="D16">SUMPRODUCT(--(D_Category="Ex_Cat_1"),--(D_EffDate="Eff_Date_1"),--(D_Product="IF"),--(D_SC_Name=$A16),--(D_Zone="All"),(D_Percent))</f>
        <v>0</v>
      </c>
      <c r="E16" s="282" cm="1">
        <f t="array" ref="E16">SUMPRODUCT(--(D_Category="Ex_Cat_1"),--(D_EffDate="Eff_Date_2"),--(D_Product="IF"),--(D_SC_Name=$A16),--(D_Zone="All"),(D_Percent))</f>
        <v>0</v>
      </c>
      <c r="F16" s="173">
        <f>ROUND(($B16*(1-D16)),2)</f>
        <v>340</v>
      </c>
      <c r="G16" s="173">
        <f>ROUND(($C16*(1-D16)),2)</f>
        <v>0</v>
      </c>
      <c r="H16" s="172">
        <f t="shared" si="17"/>
        <v>0</v>
      </c>
      <c r="I16" s="172">
        <f t="shared" si="18"/>
        <v>0</v>
      </c>
      <c r="J16" s="173">
        <f>ROUND(($B16*(1-E16)),2)</f>
        <v>340</v>
      </c>
      <c r="K16" s="184">
        <f>ROUND(($C16*(1-E16)),2)</f>
        <v>0</v>
      </c>
      <c r="L16" s="175" cm="1">
        <f t="array" ref="L16">SUMPRODUCT(--(Category="Ex_Cat_1"),--(OpCo="Express Freight"),--(Intl="International"),--(SC_Name=$A16),(SC_Count))</f>
        <v>0</v>
      </c>
      <c r="M16" s="420">
        <f>L16*F16</f>
        <v>0</v>
      </c>
      <c r="N16" s="423">
        <f t="shared" si="1"/>
        <v>0</v>
      </c>
      <c r="O16" s="176">
        <f t="shared" si="2"/>
        <v>0</v>
      </c>
      <c r="P16" s="287" cm="1">
        <f t="array" ref="P16">SUMPRODUCT(--(D_Category="Ex_Cat_2"),--(D_EffDate="Eff_Date_1"),--(D_Product="IF"),--(D_SC_Name=$A16),--(D_Zone="All"),(D_Percent))</f>
        <v>0</v>
      </c>
      <c r="Q16" s="287" cm="1">
        <f t="array" ref="Q16">SUMPRODUCT(--(D_Category="Ex_Cat_2"),--(D_EffDate="Eff_Date_2"),--(D_Product="IF"),--(D_SC_Name=$A16),--(D_Zone="All"),(D_Percent))</f>
        <v>0</v>
      </c>
      <c r="R16" s="173">
        <f>ROUND(($B16*(1-P16)),2)</f>
        <v>340</v>
      </c>
      <c r="S16" s="173">
        <f>ROUND(($C16*(1-P16)),2)</f>
        <v>0</v>
      </c>
      <c r="T16" s="172">
        <f t="shared" si="19"/>
        <v>0</v>
      </c>
      <c r="U16" s="172">
        <f t="shared" si="20"/>
        <v>0</v>
      </c>
      <c r="V16" s="173">
        <f>ROUND(($B16*(1-Q16)),2)</f>
        <v>340</v>
      </c>
      <c r="W16" s="184">
        <f>ROUND(($C16*(1-Q16)),2)</f>
        <v>0</v>
      </c>
      <c r="X16" s="175" cm="1">
        <f t="array" ref="X16">SUMPRODUCT(--(Category="Ex_Cat_2"),--(OpCo="Express Freight"),--(Intl="International"),--(SC_Name=$A16),(SC_Count))</f>
        <v>0</v>
      </c>
      <c r="Y16" s="420">
        <f>X16*R16</f>
        <v>0</v>
      </c>
      <c r="Z16" s="423">
        <f t="shared" si="4"/>
        <v>0</v>
      </c>
      <c r="AA16" s="176">
        <f t="shared" si="21"/>
        <v>0</v>
      </c>
      <c r="AB16" s="290" cm="1">
        <f t="array" ref="AB16">SUMPRODUCT(--(D_Category="Ex_Cat_3"),--(D_EffDate="Eff_Date_1"),--(D_Product="IF"),--(D_SC_Name=$A16),--(D_Zone="All"),(D_Percent))</f>
        <v>0</v>
      </c>
      <c r="AC16" s="290" cm="1">
        <f t="array" ref="AC16">SUMPRODUCT(--(D_Category="Ex_Cat_3"),--(D_EffDate="Eff_Date_2"),--(D_Product="IF"),--(D_SC_Name=$A16),--(D_Zone="All"),(D_Percent))</f>
        <v>0</v>
      </c>
      <c r="AD16" s="173">
        <f>ROUND(($B16*(1-AB16)),2)</f>
        <v>340</v>
      </c>
      <c r="AE16" s="173">
        <f>ROUND(($C16*(1-AB16)),2)</f>
        <v>0</v>
      </c>
      <c r="AF16" s="172">
        <f t="shared" si="22"/>
        <v>0</v>
      </c>
      <c r="AG16" s="172">
        <f t="shared" si="23"/>
        <v>0</v>
      </c>
      <c r="AH16" s="173">
        <f>ROUND(($B16*(1-AC16)),2)</f>
        <v>340</v>
      </c>
      <c r="AI16" s="184">
        <f>ROUND(($C16*(1-AC16)),2)</f>
        <v>0</v>
      </c>
      <c r="AJ16" s="175" cm="1">
        <f t="array" ref="AJ16">SUMPRODUCT(--(Category="Ex_Cat_3"),--(OpCo="Express Freight"),--(Intl="International"),--(SC_Name=$A16),(SC_Count))</f>
        <v>0</v>
      </c>
      <c r="AK16" s="420">
        <f>AJ16*AD16</f>
        <v>0</v>
      </c>
      <c r="AL16" s="423">
        <f t="shared" si="7"/>
        <v>0</v>
      </c>
      <c r="AM16" s="176">
        <f t="shared" si="24"/>
        <v>0</v>
      </c>
    </row>
    <row r="17" spans="1:39" ht="15.5" x14ac:dyDescent="0.35">
      <c r="A17" s="160" t="s">
        <v>959</v>
      </c>
      <c r="B17" s="166"/>
      <c r="C17" s="177"/>
      <c r="D17" s="282"/>
      <c r="E17" s="282"/>
      <c r="F17" s="167"/>
      <c r="G17" s="416"/>
      <c r="H17" s="166"/>
      <c r="I17" s="177"/>
      <c r="J17" s="167"/>
      <c r="K17" s="183"/>
      <c r="L17" s="169"/>
      <c r="M17" s="419"/>
      <c r="N17" s="422"/>
      <c r="O17" s="170"/>
      <c r="P17" s="287"/>
      <c r="Q17" s="287"/>
      <c r="R17" s="167"/>
      <c r="S17" s="416"/>
      <c r="T17" s="166"/>
      <c r="U17" s="177"/>
      <c r="V17" s="167"/>
      <c r="W17" s="183"/>
      <c r="X17" s="169"/>
      <c r="Y17" s="419"/>
      <c r="Z17" s="422"/>
      <c r="AA17" s="170"/>
      <c r="AB17" s="290"/>
      <c r="AC17" s="290"/>
      <c r="AD17" s="167"/>
      <c r="AE17" s="416"/>
      <c r="AF17" s="166"/>
      <c r="AG17" s="177"/>
      <c r="AH17" s="167"/>
      <c r="AI17" s="183"/>
      <c r="AJ17" s="169"/>
      <c r="AK17" s="419"/>
      <c r="AL17" s="422"/>
      <c r="AM17" s="170"/>
    </row>
    <row r="18" spans="1:39" ht="15.5" x14ac:dyDescent="0.35">
      <c r="A18" s="165" t="s">
        <v>961</v>
      </c>
      <c r="B18" s="166">
        <v>260</v>
      </c>
      <c r="C18" s="166"/>
      <c r="D18" s="282" cm="1">
        <f t="array" ref="D18">SUMPRODUCT(--(D_Category="Ex_Cat_1"),--(D_EffDate="Eff_Date_1"),--(D_Product="IF"),--(D_SC_Name=$A18),--(D_Zone="All"),(D_Percent))</f>
        <v>0</v>
      </c>
      <c r="E18" s="282" cm="1">
        <f t="array" ref="E18">SUMPRODUCT(--(D_Category="Ex_Cat_1"),--(D_EffDate="Eff_Date_2"),--(D_Product="IF"),--(D_SC_Name=$A18),--(D_Zone="All"),(D_Percent))</f>
        <v>0</v>
      </c>
      <c r="F18" s="167">
        <f t="shared" ref="F18:F23" si="25">ROUND(($B18*(1-D18)),2)</f>
        <v>260</v>
      </c>
      <c r="G18" s="167">
        <f>ROUND(($C18*(1-D18)),2)</f>
        <v>0</v>
      </c>
      <c r="H18" s="166">
        <f t="shared" ref="H18:H23" si="26">J18-F18</f>
        <v>0</v>
      </c>
      <c r="I18" s="166">
        <f t="shared" ref="I18:I19" si="27">K18-G18</f>
        <v>0</v>
      </c>
      <c r="J18" s="167">
        <f t="shared" ref="J18:J23" si="28">ROUND(($B18*(1-E18)),2)</f>
        <v>260</v>
      </c>
      <c r="K18" s="183">
        <f>ROUND(($C18*(1-E18)),2)</f>
        <v>0</v>
      </c>
      <c r="L18" s="169" cm="1">
        <f t="array" ref="L18">SUMPRODUCT(--(Category="Ex_Cat_1"),--(OpCo="Express Freight"),--(Intl="International"),--(SC_Name=$A18),(SC_Count))</f>
        <v>0</v>
      </c>
      <c r="M18" s="419">
        <f t="shared" ref="M18:M23" si="29">L18*F18</f>
        <v>0</v>
      </c>
      <c r="N18" s="422">
        <f t="shared" si="1"/>
        <v>0</v>
      </c>
      <c r="O18" s="170">
        <f t="shared" si="2"/>
        <v>0</v>
      </c>
      <c r="P18" s="287" cm="1">
        <f t="array" ref="P18">SUMPRODUCT(--(D_Category="Ex_Cat_2"),--(D_EffDate="Eff_Date_1"),--(D_Product="IF"),--(D_SC_Name=$A18),--(D_Zone="All"),(D_Percent))</f>
        <v>0</v>
      </c>
      <c r="Q18" s="287" cm="1">
        <f t="array" ref="Q18">SUMPRODUCT(--(D_Category="Ex_Cat_2"),--(D_EffDate="Eff_Date_2"),--(D_Product="IF"),--(D_SC_Name=$A18),--(D_Zone="All"),(D_Percent))</f>
        <v>0</v>
      </c>
      <c r="R18" s="167">
        <f t="shared" ref="R18:R23" si="30">ROUND(($B18*(1-P18)),2)</f>
        <v>260</v>
      </c>
      <c r="S18" s="167">
        <f>ROUND(($C18*(1-P18)),2)</f>
        <v>0</v>
      </c>
      <c r="T18" s="166">
        <f t="shared" ref="T18:T23" si="31">V18-R18</f>
        <v>0</v>
      </c>
      <c r="U18" s="166">
        <f t="shared" ref="U18:U19" si="32">W18-S18</f>
        <v>0</v>
      </c>
      <c r="V18" s="167">
        <f t="shared" ref="V18:V23" si="33">ROUND(($B18*(1-Q18)),2)</f>
        <v>260</v>
      </c>
      <c r="W18" s="183">
        <f>ROUND(($C18*(1-Q18)),2)</f>
        <v>0</v>
      </c>
      <c r="X18" s="169" cm="1">
        <f t="array" ref="X18">SUMPRODUCT(--(Category="Ex_Cat_2"),--(OpCo="Express Freight"),--(Intl="International"),--(SC_Name=$A18),(SC_Count))</f>
        <v>0</v>
      </c>
      <c r="Y18" s="419">
        <f t="shared" ref="Y18:Y23" si="34">X18*R18</f>
        <v>0</v>
      </c>
      <c r="Z18" s="422">
        <f t="shared" si="4"/>
        <v>0</v>
      </c>
      <c r="AA18" s="170">
        <f t="shared" ref="AA18:AA23" si="35">X18*V18</f>
        <v>0</v>
      </c>
      <c r="AB18" s="290" cm="1">
        <f t="array" ref="AB18">SUMPRODUCT(--(D_Category="Ex_Cat_3"),--(D_EffDate="Eff_Date_1"),--(D_Product="IF"),--(D_SC_Name=$A18),--(D_Zone="All"),(D_Percent))</f>
        <v>0</v>
      </c>
      <c r="AC18" s="290" cm="1">
        <f t="array" ref="AC18">SUMPRODUCT(--(D_Category="Ex_Cat_3"),--(D_EffDate="Eff_Date_2"),--(D_Product="IF"),--(D_SC_Name=$A18),--(D_Zone="All"),(D_Percent))</f>
        <v>0</v>
      </c>
      <c r="AD18" s="167">
        <f t="shared" ref="AD18:AD23" si="36">ROUND(($B18*(1-AB18)),2)</f>
        <v>260</v>
      </c>
      <c r="AE18" s="167">
        <f>ROUND(($C18*(1-AB18)),2)</f>
        <v>0</v>
      </c>
      <c r="AF18" s="166">
        <f t="shared" ref="AF18:AF23" si="37">AH18-AD18</f>
        <v>0</v>
      </c>
      <c r="AG18" s="166">
        <f t="shared" ref="AG18:AG19" si="38">AI18-AE18</f>
        <v>0</v>
      </c>
      <c r="AH18" s="167">
        <f t="shared" ref="AH18:AH23" si="39">ROUND(($B18*(1-AC18)),2)</f>
        <v>260</v>
      </c>
      <c r="AI18" s="183">
        <f>ROUND(($C18*(1-AC18)),2)</f>
        <v>0</v>
      </c>
      <c r="AJ18" s="169" cm="1">
        <f t="array" ref="AJ18">SUMPRODUCT(--(Category="Ex_Cat_3"),--(OpCo="Express Freight"),--(Intl="International"),--(SC_Name=$A18),(SC_Count))</f>
        <v>0</v>
      </c>
      <c r="AK18" s="419">
        <f t="shared" ref="AK18:AK23" si="40">AJ18*AD18</f>
        <v>0</v>
      </c>
      <c r="AL18" s="422">
        <f t="shared" si="7"/>
        <v>0</v>
      </c>
      <c r="AM18" s="170">
        <f t="shared" ref="AM18:AM23" si="41">AJ18*AH18</f>
        <v>0</v>
      </c>
    </row>
    <row r="19" spans="1:39" ht="15.5" x14ac:dyDescent="0.35">
      <c r="A19" s="165" t="s">
        <v>962</v>
      </c>
      <c r="B19" s="166">
        <v>340</v>
      </c>
      <c r="C19" s="166"/>
      <c r="D19" s="282" cm="1">
        <f t="array" ref="D19">SUMPRODUCT(--(D_Category="Ex_Cat_1"),--(D_EffDate="Eff_Date_1"),--(D_Product="IF"),--(D_SC_Name=$A19),--(D_Zone="All"),(D_Percent))</f>
        <v>0</v>
      </c>
      <c r="E19" s="282" cm="1">
        <f t="array" ref="E19">SUMPRODUCT(--(D_Category="Ex_Cat_1"),--(D_EffDate="Eff_Date_2"),--(D_Product="IF"),--(D_SC_Name=$A19),--(D_Zone="All"),(D_Percent))</f>
        <v>0</v>
      </c>
      <c r="F19" s="167">
        <f t="shared" si="25"/>
        <v>340</v>
      </c>
      <c r="G19" s="167">
        <f>ROUND(($C19*(1-D19)),2)</f>
        <v>0</v>
      </c>
      <c r="H19" s="166">
        <f t="shared" si="26"/>
        <v>0</v>
      </c>
      <c r="I19" s="166">
        <f t="shared" si="27"/>
        <v>0</v>
      </c>
      <c r="J19" s="167">
        <f t="shared" si="28"/>
        <v>340</v>
      </c>
      <c r="K19" s="183">
        <f>ROUND(($C19*(1-E19)),2)</f>
        <v>0</v>
      </c>
      <c r="L19" s="169" cm="1">
        <f t="array" ref="L19">SUMPRODUCT(--(Category="Ex_Cat_1"),--(OpCo="Express Freight"),--(Intl="International"),--(SC_Name=$A19),(SC_Count))</f>
        <v>0</v>
      </c>
      <c r="M19" s="419">
        <f t="shared" si="29"/>
        <v>0</v>
      </c>
      <c r="N19" s="422">
        <f t="shared" si="1"/>
        <v>0</v>
      </c>
      <c r="O19" s="170">
        <f t="shared" si="2"/>
        <v>0</v>
      </c>
      <c r="P19" s="287" cm="1">
        <f t="array" ref="P19">SUMPRODUCT(--(D_Category="Ex_Cat_2"),--(D_EffDate="Eff_Date_1"),--(D_Product="IF"),--(D_SC_Name=$A19),--(D_Zone="All"),(D_Percent))</f>
        <v>0</v>
      </c>
      <c r="Q19" s="287" cm="1">
        <f t="array" ref="Q19">SUMPRODUCT(--(D_Category="Ex_Cat_2"),--(D_EffDate="Eff_Date_2"),--(D_Product="IF"),--(D_SC_Name=$A19),--(D_Zone="All"),(D_Percent))</f>
        <v>0</v>
      </c>
      <c r="R19" s="167">
        <f t="shared" si="30"/>
        <v>340</v>
      </c>
      <c r="S19" s="167">
        <f>ROUND(($C19*(1-P19)),2)</f>
        <v>0</v>
      </c>
      <c r="T19" s="166">
        <f t="shared" si="31"/>
        <v>0</v>
      </c>
      <c r="U19" s="166">
        <f t="shared" si="32"/>
        <v>0</v>
      </c>
      <c r="V19" s="167">
        <f t="shared" si="33"/>
        <v>340</v>
      </c>
      <c r="W19" s="183">
        <f>ROUND(($C19*(1-Q19)),2)</f>
        <v>0</v>
      </c>
      <c r="X19" s="169" cm="1">
        <f t="array" ref="X19">SUMPRODUCT(--(Category="Ex_Cat_2"),--(OpCo="Express Freight"),--(Intl="International"),--(SC_Name=$A19),(SC_Count))</f>
        <v>0</v>
      </c>
      <c r="Y19" s="419">
        <f t="shared" si="34"/>
        <v>0</v>
      </c>
      <c r="Z19" s="422">
        <f t="shared" si="4"/>
        <v>0</v>
      </c>
      <c r="AA19" s="170">
        <f t="shared" si="35"/>
        <v>0</v>
      </c>
      <c r="AB19" s="290" cm="1">
        <f t="array" ref="AB19">SUMPRODUCT(--(D_Category="Ex_Cat_3"),--(D_EffDate="Eff_Date_1"),--(D_Product="IF"),--(D_SC_Name=$A19),--(D_Zone="All"),(D_Percent))</f>
        <v>0</v>
      </c>
      <c r="AC19" s="290" cm="1">
        <f t="array" ref="AC19">SUMPRODUCT(--(D_Category="Ex_Cat_3"),--(D_EffDate="Eff_Date_2"),--(D_Product="IF"),--(D_SC_Name=$A19),--(D_Zone="All"),(D_Percent))</f>
        <v>0</v>
      </c>
      <c r="AD19" s="167">
        <f t="shared" si="36"/>
        <v>340</v>
      </c>
      <c r="AE19" s="167">
        <f>ROUND(($C19*(1-AB19)),2)</f>
        <v>0</v>
      </c>
      <c r="AF19" s="166">
        <f t="shared" si="37"/>
        <v>0</v>
      </c>
      <c r="AG19" s="166">
        <f t="shared" si="38"/>
        <v>0</v>
      </c>
      <c r="AH19" s="167">
        <f t="shared" si="39"/>
        <v>340</v>
      </c>
      <c r="AI19" s="183">
        <f>ROUND(($C19*(1-AC19)),2)</f>
        <v>0</v>
      </c>
      <c r="AJ19" s="169" cm="1">
        <f t="array" ref="AJ19">SUMPRODUCT(--(Category="Ex_Cat_3"),--(OpCo="Express Freight"),--(Intl="International"),--(SC_Name=$A19),(SC_Count))</f>
        <v>0</v>
      </c>
      <c r="AK19" s="419">
        <f t="shared" si="40"/>
        <v>0</v>
      </c>
      <c r="AL19" s="422">
        <f t="shared" si="7"/>
        <v>0</v>
      </c>
      <c r="AM19" s="170">
        <f t="shared" si="41"/>
        <v>0</v>
      </c>
    </row>
    <row r="20" spans="1:39" ht="15.5" x14ac:dyDescent="0.35">
      <c r="A20" s="178" t="s">
        <v>57</v>
      </c>
      <c r="B20" s="172">
        <v>25.5</v>
      </c>
      <c r="C20" s="172"/>
      <c r="D20" s="282" cm="1">
        <f t="array" ref="D20">SUMPRODUCT(--(D_Category="Ex_Cat_1"),--(D_EffDate="Eff_Date_1"),--(D_Product="IF")+--(D_Product="All"),--(D_SC_Category=$A20),--(D_Zone="All"),(D_Percent))</f>
        <v>0</v>
      </c>
      <c r="E20" s="282" cm="1">
        <f t="array" ref="E20">SUMPRODUCT(--(D_Category="Ex_Cat_1"),--(D_EffDate="Eff_Date_2"),--(D_Product="IF")+--(D_Product="All"),--(D_SC_Category=$A20),--(D_Zone="All"),(D_Percent))</f>
        <v>0</v>
      </c>
      <c r="F20" s="173">
        <f t="shared" si="25"/>
        <v>25.5</v>
      </c>
      <c r="G20" s="415"/>
      <c r="H20" s="172">
        <f t="shared" si="26"/>
        <v>0</v>
      </c>
      <c r="I20" s="172"/>
      <c r="J20" s="173">
        <f t="shared" si="28"/>
        <v>25.5</v>
      </c>
      <c r="K20" s="174"/>
      <c r="L20" s="175" cm="1">
        <f t="array" ref="L20">SUMPRODUCT(--(Category="Ex_Cat_1"),--(OpCo="Express Freight"),--(Intl="International"),--(SC_Cat=$A20),(SC_Count))</f>
        <v>0</v>
      </c>
      <c r="M20" s="420">
        <f t="shared" si="29"/>
        <v>0</v>
      </c>
      <c r="N20" s="423">
        <f t="shared" si="1"/>
        <v>0</v>
      </c>
      <c r="O20" s="176">
        <f t="shared" si="2"/>
        <v>0</v>
      </c>
      <c r="P20" s="287" cm="1">
        <f t="array" ref="P20">SUMPRODUCT(--(D_Category="Ex_Cat_2"),--(D_EffDate="Eff_Date_1"),--(D_Product="IF")+--(D_Product="All"),--(D_SC_Category=$A20),--(D_Zone="All"),(D_Percent))</f>
        <v>0</v>
      </c>
      <c r="Q20" s="287" cm="1">
        <f t="array" ref="Q20">SUMPRODUCT(--(D_Category="Ex_Cat_2"),--(D_EffDate="Eff_Date_2"),--(D_Product="IF")+--(D_Product="All"),--(D_SC_Category=$A20),--(D_Zone="All"),(D_Percent))</f>
        <v>0</v>
      </c>
      <c r="R20" s="173">
        <f t="shared" si="30"/>
        <v>25.5</v>
      </c>
      <c r="S20" s="415"/>
      <c r="T20" s="172">
        <f t="shared" si="31"/>
        <v>0</v>
      </c>
      <c r="U20" s="172"/>
      <c r="V20" s="173">
        <f t="shared" si="33"/>
        <v>25.5</v>
      </c>
      <c r="W20" s="174"/>
      <c r="X20" s="175" cm="1">
        <f t="array" ref="X20">SUMPRODUCT(--(Category="Ex_Cat_2"),--(OpCo="Express Freight"),--(Intl="International"),--(SC_Cat=$A20),(SC_Count))</f>
        <v>0</v>
      </c>
      <c r="Y20" s="420">
        <f t="shared" si="34"/>
        <v>0</v>
      </c>
      <c r="Z20" s="423">
        <f t="shared" si="4"/>
        <v>0</v>
      </c>
      <c r="AA20" s="176">
        <f t="shared" si="35"/>
        <v>0</v>
      </c>
      <c r="AB20" s="290" cm="1">
        <f t="array" ref="AB20">SUMPRODUCT(--(D_Category="Ex_Cat_3"),--(D_EffDate="Eff_Date_1"),--(D_Product="IF")+--(D_Product="All"),--(D_SC_Category=$A20),--(D_Zone="All"),(D_Percent))</f>
        <v>0</v>
      </c>
      <c r="AC20" s="290" cm="1">
        <f t="array" ref="AC20">SUMPRODUCT(--(D_Category="Ex_Cat_3"),--(D_EffDate="Eff_Date_2"),--(D_Product="IF")+--(D_Product="All"),--(D_SC_Category=$A20),--(D_Zone="All"),(D_Percent))</f>
        <v>0</v>
      </c>
      <c r="AD20" s="173">
        <f t="shared" si="36"/>
        <v>25.5</v>
      </c>
      <c r="AE20" s="415"/>
      <c r="AF20" s="172">
        <f t="shared" si="37"/>
        <v>0</v>
      </c>
      <c r="AG20" s="172"/>
      <c r="AH20" s="173">
        <f t="shared" si="39"/>
        <v>25.5</v>
      </c>
      <c r="AI20" s="174"/>
      <c r="AJ20" s="175" cm="1">
        <f t="array" ref="AJ20">SUMPRODUCT(--(Category="Ex_Cat_3"),--(OpCo="Express Freight"),--(Intl="International"),--(SC_Cat=$A20),(SC_Count))</f>
        <v>0</v>
      </c>
      <c r="AK20" s="420">
        <f t="shared" si="40"/>
        <v>0</v>
      </c>
      <c r="AL20" s="423">
        <f t="shared" si="7"/>
        <v>0</v>
      </c>
      <c r="AM20" s="176">
        <f t="shared" si="41"/>
        <v>0</v>
      </c>
    </row>
    <row r="21" spans="1:39" ht="15.5" x14ac:dyDescent="0.35">
      <c r="A21" s="160" t="s">
        <v>314</v>
      </c>
      <c r="B21" s="166">
        <v>690</v>
      </c>
      <c r="C21" s="166">
        <v>0.69</v>
      </c>
      <c r="D21" s="282" cm="1">
        <f t="array" ref="D21">SUMPRODUCT(--(D_Category="Ex_Cat_1"),--(D_EffDate="Eff_Date_1"),--(D_Product="IF"),--(D_SC_Name=$A21),--(D_Zone="All"),(D_Percent))</f>
        <v>0</v>
      </c>
      <c r="E21" s="282" cm="1">
        <f t="array" ref="E21">SUMPRODUCT(--(D_Category="Ex_Cat_1"),--(D_EffDate="Eff_Date_2"),--(D_Product="IF"),--(D_SC_Name=$A21),--(D_Zone="All"),(D_Percent))</f>
        <v>0</v>
      </c>
      <c r="F21" s="167">
        <f t="shared" si="25"/>
        <v>690</v>
      </c>
      <c r="G21" s="167">
        <f>ROUND(($C21*(1-D21)),2)</f>
        <v>0.69</v>
      </c>
      <c r="H21" s="166">
        <f t="shared" si="26"/>
        <v>0</v>
      </c>
      <c r="I21" s="166">
        <f t="shared" ref="I21" si="42">K21-G21</f>
        <v>0</v>
      </c>
      <c r="J21" s="167">
        <f t="shared" si="28"/>
        <v>690</v>
      </c>
      <c r="K21" s="183">
        <f>ROUND(($C21*(1-E21)),2)</f>
        <v>0.69</v>
      </c>
      <c r="L21" s="169" cm="1">
        <f t="array" ref="L21">SUMPRODUCT(--(Category="Ex_Cat_1"),--(OpCo="Express Freight"),--(Intl="International"),--(SC_Cat=$A21),(SC_Count))</f>
        <v>0</v>
      </c>
      <c r="M21" s="419">
        <f t="shared" si="29"/>
        <v>0</v>
      </c>
      <c r="N21" s="422">
        <f t="shared" si="1"/>
        <v>0</v>
      </c>
      <c r="O21" s="170">
        <f t="shared" si="2"/>
        <v>0</v>
      </c>
      <c r="P21" s="287" cm="1">
        <f t="array" ref="P21">SUMPRODUCT(--(D_Category="Ex_Cat_2"),--(D_EffDate="Eff_Date_1"),--(D_Product="IF"),--(D_SC_Name=$A21),--(D_Zone="All"),(D_Percent))</f>
        <v>0</v>
      </c>
      <c r="Q21" s="287" cm="1">
        <f t="array" ref="Q21">SUMPRODUCT(--(D_Category="Ex_Cat_2"),--(D_EffDate="Eff_Date_2"),--(D_Product="IF"),--(D_SC_Name=$A21),--(D_Zone="All"),(D_Percent))</f>
        <v>0</v>
      </c>
      <c r="R21" s="167">
        <f t="shared" si="30"/>
        <v>690</v>
      </c>
      <c r="S21" s="167">
        <f>ROUND(($C21*(1-P21)),2)</f>
        <v>0.69</v>
      </c>
      <c r="T21" s="166">
        <f t="shared" si="31"/>
        <v>0</v>
      </c>
      <c r="U21" s="166">
        <f t="shared" ref="U21" si="43">W21-S21</f>
        <v>0</v>
      </c>
      <c r="V21" s="167">
        <f t="shared" si="33"/>
        <v>690</v>
      </c>
      <c r="W21" s="183">
        <f>ROUND(($C21*(1-Q21)),2)</f>
        <v>0.69</v>
      </c>
      <c r="X21" s="169" cm="1">
        <f t="array" ref="X21">SUMPRODUCT(--(Category="Ex_Cat_2"),--(OpCo="Express Freight"),--(Intl="International"),--(SC_Cat=$A21),(SC_Count))</f>
        <v>0</v>
      </c>
      <c r="Y21" s="419">
        <f t="shared" si="34"/>
        <v>0</v>
      </c>
      <c r="Z21" s="422">
        <f t="shared" si="4"/>
        <v>0</v>
      </c>
      <c r="AA21" s="170">
        <f t="shared" si="35"/>
        <v>0</v>
      </c>
      <c r="AB21" s="290" cm="1">
        <f t="array" ref="AB21">SUMPRODUCT(--(D_Category="Ex_Cat_3"),--(D_EffDate="Eff_Date_1"),--(D_Product="IF"),--(D_SC_Name=$A21),--(D_Zone="All"),(D_Percent))</f>
        <v>0</v>
      </c>
      <c r="AC21" s="290" cm="1">
        <f t="array" ref="AC21">SUMPRODUCT(--(D_Category="Ex_Cat_3"),--(D_EffDate="Eff_Date_2"),--(D_Product="IF"),--(D_SC_Name=$A21),--(D_Zone="All"),(D_Percent))</f>
        <v>0</v>
      </c>
      <c r="AD21" s="167">
        <f t="shared" si="36"/>
        <v>690</v>
      </c>
      <c r="AE21" s="167">
        <f>ROUND(($C21*(1-AB21)),2)</f>
        <v>0.69</v>
      </c>
      <c r="AF21" s="166">
        <f t="shared" si="37"/>
        <v>0</v>
      </c>
      <c r="AG21" s="166">
        <f t="shared" ref="AG21" si="44">AI21-AE21</f>
        <v>0</v>
      </c>
      <c r="AH21" s="167">
        <f t="shared" si="39"/>
        <v>690</v>
      </c>
      <c r="AI21" s="183">
        <f>ROUND(($C21*(1-AC21)),2)</f>
        <v>0.69</v>
      </c>
      <c r="AJ21" s="169" cm="1">
        <f t="array" ref="AJ21">SUMPRODUCT(--(Category="Ex_Cat_3"),--(OpCo="Express Freight"),--(Intl="International"),--(SC_Cat=$A21),(SC_Count))</f>
        <v>0</v>
      </c>
      <c r="AK21" s="419">
        <f t="shared" si="40"/>
        <v>0</v>
      </c>
      <c r="AL21" s="422">
        <f t="shared" si="7"/>
        <v>0</v>
      </c>
      <c r="AM21" s="170">
        <f t="shared" si="41"/>
        <v>0</v>
      </c>
    </row>
    <row r="22" spans="1:39" ht="15.5" x14ac:dyDescent="0.35">
      <c r="A22" s="178" t="s">
        <v>852</v>
      </c>
      <c r="B22" s="172">
        <v>25.5</v>
      </c>
      <c r="C22" s="172"/>
      <c r="D22" s="282" cm="1">
        <f t="array" ref="D22">SUMPRODUCT(--(D_Category="Ex_Cat_1"),--(D_EffDate="Eff_Date_1"),--(D_Product="IF")+--(D_Product="All"),--(D_SC_Category=$A22),--(D_Zone="All"),(D_Percent))</f>
        <v>0</v>
      </c>
      <c r="E22" s="282" cm="1">
        <f t="array" ref="E22">SUMPRODUCT(--(D_Category="Ex_Cat_1"),--(D_EffDate="Eff_Date_2"),--(D_Product="IF")+--(D_Product="All"),--(D_SC_Category=$A22),--(D_Zone="All"),(D_Percent))</f>
        <v>0</v>
      </c>
      <c r="F22" s="173">
        <f t="shared" si="25"/>
        <v>25.5</v>
      </c>
      <c r="G22" s="415"/>
      <c r="H22" s="172">
        <f t="shared" si="26"/>
        <v>0</v>
      </c>
      <c r="I22" s="172"/>
      <c r="J22" s="173">
        <f t="shared" si="28"/>
        <v>25.5</v>
      </c>
      <c r="K22" s="174"/>
      <c r="L22" s="175" cm="1">
        <f t="array" ref="L22">SUMPRODUCT(--(Category="Ex_Cat_1"),--(OpCo="Express Freight"),--(Intl="International"),--(SC_Name=$A22),(SC_Count))</f>
        <v>0</v>
      </c>
      <c r="M22" s="420">
        <f t="shared" si="29"/>
        <v>0</v>
      </c>
      <c r="N22" s="423">
        <f t="shared" si="1"/>
        <v>0</v>
      </c>
      <c r="O22" s="176">
        <f t="shared" si="2"/>
        <v>0</v>
      </c>
      <c r="P22" s="287" cm="1">
        <f t="array" ref="P22">SUMPRODUCT(--(D_Category="Ex_Cat_2"),--(D_EffDate="Eff_Date_1"),--(D_Product="IF")+--(D_Product="All"),--(D_SC_Category=$A22),--(D_Zone="All"),(D_Percent))</f>
        <v>0</v>
      </c>
      <c r="Q22" s="287" cm="1">
        <f t="array" ref="Q22">SUMPRODUCT(--(D_Category="Ex_Cat_2"),--(D_EffDate="Eff_Date_2"),--(D_Product="IF")+--(D_Product="All"),--(D_SC_Category=$A22),--(D_Zone="All"),(D_Percent))</f>
        <v>0</v>
      </c>
      <c r="R22" s="173">
        <f t="shared" si="30"/>
        <v>25.5</v>
      </c>
      <c r="S22" s="415"/>
      <c r="T22" s="172">
        <f t="shared" si="31"/>
        <v>0</v>
      </c>
      <c r="U22" s="172"/>
      <c r="V22" s="173">
        <f t="shared" si="33"/>
        <v>25.5</v>
      </c>
      <c r="W22" s="174"/>
      <c r="X22" s="175" cm="1">
        <f t="array" ref="X22">SUMPRODUCT(--(Category="Ex_Cat_2"),--(OpCo="Express Freight"),--(Intl="International"),--(SC_Name=$A22),(SC_Count))</f>
        <v>0</v>
      </c>
      <c r="Y22" s="420">
        <f t="shared" si="34"/>
        <v>0</v>
      </c>
      <c r="Z22" s="423">
        <f t="shared" si="4"/>
        <v>0</v>
      </c>
      <c r="AA22" s="176">
        <f t="shared" si="35"/>
        <v>0</v>
      </c>
      <c r="AB22" s="290" cm="1">
        <f t="array" ref="AB22">SUMPRODUCT(--(D_Category="Ex_Cat_3"),--(D_EffDate="Eff_Date_1"),--(D_Product="IF")+--(D_Product="All"),--(D_SC_Category=$A22),--(D_Zone="All"),(D_Percent))</f>
        <v>0</v>
      </c>
      <c r="AC22" s="290" cm="1">
        <f t="array" ref="AC22">SUMPRODUCT(--(D_Category="Ex_Cat_3"),--(D_EffDate="Eff_Date_2"),--(D_Product="IF")+--(D_Product="All"),--(D_SC_Category=$A22),--(D_Zone="All"),(D_Percent))</f>
        <v>0</v>
      </c>
      <c r="AD22" s="173">
        <f t="shared" si="36"/>
        <v>25.5</v>
      </c>
      <c r="AE22" s="415"/>
      <c r="AF22" s="172">
        <f t="shared" si="37"/>
        <v>0</v>
      </c>
      <c r="AG22" s="172"/>
      <c r="AH22" s="173">
        <f t="shared" si="39"/>
        <v>25.5</v>
      </c>
      <c r="AI22" s="174"/>
      <c r="AJ22" s="175" cm="1">
        <f t="array" ref="AJ22">SUMPRODUCT(--(Category="Ex_Cat_3"),--(OpCo="Express Freight"),--(Intl="International"),--(SC_Name=$A22),(SC_Count))</f>
        <v>0</v>
      </c>
      <c r="AK22" s="420">
        <f t="shared" si="40"/>
        <v>0</v>
      </c>
      <c r="AL22" s="423">
        <f t="shared" si="7"/>
        <v>0</v>
      </c>
      <c r="AM22" s="176">
        <f t="shared" si="41"/>
        <v>0</v>
      </c>
    </row>
    <row r="23" spans="1:39" ht="15.5" x14ac:dyDescent="0.35">
      <c r="A23" s="160" t="s">
        <v>25</v>
      </c>
      <c r="B23" s="166">
        <v>230</v>
      </c>
      <c r="C23" s="166"/>
      <c r="D23" s="282" cm="1">
        <f t="array" ref="D23">SUMPRODUCT(--(D_Category="Ex_Cat_1"),--(D_EffDate="Eff_Date_1"),--(D_Product="IF"),--(D_SC_Name=$A23),--(D_Zone="All"),(D_Percent))</f>
        <v>0</v>
      </c>
      <c r="E23" s="282" cm="1">
        <f t="array" ref="E23">SUMPRODUCT(--(D_Category="Ex_Cat_1"),--(D_EffDate="Eff_Date_2"),--(D_Product="IF"),--(D_SC_Name=$A23),--(D_Zone="All"),(D_Percent))</f>
        <v>0</v>
      </c>
      <c r="F23" s="167">
        <f t="shared" si="25"/>
        <v>230</v>
      </c>
      <c r="G23" s="416"/>
      <c r="H23" s="166">
        <f t="shared" si="26"/>
        <v>0</v>
      </c>
      <c r="I23" s="166"/>
      <c r="J23" s="167">
        <f t="shared" si="28"/>
        <v>230</v>
      </c>
      <c r="K23" s="168"/>
      <c r="L23" s="169" cm="1">
        <f t="array" ref="L23">SUMPRODUCT(--(Category="Ex_Cat_1"),--(OpCo="Express Freight"),--(Intl="International"),--(SC_Name=$A23),(SC_Count))</f>
        <v>0</v>
      </c>
      <c r="M23" s="419">
        <f t="shared" si="29"/>
        <v>0</v>
      </c>
      <c r="N23" s="422">
        <f t="shared" si="1"/>
        <v>0</v>
      </c>
      <c r="O23" s="170">
        <f t="shared" si="2"/>
        <v>0</v>
      </c>
      <c r="P23" s="287" cm="1">
        <f t="array" ref="P23">SUMPRODUCT(--(D_Category="Ex_Cat_2"),--(D_EffDate="Eff_Date_1"),--(D_Product="IF"),--(D_SC_Name=$A23),--(D_Zone="All"),(D_Percent))</f>
        <v>0</v>
      </c>
      <c r="Q23" s="287" cm="1">
        <f t="array" ref="Q23">SUMPRODUCT(--(D_Category="Ex_Cat_2"),--(D_EffDate="Eff_Date_2"),--(D_Product="IF"),--(D_SC_Name=$A23),--(D_Zone="All"),(D_Percent))</f>
        <v>0</v>
      </c>
      <c r="R23" s="167">
        <f t="shared" si="30"/>
        <v>230</v>
      </c>
      <c r="S23" s="416"/>
      <c r="T23" s="166">
        <f t="shared" si="31"/>
        <v>0</v>
      </c>
      <c r="U23" s="166"/>
      <c r="V23" s="167">
        <f t="shared" si="33"/>
        <v>230</v>
      </c>
      <c r="W23" s="168"/>
      <c r="X23" s="169" cm="1">
        <f t="array" ref="X23">SUMPRODUCT(--(Category="Ex_Cat_2"),--(OpCo="Express Freight"),--(Intl="International"),--(SC_Name=$A23),(SC_Count))</f>
        <v>0</v>
      </c>
      <c r="Y23" s="419">
        <f t="shared" si="34"/>
        <v>0</v>
      </c>
      <c r="Z23" s="422">
        <f t="shared" si="4"/>
        <v>0</v>
      </c>
      <c r="AA23" s="170">
        <f t="shared" si="35"/>
        <v>0</v>
      </c>
      <c r="AB23" s="290" cm="1">
        <f t="array" ref="AB23">SUMPRODUCT(--(D_Category="Ex_Cat_3"),--(D_EffDate="Eff_Date_1"),--(D_Product="IF"),--(D_SC_Name=$A23),--(D_Zone="All"),(D_Percent))</f>
        <v>0</v>
      </c>
      <c r="AC23" s="290" cm="1">
        <f t="array" ref="AC23">SUMPRODUCT(--(D_Category="Ex_Cat_3"),--(D_EffDate="Eff_Date_2"),--(D_Product="IF"),--(D_SC_Name=$A23),--(D_Zone="All"),(D_Percent))</f>
        <v>0</v>
      </c>
      <c r="AD23" s="167">
        <f t="shared" si="36"/>
        <v>230</v>
      </c>
      <c r="AE23" s="416"/>
      <c r="AF23" s="166">
        <f t="shared" si="37"/>
        <v>0</v>
      </c>
      <c r="AG23" s="166"/>
      <c r="AH23" s="167">
        <f t="shared" si="39"/>
        <v>230</v>
      </c>
      <c r="AI23" s="168"/>
      <c r="AJ23" s="169" cm="1">
        <f t="array" ref="AJ23">SUMPRODUCT(--(Category="Ex_Cat_3"),--(OpCo="Express Freight"),--(Intl="International"),--(SC_Name=$A23),(SC_Count))</f>
        <v>0</v>
      </c>
      <c r="AK23" s="419">
        <f t="shared" si="40"/>
        <v>0</v>
      </c>
      <c r="AL23" s="422">
        <f t="shared" si="7"/>
        <v>0</v>
      </c>
      <c r="AM23" s="170">
        <f t="shared" si="41"/>
        <v>0</v>
      </c>
    </row>
    <row r="24" spans="1:39" ht="15.5" x14ac:dyDescent="0.35">
      <c r="A24" s="178" t="s">
        <v>1733</v>
      </c>
      <c r="B24" s="172">
        <v>2.65</v>
      </c>
      <c r="C24" s="172"/>
      <c r="D24" s="282" cm="1">
        <f t="array" ref="D24">SUMPRODUCT(--(D_Category="Ex_Cat_1"),--(D_EffDate="Eff_Date_1"),--(D_Product="IE"),--(D_SC_Name=$A24),--(D_Zone="All"),(D_Percent))</f>
        <v>0</v>
      </c>
      <c r="E24" s="282" cm="1">
        <f t="array" ref="E24">SUMPRODUCT(--(D_Category="Ex_Cat_1"),--(D_EffDate="Eff_Date_2"),--(D_Product="IE"),--(D_SC_Name=$A24),--(D_Zone="All"),(D_Percent))</f>
        <v>0</v>
      </c>
      <c r="F24" s="173">
        <f t="shared" ref="F24" si="45">ROUND(($B24*(1-D24)),2)</f>
        <v>2.65</v>
      </c>
      <c r="G24" s="415"/>
      <c r="H24" s="172">
        <f t="shared" ref="H24" si="46">J24-F24</f>
        <v>0</v>
      </c>
      <c r="I24" s="172"/>
      <c r="J24" s="173">
        <f t="shared" ref="J24" si="47">ROUND(($B24*(1-E24)),2)</f>
        <v>2.65</v>
      </c>
      <c r="K24" s="174"/>
      <c r="L24" s="175" cm="1">
        <f t="array" ref="L24">SUMPRODUCT(--(Category="Ex_Cat_1"),--(OpCo="Express Freight"),--(Intl="International"),--(SC_Name=$A24),(SC_Count))</f>
        <v>0</v>
      </c>
      <c r="M24" s="420">
        <f t="shared" ref="M24" si="48">L24*F24</f>
        <v>0</v>
      </c>
      <c r="N24" s="423">
        <f t="shared" ref="N24" si="49">O24-M24</f>
        <v>0</v>
      </c>
      <c r="O24" s="176">
        <f t="shared" ref="O24" si="50">L24*J24</f>
        <v>0</v>
      </c>
      <c r="P24" s="287" cm="1">
        <f t="array" ref="P24">SUMPRODUCT(--(D_Category="Ex_Cat_2"),--(D_EffDate="Eff_Date_1"),--(D_Product="IE"),--(D_SC_Name=$A24),--(D_Zone="All"),(D_Percent))</f>
        <v>0</v>
      </c>
      <c r="Q24" s="287" cm="1">
        <f t="array" ref="Q24">SUMPRODUCT(--(D_Category="Ex_Cat_2"),--(D_EffDate="Eff_Date_2"),--(D_Product="IE"),--(D_SC_Name=$A24),--(D_Zone="All"),(D_Percent))</f>
        <v>0</v>
      </c>
      <c r="R24" s="173">
        <f t="shared" ref="R24" si="51">ROUND(($B24*(1-P24)),2)</f>
        <v>2.65</v>
      </c>
      <c r="S24" s="415"/>
      <c r="T24" s="172">
        <f t="shared" ref="T24" si="52">V24-R24</f>
        <v>0</v>
      </c>
      <c r="U24" s="172"/>
      <c r="V24" s="173">
        <f t="shared" ref="V24" si="53">ROUND(($B24*(1-Q24)),2)</f>
        <v>2.65</v>
      </c>
      <c r="W24" s="174"/>
      <c r="X24" s="175" cm="1">
        <f t="array" ref="X24">SUMPRODUCT(--(Category="Ex_Cat_2"),--(OpCo="Express Freight"),--(Intl="International"),--(SC_Name=$A24),(SC_Count))</f>
        <v>0</v>
      </c>
      <c r="Y24" s="420">
        <f t="shared" ref="Y24" si="54">X24*R24</f>
        <v>0</v>
      </c>
      <c r="Z24" s="423">
        <f t="shared" ref="Z24" si="55">AA24-Y24</f>
        <v>0</v>
      </c>
      <c r="AA24" s="176">
        <f t="shared" ref="AA24" si="56">X24*V24</f>
        <v>0</v>
      </c>
      <c r="AB24" s="290" cm="1">
        <f t="array" ref="AB24">SUMPRODUCT(--(D_Category="Ex_Cat_3"),--(D_EffDate="Eff_Date_1"),--(D_Product="IE"),--(D_SC_Name=$A24),--(D_Zone="All"),(D_Percent))</f>
        <v>0</v>
      </c>
      <c r="AC24" s="290" cm="1">
        <f t="array" ref="AC24">SUMPRODUCT(--(D_Category="Ex_Cat_3"),--(D_EffDate="Eff_Date_2"),--(D_Product="IE"),--(D_SC_Name=$A24),--(D_Zone="All"),(D_Percent))</f>
        <v>0</v>
      </c>
      <c r="AD24" s="173">
        <f t="shared" ref="AD24" si="57">ROUND(($B24*(1-AB24)),2)</f>
        <v>2.65</v>
      </c>
      <c r="AE24" s="415"/>
      <c r="AF24" s="172">
        <f t="shared" ref="AF24" si="58">AH24-AD24</f>
        <v>0</v>
      </c>
      <c r="AG24" s="172"/>
      <c r="AH24" s="173">
        <f t="shared" ref="AH24" si="59">ROUND(($B24*(1-AC24)),2)</f>
        <v>2.65</v>
      </c>
      <c r="AI24" s="174"/>
      <c r="AJ24" s="175" cm="1">
        <f t="array" ref="AJ24">SUMPRODUCT(--(Category="Ex_Cat_3"),--(OpCo="Express Freight"),--(Intl="International"),--(SC_Name=$A24),(SC_Count))</f>
        <v>0</v>
      </c>
      <c r="AK24" s="420">
        <f t="shared" ref="AK24" si="60">AJ24*AD24</f>
        <v>0</v>
      </c>
      <c r="AL24" s="423">
        <f t="shared" ref="AL24" si="61">AM24-AK24</f>
        <v>0</v>
      </c>
      <c r="AM24" s="176">
        <f t="shared" ref="AM24" si="62">AJ24*AH24</f>
        <v>0</v>
      </c>
    </row>
    <row r="25" spans="1:39" ht="15.5" x14ac:dyDescent="0.35">
      <c r="A25" s="160" t="s">
        <v>283</v>
      </c>
      <c r="B25" s="166"/>
      <c r="C25" s="166"/>
      <c r="D25" s="282"/>
      <c r="E25" s="282"/>
      <c r="F25" s="167"/>
      <c r="G25" s="416"/>
      <c r="H25" s="166"/>
      <c r="I25" s="166"/>
      <c r="J25" s="167"/>
      <c r="K25" s="168"/>
      <c r="L25" s="169"/>
      <c r="M25" s="419"/>
      <c r="N25" s="422"/>
      <c r="O25" s="170"/>
      <c r="P25" s="287"/>
      <c r="Q25" s="287"/>
      <c r="R25" s="167"/>
      <c r="S25" s="416"/>
      <c r="T25" s="166"/>
      <c r="U25" s="166"/>
      <c r="V25" s="167"/>
      <c r="W25" s="168"/>
      <c r="X25" s="169"/>
      <c r="Y25" s="419"/>
      <c r="Z25" s="422"/>
      <c r="AA25" s="170"/>
      <c r="AB25" s="290"/>
      <c r="AC25" s="290"/>
      <c r="AD25" s="167"/>
      <c r="AE25" s="416"/>
      <c r="AF25" s="166"/>
      <c r="AG25" s="166"/>
      <c r="AH25" s="167"/>
      <c r="AI25" s="168"/>
      <c r="AJ25" s="169"/>
      <c r="AK25" s="419"/>
      <c r="AL25" s="422"/>
      <c r="AM25" s="170"/>
    </row>
    <row r="26" spans="1:39" ht="15.5" x14ac:dyDescent="0.35">
      <c r="A26" s="165" t="s">
        <v>1003</v>
      </c>
      <c r="B26" s="166">
        <v>1.05</v>
      </c>
      <c r="C26" s="166"/>
      <c r="D26" s="282" cm="1">
        <f t="array" ref="D26">SUMPRODUCT(--(D_Category="Ex_Cat_1"),--(D_EffDate="Eff_Date_1"),--(D_Product="IF"),--(D_SC_Name=$A26),--(D_Zone="All"),(D_Percent))</f>
        <v>0</v>
      </c>
      <c r="E26" s="282" cm="1">
        <f t="array" ref="E26">SUMPRODUCT(--(D_Category="Ex_Cat_1"),--(D_EffDate="Eff_Date_2"),--(D_Product="IF"),--(D_SC_Name=$A26),--(D_Zone="All"),(D_Percent))</f>
        <v>0</v>
      </c>
      <c r="F26" s="167">
        <f>ROUND(($B26*(1-D26)),2)</f>
        <v>1.05</v>
      </c>
      <c r="G26" s="416"/>
      <c r="H26" s="166">
        <f t="shared" ref="H26:H29" si="63">J26-F26</f>
        <v>0</v>
      </c>
      <c r="I26" s="166"/>
      <c r="J26" s="167">
        <f>ROUND(($B26*(1-E26)),2)</f>
        <v>1.05</v>
      </c>
      <c r="K26" s="168"/>
      <c r="L26" s="169" cm="1">
        <f t="array" ref="L26">SUMPRODUCT(--(Category="Ex_Cat_1"),--(OpCo="Express Freight"),--(Intl="International"),--(SC_Name=$A26),(SC_Count))</f>
        <v>0</v>
      </c>
      <c r="M26" s="419">
        <f>L26*F26</f>
        <v>0</v>
      </c>
      <c r="N26" s="422">
        <f t="shared" si="1"/>
        <v>0</v>
      </c>
      <c r="O26" s="170">
        <f t="shared" si="2"/>
        <v>0</v>
      </c>
      <c r="P26" s="287" cm="1">
        <f t="array" ref="P26">SUMPRODUCT(--(D_Category="Ex_Cat_2"),--(D_EffDate="Eff_Date_1"),--(D_Product="IF"),--(D_SC_Name=$A26),--(D_Zone="All"),(D_Percent))</f>
        <v>0</v>
      </c>
      <c r="Q26" s="287" cm="1">
        <f t="array" ref="Q26">SUMPRODUCT(--(D_Category="Ex_Cat_2"),--(D_EffDate="Eff_Date_2"),--(D_Product="IF"),--(D_SC_Name=$A26),--(D_Zone="All"),(D_Percent))</f>
        <v>0</v>
      </c>
      <c r="R26" s="167">
        <f>ROUND(($B26*(1-P26)),2)</f>
        <v>1.05</v>
      </c>
      <c r="S26" s="416"/>
      <c r="T26" s="166">
        <f t="shared" ref="T26:T29" si="64">V26-R26</f>
        <v>0</v>
      </c>
      <c r="U26" s="166"/>
      <c r="V26" s="167">
        <f>ROUND(($B26*(1-Q26)),2)</f>
        <v>1.05</v>
      </c>
      <c r="W26" s="168"/>
      <c r="X26" s="169" cm="1">
        <f t="array" ref="X26">SUMPRODUCT(--(Category="Ex_Cat_2"),--(OpCo="Express Freight"),--(Intl="International"),--(SC_Name=$A26),(SC_Count))</f>
        <v>0</v>
      </c>
      <c r="Y26" s="419">
        <f>X26*R26</f>
        <v>0</v>
      </c>
      <c r="Z26" s="422">
        <f t="shared" si="4"/>
        <v>0</v>
      </c>
      <c r="AA26" s="170">
        <f t="shared" ref="AA26:AA29" si="65">X26*V26</f>
        <v>0</v>
      </c>
      <c r="AB26" s="290" cm="1">
        <f t="array" ref="AB26">SUMPRODUCT(--(D_Category="Ex_Cat_3"),--(D_EffDate="Eff_Date_1"),--(D_Product="IF"),--(D_SC_Name=$A26),--(D_Zone="All"),(D_Percent))</f>
        <v>0</v>
      </c>
      <c r="AC26" s="290" cm="1">
        <f t="array" ref="AC26">SUMPRODUCT(--(D_Category="Ex_Cat_3"),--(D_EffDate="Eff_Date_2"),--(D_Product="IF"),--(D_SC_Name=$A26),--(D_Zone="All"),(D_Percent))</f>
        <v>0</v>
      </c>
      <c r="AD26" s="167">
        <f>ROUND(($B26*(1-AB26)),2)</f>
        <v>1.05</v>
      </c>
      <c r="AE26" s="416"/>
      <c r="AF26" s="166">
        <f t="shared" ref="AF26:AF29" si="66">AH26-AD26</f>
        <v>0</v>
      </c>
      <c r="AG26" s="166"/>
      <c r="AH26" s="167">
        <f>ROUND(($B26*(1-AC26)),2)</f>
        <v>1.05</v>
      </c>
      <c r="AI26" s="168"/>
      <c r="AJ26" s="169" cm="1">
        <f t="array" ref="AJ26">SUMPRODUCT(--(Category="Ex_Cat_3"),--(OpCo="Express Freight"),--(Intl="International"),--(SC_Name=$A26),(SC_Count))</f>
        <v>0</v>
      </c>
      <c r="AK26" s="419">
        <f>AJ26*AD26</f>
        <v>0</v>
      </c>
      <c r="AL26" s="422">
        <f t="shared" si="7"/>
        <v>0</v>
      </c>
      <c r="AM26" s="170">
        <f t="shared" ref="AM26:AM29" si="67">AJ26*AH26</f>
        <v>0</v>
      </c>
    </row>
    <row r="27" spans="1:39" ht="15.5" x14ac:dyDescent="0.35">
      <c r="A27" s="165" t="s">
        <v>1005</v>
      </c>
      <c r="B27" s="166">
        <v>1.05</v>
      </c>
      <c r="C27" s="166"/>
      <c r="D27" s="282" cm="1">
        <f t="array" ref="D27">SUMPRODUCT(--(D_Category="Ex_Cat_1"),--(D_EffDate="Eff_Date_1"),--(D_Product="IF"),--(D_SC_Name=$A27),--(D_Zone="All"),(D_Percent))</f>
        <v>0</v>
      </c>
      <c r="E27" s="282" cm="1">
        <f t="array" ref="E27">SUMPRODUCT(--(D_Category="Ex_Cat_1"),--(D_EffDate="Eff_Date_2"),--(D_Product="IF"),--(D_SC_Name=$A27),--(D_Zone="All"),(D_Percent))</f>
        <v>0</v>
      </c>
      <c r="F27" s="167">
        <f>ROUND(($B27*(1-D27)),2)</f>
        <v>1.05</v>
      </c>
      <c r="G27" s="416"/>
      <c r="H27" s="166">
        <f t="shared" si="63"/>
        <v>0</v>
      </c>
      <c r="I27" s="166"/>
      <c r="J27" s="167">
        <f>ROUND(($B27*(1-E27)),2)</f>
        <v>1.05</v>
      </c>
      <c r="K27" s="168"/>
      <c r="L27" s="169" cm="1">
        <f t="array" ref="L27">SUMPRODUCT(--(Category="Ex_Cat_1"),--(OpCo="Express Freight"),--(Intl="International"),--(SC_Name=$A27),(SC_Count))</f>
        <v>0</v>
      </c>
      <c r="M27" s="419">
        <f>L27*F27</f>
        <v>0</v>
      </c>
      <c r="N27" s="422">
        <f t="shared" si="1"/>
        <v>0</v>
      </c>
      <c r="O27" s="170">
        <f t="shared" si="2"/>
        <v>0</v>
      </c>
      <c r="P27" s="287" cm="1">
        <f t="array" ref="P27">SUMPRODUCT(--(D_Category="Ex_Cat_2"),--(D_EffDate="Eff_Date_1"),--(D_Product="IF"),--(D_SC_Name=$A27),--(D_Zone="All"),(D_Percent))</f>
        <v>0</v>
      </c>
      <c r="Q27" s="287" cm="1">
        <f t="array" ref="Q27">SUMPRODUCT(--(D_Category="Ex_Cat_2"),--(D_EffDate="Eff_Date_2"),--(D_Product="IF"),--(D_SC_Name=$A27),--(D_Zone="All"),(D_Percent))</f>
        <v>0</v>
      </c>
      <c r="R27" s="167">
        <f>ROUND(($B27*(1-P27)),2)</f>
        <v>1.05</v>
      </c>
      <c r="S27" s="416"/>
      <c r="T27" s="166">
        <f t="shared" si="64"/>
        <v>0</v>
      </c>
      <c r="U27" s="166"/>
      <c r="V27" s="167">
        <f>ROUND(($B27*(1-Q27)),2)</f>
        <v>1.05</v>
      </c>
      <c r="W27" s="168"/>
      <c r="X27" s="169" cm="1">
        <f t="array" ref="X27">SUMPRODUCT(--(Category="Ex_Cat_2"),--(OpCo="Express Freight"),--(Intl="International"),--(SC_Name=$A27),(SC_Count))</f>
        <v>0</v>
      </c>
      <c r="Y27" s="419">
        <f>X27*R27</f>
        <v>0</v>
      </c>
      <c r="Z27" s="422">
        <f t="shared" si="4"/>
        <v>0</v>
      </c>
      <c r="AA27" s="170">
        <f t="shared" si="65"/>
        <v>0</v>
      </c>
      <c r="AB27" s="290" cm="1">
        <f t="array" ref="AB27">SUMPRODUCT(--(D_Category="Ex_Cat_3"),--(D_EffDate="Eff_Date_1"),--(D_Product="IF"),--(D_SC_Name=$A27),--(D_Zone="All"),(D_Percent))</f>
        <v>0</v>
      </c>
      <c r="AC27" s="290" cm="1">
        <f t="array" ref="AC27">SUMPRODUCT(--(D_Category="Ex_Cat_3"),--(D_EffDate="Eff_Date_2"),--(D_Product="IF"),--(D_SC_Name=$A27),--(D_Zone="All"),(D_Percent))</f>
        <v>0</v>
      </c>
      <c r="AD27" s="167">
        <f>ROUND(($B27*(1-AB27)),2)</f>
        <v>1.05</v>
      </c>
      <c r="AE27" s="416"/>
      <c r="AF27" s="166">
        <f t="shared" si="66"/>
        <v>0</v>
      </c>
      <c r="AG27" s="166"/>
      <c r="AH27" s="167">
        <f>ROUND(($B27*(1-AC27)),2)</f>
        <v>1.05</v>
      </c>
      <c r="AI27" s="168"/>
      <c r="AJ27" s="169" cm="1">
        <f t="array" ref="AJ27">SUMPRODUCT(--(Category="Ex_Cat_3"),--(OpCo="Express Freight"),--(Intl="International"),--(SC_Name=$A27),(SC_Count))</f>
        <v>0</v>
      </c>
      <c r="AK27" s="419">
        <f>AJ27*AD27</f>
        <v>0</v>
      </c>
      <c r="AL27" s="422">
        <f t="shared" si="7"/>
        <v>0</v>
      </c>
      <c r="AM27" s="170">
        <f t="shared" si="67"/>
        <v>0</v>
      </c>
    </row>
    <row r="28" spans="1:39" ht="15.5" x14ac:dyDescent="0.35">
      <c r="A28" s="178" t="s">
        <v>46</v>
      </c>
      <c r="B28" s="172">
        <v>210</v>
      </c>
      <c r="C28" s="172"/>
      <c r="D28" s="282" cm="1">
        <f t="array" ref="D28">SUMPRODUCT(--(D_Category="Ex_Cat_1"),--(D_EffDate="Eff_Date_1"),--(D_Product="IF"),--(D_SC_Name=$A28),--(D_Zone="All"),(D_Percent))</f>
        <v>0</v>
      </c>
      <c r="E28" s="282" cm="1">
        <f t="array" ref="E28">SUMPRODUCT(--(D_Category="Ex_Cat_1"),--(D_EffDate="Eff_Date_2"),--(D_Product="IF"),--(D_SC_Name=$A28),--(D_Zone="All"),(D_Percent))</f>
        <v>0</v>
      </c>
      <c r="F28" s="173">
        <f>ROUND(($B28*(1-D28)),2)</f>
        <v>210</v>
      </c>
      <c r="G28" s="415"/>
      <c r="H28" s="172">
        <f t="shared" si="63"/>
        <v>0</v>
      </c>
      <c r="I28" s="172"/>
      <c r="J28" s="173">
        <f>ROUND(($B28*(1-E28)),2)</f>
        <v>210</v>
      </c>
      <c r="K28" s="174"/>
      <c r="L28" s="175" cm="1">
        <f t="array" ref="L28">SUMPRODUCT(--(Category="Ex_Cat_1"),--(OpCo="Express Freight"),--(Intl="International"),--(SC_Name=$A28),(SC_Count))</f>
        <v>0</v>
      </c>
      <c r="M28" s="420">
        <f>L28*F28</f>
        <v>0</v>
      </c>
      <c r="N28" s="423">
        <f t="shared" si="1"/>
        <v>0</v>
      </c>
      <c r="O28" s="176">
        <f t="shared" si="2"/>
        <v>0</v>
      </c>
      <c r="P28" s="287" cm="1">
        <f t="array" ref="P28">SUMPRODUCT(--(D_Category="Ex_Cat_2"),--(D_EffDate="Eff_Date_1"),--(D_Product="IF"),--(D_SC_Name=$A28),--(D_Zone="All"),(D_Percent))</f>
        <v>0</v>
      </c>
      <c r="Q28" s="287" cm="1">
        <f t="array" ref="Q28">SUMPRODUCT(--(D_Category="Ex_Cat_2"),--(D_EffDate="Eff_Date_2"),--(D_Product="IF"),--(D_SC_Name=$A28),--(D_Zone="All"),(D_Percent))</f>
        <v>0</v>
      </c>
      <c r="R28" s="173">
        <f>ROUND(($B28*(1-P28)),2)</f>
        <v>210</v>
      </c>
      <c r="S28" s="415"/>
      <c r="T28" s="172">
        <f t="shared" si="64"/>
        <v>0</v>
      </c>
      <c r="U28" s="172"/>
      <c r="V28" s="173">
        <f>ROUND(($B28*(1-Q28)),2)</f>
        <v>210</v>
      </c>
      <c r="W28" s="174"/>
      <c r="X28" s="175" cm="1">
        <f t="array" ref="X28">SUMPRODUCT(--(Category="Ex_Cat_2"),--(OpCo="Express Freight"),--(Intl="International"),--(SC_Name=$A28),(SC_Count))</f>
        <v>0</v>
      </c>
      <c r="Y28" s="420">
        <f>X28*R28</f>
        <v>0</v>
      </c>
      <c r="Z28" s="423">
        <f t="shared" si="4"/>
        <v>0</v>
      </c>
      <c r="AA28" s="176">
        <f t="shared" si="65"/>
        <v>0</v>
      </c>
      <c r="AB28" s="290" cm="1">
        <f t="array" ref="AB28">SUMPRODUCT(--(D_Category="Ex_Cat_3"),--(D_EffDate="Eff_Date_1"),--(D_Product="IF"),--(D_SC_Name=$A28),--(D_Zone="All"),(D_Percent))</f>
        <v>0</v>
      </c>
      <c r="AC28" s="290" cm="1">
        <f t="array" ref="AC28">SUMPRODUCT(--(D_Category="Ex_Cat_3"),--(D_EffDate="Eff_Date_2"),--(D_Product="IF"),--(D_SC_Name=$A28),--(D_Zone="All"),(D_Percent))</f>
        <v>0</v>
      </c>
      <c r="AD28" s="173">
        <f>ROUND(($B28*(1-AB28)),2)</f>
        <v>210</v>
      </c>
      <c r="AE28" s="415"/>
      <c r="AF28" s="172">
        <f t="shared" si="66"/>
        <v>0</v>
      </c>
      <c r="AG28" s="172"/>
      <c r="AH28" s="173">
        <f>ROUND(($B28*(1-AC28)),2)</f>
        <v>210</v>
      </c>
      <c r="AI28" s="174"/>
      <c r="AJ28" s="175" cm="1">
        <f t="array" ref="AJ28">SUMPRODUCT(--(Category="Ex_Cat_3"),--(OpCo="Express Freight"),--(Intl="International"),--(SC_Name=$A28),(SC_Count))</f>
        <v>0</v>
      </c>
      <c r="AK28" s="420">
        <f>AJ28*AD28</f>
        <v>0</v>
      </c>
      <c r="AL28" s="423">
        <f t="shared" si="7"/>
        <v>0</v>
      </c>
      <c r="AM28" s="176">
        <f t="shared" si="67"/>
        <v>0</v>
      </c>
    </row>
    <row r="29" spans="1:39" ht="15.5" x14ac:dyDescent="0.35">
      <c r="A29" s="482" t="s">
        <v>24</v>
      </c>
      <c r="B29" s="483">
        <v>210</v>
      </c>
      <c r="C29" s="483"/>
      <c r="D29" s="283" cm="1">
        <f t="array" ref="D29">SUMPRODUCT(--(D_Category="Ex_Cat_1"),--(D_EffDate="Eff_Date_1"),--(D_Product="IF"),--(D_SC_Name=$A29),--(D_Zone="All"),(D_Percent))</f>
        <v>0</v>
      </c>
      <c r="E29" s="283" cm="1">
        <f t="array" ref="E29">SUMPRODUCT(--(D_Category="Ex_Cat_1"),--(D_EffDate="Eff_Date_2"),--(D_Product="IF"),--(D_SC_Name=$A29),--(D_Zone="All"),(D_Percent))</f>
        <v>0</v>
      </c>
      <c r="F29" s="483">
        <f>ROUND(($B29*(1-D29)),2)</f>
        <v>210</v>
      </c>
      <c r="G29" s="484"/>
      <c r="H29" s="483">
        <f t="shared" si="63"/>
        <v>0</v>
      </c>
      <c r="I29" s="483"/>
      <c r="J29" s="483">
        <f>ROUND(($B29*(1-E29)),2)</f>
        <v>210</v>
      </c>
      <c r="K29" s="485"/>
      <c r="L29" s="486" cm="1">
        <f t="array" ref="L29">SUMPRODUCT(--(Category="Ex_Cat_1"),--(OpCo="Express Freight"),--(Intl="International"),--(SC_Name=$A29),(SC_Count))</f>
        <v>0</v>
      </c>
      <c r="M29" s="487">
        <f>L29*F29</f>
        <v>0</v>
      </c>
      <c r="N29" s="488">
        <f t="shared" si="1"/>
        <v>0</v>
      </c>
      <c r="O29" s="489">
        <f t="shared" si="2"/>
        <v>0</v>
      </c>
      <c r="P29" s="288" cm="1">
        <f t="array" ref="P29">SUMPRODUCT(--(D_Category="Ex_Cat_2"),--(D_EffDate="Eff_Date_1"),--(D_Product="IF"),--(D_SC_Name=$A29),--(D_Zone="All"),(D_Percent))</f>
        <v>0</v>
      </c>
      <c r="Q29" s="288" cm="1">
        <f t="array" ref="Q29">SUMPRODUCT(--(D_Category="Ex_Cat_2"),--(D_EffDate="Eff_Date_2"),--(D_Product="IF"),--(D_SC_Name=$A29),--(D_Zone="All"),(D_Percent))</f>
        <v>0</v>
      </c>
      <c r="R29" s="483">
        <f>ROUND(($B29*(1-P29)),2)</f>
        <v>210</v>
      </c>
      <c r="S29" s="484"/>
      <c r="T29" s="483">
        <f t="shared" si="64"/>
        <v>0</v>
      </c>
      <c r="U29" s="483"/>
      <c r="V29" s="483">
        <f>ROUND(($B29*(1-Q29)),2)</f>
        <v>210</v>
      </c>
      <c r="W29" s="485"/>
      <c r="X29" s="486" cm="1">
        <f t="array" ref="X29">SUMPRODUCT(--(Category="Ex_Cat_2"),--(OpCo="Express Freight"),--(Intl="International"),--(SC_Name=$A29),(SC_Count))</f>
        <v>0</v>
      </c>
      <c r="Y29" s="487">
        <f>X29*R29</f>
        <v>0</v>
      </c>
      <c r="Z29" s="488">
        <f t="shared" si="4"/>
        <v>0</v>
      </c>
      <c r="AA29" s="489">
        <f t="shared" si="65"/>
        <v>0</v>
      </c>
      <c r="AB29" s="291" cm="1">
        <f t="array" ref="AB29">SUMPRODUCT(--(D_Category="Ex_Cat_3"),--(D_EffDate="Eff_Date_1"),--(D_Product="IF"),--(D_SC_Name=$A29),--(D_Zone="All"),(D_Percent))</f>
        <v>0</v>
      </c>
      <c r="AC29" s="291" cm="1">
        <f t="array" ref="AC29">SUMPRODUCT(--(D_Category="Ex_Cat_3"),--(D_EffDate="Eff_Date_2"),--(D_Product="IF"),--(D_SC_Name=$A29),--(D_Zone="All"),(D_Percent))</f>
        <v>0</v>
      </c>
      <c r="AD29" s="483">
        <f>ROUND(($B29*(1-AB29)),2)</f>
        <v>210</v>
      </c>
      <c r="AE29" s="484"/>
      <c r="AF29" s="483">
        <f t="shared" si="66"/>
        <v>0</v>
      </c>
      <c r="AG29" s="483"/>
      <c r="AH29" s="483">
        <f>ROUND(($B29*(1-AC29)),2)</f>
        <v>210</v>
      </c>
      <c r="AI29" s="485"/>
      <c r="AJ29" s="486" cm="1">
        <f t="array" ref="AJ29">SUMPRODUCT(--(Category="Ex_Cat_3"),--(OpCo="Express Freight"),--(Intl="International"),--(SC_Name=$A29),(SC_Count))</f>
        <v>0</v>
      </c>
      <c r="AK29" s="487">
        <f>AJ29*AD29</f>
        <v>0</v>
      </c>
      <c r="AL29" s="488">
        <f t="shared" si="7"/>
        <v>0</v>
      </c>
      <c r="AM29" s="489">
        <f t="shared" si="67"/>
        <v>0</v>
      </c>
    </row>
    <row r="30" spans="1:39" s="3" customFormat="1" ht="15" customHeight="1" x14ac:dyDescent="0.35">
      <c r="A30" s="620" t="s">
        <v>1747</v>
      </c>
      <c r="B30" s="620"/>
      <c r="C30" s="620"/>
      <c r="D30" s="620"/>
      <c r="E30" s="620"/>
      <c r="F30" s="620"/>
      <c r="G30" s="620"/>
      <c r="H30" s="620"/>
      <c r="I30" s="620"/>
      <c r="J30" s="620"/>
      <c r="K30" s="620"/>
      <c r="L30" s="620"/>
      <c r="M30" s="620"/>
      <c r="N30" s="620"/>
      <c r="O30" s="620"/>
      <c r="P30" s="473"/>
      <c r="Q30" s="473"/>
      <c r="R30" s="473"/>
      <c r="S30" s="458"/>
      <c r="T30" s="336"/>
      <c r="U30" s="336"/>
      <c r="V30" s="336"/>
      <c r="W30" s="336"/>
    </row>
    <row r="31" spans="1:39" s="3" customFormat="1" x14ac:dyDescent="0.35">
      <c r="A31" s="621"/>
      <c r="B31" s="621"/>
      <c r="C31" s="621"/>
      <c r="D31" s="621"/>
      <c r="E31" s="621"/>
      <c r="F31" s="621"/>
      <c r="G31" s="621"/>
      <c r="H31" s="621"/>
      <c r="I31" s="621"/>
      <c r="J31" s="621"/>
      <c r="K31" s="621"/>
      <c r="L31" s="621"/>
      <c r="M31" s="621"/>
      <c r="N31" s="621"/>
      <c r="O31" s="621"/>
      <c r="P31" s="457"/>
      <c r="Q31" s="457"/>
      <c r="R31" s="457"/>
      <c r="S31" s="268"/>
      <c r="T31" s="336"/>
      <c r="U31" s="336"/>
      <c r="V31" s="336"/>
      <c r="W31" s="336"/>
    </row>
    <row r="32" spans="1:39" s="3" customFormat="1" x14ac:dyDescent="0.35">
      <c r="A32" s="621"/>
      <c r="B32" s="621"/>
      <c r="C32" s="621"/>
      <c r="D32" s="621"/>
      <c r="E32" s="621"/>
      <c r="F32" s="621"/>
      <c r="G32" s="621"/>
      <c r="H32" s="621"/>
      <c r="I32" s="621"/>
      <c r="J32" s="621"/>
      <c r="K32" s="621"/>
      <c r="L32" s="621"/>
      <c r="M32" s="621"/>
      <c r="N32" s="621"/>
      <c r="O32" s="621"/>
      <c r="P32" s="457"/>
      <c r="Q32" s="457"/>
      <c r="R32" s="457"/>
      <c r="S32" s="268"/>
      <c r="T32" s="336"/>
      <c r="U32" s="336"/>
      <c r="V32" s="336"/>
      <c r="W32" s="336"/>
    </row>
    <row r="33" spans="1:23" s="3" customFormat="1" x14ac:dyDescent="0.35">
      <c r="A33" s="621"/>
      <c r="B33" s="621"/>
      <c r="C33" s="621"/>
      <c r="D33" s="621"/>
      <c r="E33" s="621"/>
      <c r="F33" s="621"/>
      <c r="G33" s="621"/>
      <c r="H33" s="621"/>
      <c r="I33" s="621"/>
      <c r="J33" s="621"/>
      <c r="K33" s="621"/>
      <c r="L33" s="621"/>
      <c r="M33" s="621"/>
      <c r="N33" s="621"/>
      <c r="O33" s="621"/>
      <c r="P33" s="457"/>
      <c r="Q33" s="457"/>
      <c r="R33" s="457"/>
      <c r="S33" s="268"/>
      <c r="T33" s="336"/>
      <c r="U33" s="336"/>
      <c r="V33" s="336"/>
      <c r="W33" s="336"/>
    </row>
    <row r="34" spans="1:23" s="3" customFormat="1" x14ac:dyDescent="0.35">
      <c r="A34" s="621"/>
      <c r="B34" s="621"/>
      <c r="C34" s="621"/>
      <c r="D34" s="621"/>
      <c r="E34" s="621"/>
      <c r="F34" s="621"/>
      <c r="G34" s="621"/>
      <c r="H34" s="621"/>
      <c r="I34" s="621"/>
      <c r="J34" s="621"/>
      <c r="K34" s="621"/>
      <c r="L34" s="621"/>
      <c r="M34" s="621"/>
      <c r="N34" s="621"/>
      <c r="O34" s="621"/>
      <c r="P34" s="457"/>
      <c r="Q34" s="457"/>
      <c r="R34" s="457"/>
      <c r="S34" s="268"/>
      <c r="T34" s="336"/>
      <c r="U34" s="336"/>
      <c r="V34" s="336"/>
      <c r="W34" s="336"/>
    </row>
    <row r="35" spans="1:23" s="3" customFormat="1" x14ac:dyDescent="0.35">
      <c r="A35" s="621"/>
      <c r="B35" s="621"/>
      <c r="C35" s="621"/>
      <c r="D35" s="621"/>
      <c r="E35" s="621"/>
      <c r="F35" s="621"/>
      <c r="G35" s="621"/>
      <c r="H35" s="621"/>
      <c r="I35" s="621"/>
      <c r="J35" s="621"/>
      <c r="K35" s="621"/>
      <c r="L35" s="621"/>
      <c r="M35" s="621"/>
      <c r="N35" s="621"/>
      <c r="O35" s="621"/>
      <c r="P35" s="457"/>
      <c r="Q35" s="457"/>
      <c r="R35" s="457"/>
      <c r="S35" s="268"/>
      <c r="T35" s="336"/>
      <c r="U35" s="336"/>
      <c r="V35" s="336"/>
      <c r="W35" s="336"/>
    </row>
    <row r="36" spans="1:23" s="3" customFormat="1" x14ac:dyDescent="0.35">
      <c r="A36" s="621"/>
      <c r="B36" s="621"/>
      <c r="C36" s="621"/>
      <c r="D36" s="621"/>
      <c r="E36" s="621"/>
      <c r="F36" s="621"/>
      <c r="G36" s="621"/>
      <c r="H36" s="621"/>
      <c r="I36" s="621"/>
      <c r="J36" s="621"/>
      <c r="K36" s="621"/>
      <c r="L36" s="621"/>
      <c r="M36" s="621"/>
      <c r="N36" s="621"/>
      <c r="O36" s="621"/>
      <c r="P36" s="457"/>
      <c r="Q36" s="457"/>
      <c r="R36" s="457"/>
    </row>
    <row r="37" spans="1:23" s="3" customFormat="1" x14ac:dyDescent="0.35">
      <c r="A37" s="621"/>
      <c r="B37" s="621"/>
      <c r="C37" s="621"/>
      <c r="D37" s="621"/>
      <c r="E37" s="621"/>
      <c r="F37" s="621"/>
      <c r="G37" s="621"/>
      <c r="H37" s="621"/>
      <c r="I37" s="621"/>
      <c r="J37" s="621"/>
      <c r="K37" s="621"/>
      <c r="L37" s="621"/>
      <c r="M37" s="621"/>
      <c r="N37" s="621"/>
      <c r="O37" s="621"/>
      <c r="P37" s="457"/>
      <c r="Q37" s="457"/>
      <c r="R37" s="457"/>
    </row>
  </sheetData>
  <mergeCells count="36">
    <mergeCell ref="P2:Y2"/>
    <mergeCell ref="X3:X4"/>
    <mergeCell ref="Y3:Y4"/>
    <mergeCell ref="D3:D4"/>
    <mergeCell ref="P3:P4"/>
    <mergeCell ref="R3:S3"/>
    <mergeCell ref="D2:O2"/>
    <mergeCell ref="T3:U3"/>
    <mergeCell ref="V3:W3"/>
    <mergeCell ref="Q3:Q4"/>
    <mergeCell ref="M3:M4"/>
    <mergeCell ref="N3:N4"/>
    <mergeCell ref="AB2:AM2"/>
    <mergeCell ref="AB3:AB4"/>
    <mergeCell ref="AD3:AE3"/>
    <mergeCell ref="AJ3:AJ4"/>
    <mergeCell ref="AM3:AM4"/>
    <mergeCell ref="AL3:AL4"/>
    <mergeCell ref="AC3:AC4"/>
    <mergeCell ref="AK3:AK4"/>
    <mergeCell ref="A1:O1"/>
    <mergeCell ref="A30:O37"/>
    <mergeCell ref="AA3:AA4"/>
    <mergeCell ref="AF3:AG3"/>
    <mergeCell ref="AH3:AI3"/>
    <mergeCell ref="O3:O4"/>
    <mergeCell ref="AD13:AE13"/>
    <mergeCell ref="R13:S13"/>
    <mergeCell ref="Z3:Z4"/>
    <mergeCell ref="F13:G13"/>
    <mergeCell ref="F3:G3"/>
    <mergeCell ref="L3:L4"/>
    <mergeCell ref="B3:C3"/>
    <mergeCell ref="H3:I3"/>
    <mergeCell ref="J3:K3"/>
    <mergeCell ref="E3:E4"/>
  </mergeCells>
  <pageMargins left="0.25" right="0.25"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A729B-F57B-4FFA-A796-A7ED52573740}">
  <sheetPr codeName="Sheet14">
    <tabColor theme="4"/>
  </sheetPr>
  <dimension ref="B2:E18"/>
  <sheetViews>
    <sheetView workbookViewId="0">
      <selection activeCell="C5" sqref="C5"/>
    </sheetView>
  </sheetViews>
  <sheetFormatPr defaultColWidth="9.1796875" defaultRowHeight="14.5" x14ac:dyDescent="0.35"/>
  <cols>
    <col min="1" max="1" width="9.1796875" style="3"/>
    <col min="2" max="2" width="24.6328125" style="3" bestFit="1" customWidth="1"/>
    <col min="3" max="4" width="35.36328125" style="3" bestFit="1" customWidth="1"/>
    <col min="5" max="5" width="15.36328125" style="3" bestFit="1" customWidth="1"/>
    <col min="6" max="7" width="9.1796875" style="3"/>
    <col min="8" max="8" width="18.1796875" style="3" bestFit="1" customWidth="1"/>
    <col min="9" max="9" width="26" style="3" bestFit="1" customWidth="1"/>
    <col min="10" max="10" width="24.26953125" style="3" bestFit="1" customWidth="1"/>
    <col min="11" max="13" width="18" style="3" bestFit="1" customWidth="1"/>
    <col min="14" max="16384" width="9.1796875" style="3"/>
  </cols>
  <sheetData>
    <row r="2" spans="2:5" ht="23.5" x14ac:dyDescent="0.55000000000000004">
      <c r="B2" s="426" t="s">
        <v>1431</v>
      </c>
      <c r="C2" s="426" t="s">
        <v>1341</v>
      </c>
      <c r="D2" s="426"/>
      <c r="E2" s="426"/>
    </row>
    <row r="3" spans="2:5" ht="23.5" x14ac:dyDescent="0.55000000000000004">
      <c r="B3" s="426"/>
      <c r="C3" s="426"/>
      <c r="D3" s="426"/>
      <c r="E3" s="426"/>
    </row>
    <row r="4" spans="2:5" ht="23.5" x14ac:dyDescent="0.55000000000000004">
      <c r="B4" s="427" t="s">
        <v>0</v>
      </c>
      <c r="C4" s="427" t="s">
        <v>1727</v>
      </c>
      <c r="D4" s="427" t="s">
        <v>1728</v>
      </c>
      <c r="E4" s="470" t="s">
        <v>1636</v>
      </c>
    </row>
    <row r="5" spans="2:5" ht="23.5" x14ac:dyDescent="0.55000000000000004">
      <c r="B5" s="428" t="s">
        <v>14</v>
      </c>
      <c r="C5" s="429">
        <v>0</v>
      </c>
      <c r="D5" s="429">
        <v>0</v>
      </c>
      <c r="E5" s="429">
        <v>0</v>
      </c>
    </row>
    <row r="6" spans="2:5" ht="23.5" x14ac:dyDescent="0.55000000000000004">
      <c r="B6" s="428" t="s">
        <v>335</v>
      </c>
      <c r="C6" s="429">
        <v>0</v>
      </c>
      <c r="D6" s="429">
        <v>0</v>
      </c>
      <c r="E6" s="429">
        <v>0</v>
      </c>
    </row>
    <row r="7" spans="2:5" ht="23.5" x14ac:dyDescent="0.55000000000000004">
      <c r="B7" s="428" t="s">
        <v>15</v>
      </c>
      <c r="C7" s="429">
        <v>0</v>
      </c>
      <c r="D7" s="429">
        <v>0</v>
      </c>
      <c r="E7" s="429">
        <v>0</v>
      </c>
    </row>
    <row r="8" spans="2:5" ht="23.5" x14ac:dyDescent="0.55000000000000004">
      <c r="B8" s="428" t="s">
        <v>941</v>
      </c>
      <c r="C8" s="429">
        <v>0</v>
      </c>
      <c r="D8" s="429">
        <v>0</v>
      </c>
      <c r="E8" s="429">
        <v>0</v>
      </c>
    </row>
    <row r="9" spans="2:5" ht="23.5" x14ac:dyDescent="0.55000000000000004">
      <c r="B9" s="428" t="s">
        <v>1788</v>
      </c>
      <c r="C9" s="429">
        <v>0</v>
      </c>
      <c r="D9" s="429">
        <v>0</v>
      </c>
      <c r="E9" s="429">
        <v>0</v>
      </c>
    </row>
    <row r="10" spans="2:5" ht="23.5" x14ac:dyDescent="0.55000000000000004">
      <c r="B10" s="428" t="s">
        <v>920</v>
      </c>
      <c r="C10" s="429">
        <v>0</v>
      </c>
      <c r="D10" s="429">
        <v>0</v>
      </c>
      <c r="E10" s="429">
        <v>0</v>
      </c>
    </row>
    <row r="11" spans="2:5" ht="18.75" customHeight="1" x14ac:dyDescent="0.35">
      <c r="B11" s="712" t="s">
        <v>942</v>
      </c>
      <c r="C11" s="712"/>
      <c r="D11" s="712"/>
      <c r="E11" s="712"/>
    </row>
    <row r="12" spans="2:5" ht="18.75" customHeight="1" x14ac:dyDescent="0.35">
      <c r="B12" s="712"/>
      <c r="C12" s="712"/>
      <c r="D12" s="712"/>
      <c r="E12" s="712"/>
    </row>
    <row r="13" spans="2:5" ht="18.75" customHeight="1" x14ac:dyDescent="0.35">
      <c r="B13" s="712"/>
      <c r="C13" s="712"/>
      <c r="D13" s="712"/>
      <c r="E13" s="712"/>
    </row>
    <row r="14" spans="2:5" ht="15" customHeight="1" x14ac:dyDescent="0.35">
      <c r="B14" s="712"/>
      <c r="C14" s="712"/>
      <c r="D14" s="712"/>
      <c r="E14" s="712"/>
    </row>
    <row r="15" spans="2:5" ht="18.75" customHeight="1" x14ac:dyDescent="0.35">
      <c r="B15" s="712"/>
      <c r="C15" s="712"/>
      <c r="D15" s="712"/>
      <c r="E15" s="712"/>
    </row>
    <row r="16" spans="2:5" x14ac:dyDescent="0.35">
      <c r="B16" s="712"/>
      <c r="C16" s="712"/>
      <c r="D16" s="712"/>
      <c r="E16" s="712"/>
    </row>
    <row r="17" spans="2:5" ht="15" customHeight="1" x14ac:dyDescent="0.35">
      <c r="B17" s="712"/>
      <c r="C17" s="712"/>
      <c r="D17" s="712"/>
      <c r="E17" s="712"/>
    </row>
    <row r="18" spans="2:5" x14ac:dyDescent="0.35">
      <c r="B18" s="712"/>
      <c r="C18" s="712"/>
      <c r="D18" s="712"/>
      <c r="E18" s="712"/>
    </row>
  </sheetData>
  <mergeCells count="1">
    <mergeCell ref="B11:E18"/>
  </mergeCell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89B30-B5D6-4B3A-8F23-E9A8969F14B2}">
  <sheetPr codeName="Sheet18">
    <tabColor theme="1"/>
  </sheetPr>
  <dimension ref="A1:K252"/>
  <sheetViews>
    <sheetView workbookViewId="0">
      <selection activeCell="B3" sqref="B3"/>
    </sheetView>
  </sheetViews>
  <sheetFormatPr defaultRowHeight="14.5" x14ac:dyDescent="0.35"/>
  <cols>
    <col min="1" max="1" width="54.90625" bestFit="1" customWidth="1"/>
    <col min="2" max="2" width="11.90625" style="430" bestFit="1" customWidth="1"/>
    <col min="3" max="4" width="9.6328125" style="453" bestFit="1" customWidth="1"/>
    <col min="5" max="5" width="17.54296875" style="10" bestFit="1" customWidth="1"/>
    <col min="6" max="6" width="11.7265625" style="430" bestFit="1" customWidth="1"/>
    <col min="7" max="7" width="17.54296875" style="430" bestFit="1" customWidth="1"/>
    <col min="8" max="8" width="11.54296875" style="430" bestFit="1" customWidth="1"/>
    <col min="9" max="9" width="18.90625" style="10" bestFit="1" customWidth="1"/>
    <col min="10" max="10" width="16.6328125" style="10" bestFit="1" customWidth="1"/>
    <col min="11" max="11" width="18.90625" style="10" bestFit="1" customWidth="1"/>
    <col min="12" max="13" width="18" bestFit="1" customWidth="1"/>
  </cols>
  <sheetData>
    <row r="1" spans="1:11" x14ac:dyDescent="0.35">
      <c r="A1" s="713" t="s">
        <v>1431</v>
      </c>
      <c r="B1" s="714" t="s">
        <v>1341</v>
      </c>
    </row>
    <row r="3" spans="1:11" x14ac:dyDescent="0.35">
      <c r="A3" s="713" t="s">
        <v>919</v>
      </c>
      <c r="B3" s="714" t="s">
        <v>1818</v>
      </c>
      <c r="C3" s="717" t="s">
        <v>1722</v>
      </c>
      <c r="D3" s="717" t="s">
        <v>1721</v>
      </c>
      <c r="E3" s="714" t="s">
        <v>1723</v>
      </c>
      <c r="F3" s="721" t="s">
        <v>1521</v>
      </c>
      <c r="G3" s="714" t="s">
        <v>1724</v>
      </c>
      <c r="H3" s="720" t="s">
        <v>1511</v>
      </c>
      <c r="I3" s="714" t="s">
        <v>1725</v>
      </c>
      <c r="J3" s="720" t="s">
        <v>1524</v>
      </c>
      <c r="K3" s="714" t="s">
        <v>1726</v>
      </c>
    </row>
    <row r="4" spans="1:11" x14ac:dyDescent="0.35">
      <c r="A4" s="715" t="s">
        <v>1574</v>
      </c>
      <c r="B4" s="716">
        <v>8.8000000000000007</v>
      </c>
      <c r="C4" s="717">
        <v>0</v>
      </c>
      <c r="D4" s="717">
        <v>0</v>
      </c>
      <c r="E4" s="716">
        <v>8.8000000000000007</v>
      </c>
      <c r="F4" s="716">
        <v>0</v>
      </c>
      <c r="G4" s="716">
        <v>8.8000000000000007</v>
      </c>
      <c r="H4" s="719">
        <v>0</v>
      </c>
      <c r="I4" s="718">
        <v>0</v>
      </c>
      <c r="J4" s="718">
        <v>0</v>
      </c>
      <c r="K4" s="718">
        <v>0</v>
      </c>
    </row>
    <row r="5" spans="1:11" x14ac:dyDescent="0.35">
      <c r="A5" s="715" t="s">
        <v>1734</v>
      </c>
      <c r="B5" s="716">
        <v>2.65</v>
      </c>
      <c r="C5" s="717">
        <v>0</v>
      </c>
      <c r="D5" s="717">
        <v>0</v>
      </c>
      <c r="E5" s="716">
        <v>2.65</v>
      </c>
      <c r="F5" s="716">
        <v>0</v>
      </c>
      <c r="G5" s="716">
        <v>2.65</v>
      </c>
      <c r="H5" s="719">
        <v>0</v>
      </c>
      <c r="I5" s="718">
        <v>0</v>
      </c>
      <c r="J5" s="718">
        <v>0</v>
      </c>
      <c r="K5" s="718">
        <v>0</v>
      </c>
    </row>
    <row r="6" spans="1:11" x14ac:dyDescent="0.35">
      <c r="A6" s="715" t="s">
        <v>1605</v>
      </c>
      <c r="B6" s="716">
        <v>6.45</v>
      </c>
      <c r="C6" s="717">
        <v>0</v>
      </c>
      <c r="D6" s="717">
        <v>0</v>
      </c>
      <c r="E6" s="716">
        <v>6.45</v>
      </c>
      <c r="F6" s="716">
        <v>0</v>
      </c>
      <c r="G6" s="716">
        <v>6.45</v>
      </c>
      <c r="H6" s="719">
        <v>0</v>
      </c>
      <c r="I6" s="718">
        <v>0</v>
      </c>
      <c r="J6" s="718">
        <v>0</v>
      </c>
      <c r="K6" s="718">
        <v>0</v>
      </c>
    </row>
    <row r="7" spans="1:11" x14ac:dyDescent="0.35">
      <c r="A7" s="715" t="s">
        <v>1459</v>
      </c>
      <c r="B7" s="716">
        <v>6.6</v>
      </c>
      <c r="C7" s="717">
        <v>0</v>
      </c>
      <c r="D7" s="717">
        <v>0</v>
      </c>
      <c r="E7" s="716">
        <v>6.6</v>
      </c>
      <c r="F7" s="716">
        <v>0</v>
      </c>
      <c r="G7" s="716">
        <v>6.6</v>
      </c>
      <c r="H7" s="719">
        <v>0</v>
      </c>
      <c r="I7" s="718">
        <v>0</v>
      </c>
      <c r="J7" s="718">
        <v>0</v>
      </c>
      <c r="K7" s="718">
        <v>0</v>
      </c>
    </row>
    <row r="8" spans="1:11" x14ac:dyDescent="0.35">
      <c r="A8" s="715" t="s">
        <v>1834</v>
      </c>
      <c r="B8" s="716">
        <v>27</v>
      </c>
      <c r="C8" s="717">
        <v>0</v>
      </c>
      <c r="D8" s="717">
        <v>0</v>
      </c>
      <c r="E8" s="716">
        <v>27</v>
      </c>
      <c r="F8" s="716">
        <v>0</v>
      </c>
      <c r="G8" s="716">
        <v>27</v>
      </c>
      <c r="H8" s="719">
        <v>0</v>
      </c>
      <c r="I8" s="718">
        <v>0</v>
      </c>
      <c r="J8" s="718">
        <v>0</v>
      </c>
      <c r="K8" s="718">
        <v>0</v>
      </c>
    </row>
    <row r="9" spans="1:11" x14ac:dyDescent="0.35">
      <c r="A9" s="715" t="s">
        <v>1460</v>
      </c>
      <c r="B9" s="716">
        <v>8.8000000000000007</v>
      </c>
      <c r="C9" s="717">
        <v>0</v>
      </c>
      <c r="D9" s="717">
        <v>0</v>
      </c>
      <c r="E9" s="716">
        <v>8.8000000000000007</v>
      </c>
      <c r="F9" s="716">
        <v>0</v>
      </c>
      <c r="G9" s="716">
        <v>8.8000000000000007</v>
      </c>
      <c r="H9" s="719">
        <v>0</v>
      </c>
      <c r="I9" s="718">
        <v>0</v>
      </c>
      <c r="J9" s="718">
        <v>0</v>
      </c>
      <c r="K9" s="718">
        <v>0</v>
      </c>
    </row>
    <row r="10" spans="1:11" x14ac:dyDescent="0.35">
      <c r="A10" s="715" t="s">
        <v>1590</v>
      </c>
      <c r="B10" s="716">
        <v>46</v>
      </c>
      <c r="C10" s="717">
        <v>0</v>
      </c>
      <c r="D10" s="717">
        <v>0</v>
      </c>
      <c r="E10" s="716">
        <v>46</v>
      </c>
      <c r="F10" s="716">
        <v>0</v>
      </c>
      <c r="G10" s="716">
        <v>46</v>
      </c>
      <c r="H10" s="719">
        <v>0</v>
      </c>
      <c r="I10" s="718">
        <v>0</v>
      </c>
      <c r="J10" s="718">
        <v>0</v>
      </c>
      <c r="K10" s="718">
        <v>0</v>
      </c>
    </row>
    <row r="11" spans="1:11" x14ac:dyDescent="0.35">
      <c r="A11" s="715" t="s">
        <v>1462</v>
      </c>
      <c r="B11" s="716">
        <v>8.8000000000000007</v>
      </c>
      <c r="C11" s="717">
        <v>0</v>
      </c>
      <c r="D11" s="717">
        <v>0</v>
      </c>
      <c r="E11" s="716">
        <v>8.8000000000000007</v>
      </c>
      <c r="F11" s="716">
        <v>0</v>
      </c>
      <c r="G11" s="716">
        <v>8.8000000000000007</v>
      </c>
      <c r="H11" s="719">
        <v>0</v>
      </c>
      <c r="I11" s="718">
        <v>0</v>
      </c>
      <c r="J11" s="718">
        <v>0</v>
      </c>
      <c r="K11" s="718">
        <v>0</v>
      </c>
    </row>
    <row r="12" spans="1:11" x14ac:dyDescent="0.35">
      <c r="A12" s="715" t="s">
        <v>1621</v>
      </c>
      <c r="B12" s="716">
        <v>0</v>
      </c>
      <c r="C12" s="717">
        <v>0</v>
      </c>
      <c r="D12" s="717">
        <v>0</v>
      </c>
      <c r="E12" s="716"/>
      <c r="F12" s="716"/>
      <c r="G12" s="716"/>
      <c r="H12" s="719">
        <v>0</v>
      </c>
      <c r="I12" s="718"/>
      <c r="J12" s="718"/>
      <c r="K12" s="718"/>
    </row>
    <row r="13" spans="1:11" x14ac:dyDescent="0.35">
      <c r="A13" s="715" t="s">
        <v>1458</v>
      </c>
      <c r="B13" s="716">
        <v>1.1499999999999999</v>
      </c>
      <c r="C13" s="717">
        <v>0</v>
      </c>
      <c r="D13" s="717">
        <v>0</v>
      </c>
      <c r="E13" s="716">
        <v>1.1499999999999999</v>
      </c>
      <c r="F13" s="716">
        <v>0</v>
      </c>
      <c r="G13" s="716">
        <v>1.1499999999999999</v>
      </c>
      <c r="H13" s="719">
        <v>0</v>
      </c>
      <c r="I13" s="718">
        <v>0</v>
      </c>
      <c r="J13" s="718">
        <v>0</v>
      </c>
      <c r="K13" s="718">
        <v>0</v>
      </c>
    </row>
    <row r="14" spans="1:11" x14ac:dyDescent="0.35">
      <c r="A14" s="715" t="s">
        <v>1772</v>
      </c>
      <c r="B14" s="716">
        <v>5.95</v>
      </c>
      <c r="C14" s="717">
        <v>0</v>
      </c>
      <c r="D14" s="717">
        <v>0</v>
      </c>
      <c r="E14" s="716">
        <v>5.95</v>
      </c>
      <c r="F14" s="716">
        <v>0</v>
      </c>
      <c r="G14" s="716">
        <v>5.95</v>
      </c>
      <c r="H14" s="719">
        <v>0</v>
      </c>
      <c r="I14" s="718">
        <v>0</v>
      </c>
      <c r="J14" s="718">
        <v>0</v>
      </c>
      <c r="K14" s="718">
        <v>0</v>
      </c>
    </row>
    <row r="15" spans="1:11" x14ac:dyDescent="0.35">
      <c r="A15" s="715" t="s">
        <v>1463</v>
      </c>
      <c r="B15" s="716">
        <v>0</v>
      </c>
      <c r="C15" s="717">
        <v>0</v>
      </c>
      <c r="D15" s="717">
        <v>0</v>
      </c>
      <c r="E15" s="716"/>
      <c r="F15" s="716"/>
      <c r="G15" s="716"/>
      <c r="H15" s="719">
        <v>0</v>
      </c>
      <c r="I15" s="718"/>
      <c r="J15" s="718"/>
      <c r="K15" s="718"/>
    </row>
    <row r="16" spans="1:11" x14ac:dyDescent="0.35">
      <c r="A16" s="715" t="s">
        <v>1849</v>
      </c>
      <c r="B16" s="716">
        <v>20</v>
      </c>
      <c r="C16" s="717">
        <v>0</v>
      </c>
      <c r="D16" s="717">
        <v>0</v>
      </c>
      <c r="E16" s="716">
        <v>20</v>
      </c>
      <c r="F16" s="716">
        <v>0</v>
      </c>
      <c r="G16" s="716">
        <v>20</v>
      </c>
      <c r="H16" s="719">
        <v>0</v>
      </c>
      <c r="I16" s="718">
        <v>0</v>
      </c>
      <c r="J16" s="718">
        <v>0</v>
      </c>
      <c r="K16" s="718">
        <v>0</v>
      </c>
    </row>
    <row r="17" spans="1:11" x14ac:dyDescent="0.35">
      <c r="A17" s="715" t="s">
        <v>1464</v>
      </c>
      <c r="B17" s="716">
        <v>7.1</v>
      </c>
      <c r="C17" s="717">
        <v>0</v>
      </c>
      <c r="D17" s="717">
        <v>0</v>
      </c>
      <c r="E17" s="716">
        <v>7.1</v>
      </c>
      <c r="F17" s="716">
        <v>0</v>
      </c>
      <c r="G17" s="716">
        <v>7.1</v>
      </c>
      <c r="H17" s="719">
        <v>0</v>
      </c>
      <c r="I17" s="718">
        <v>0</v>
      </c>
      <c r="J17" s="718">
        <v>0</v>
      </c>
      <c r="K17" s="718">
        <v>0</v>
      </c>
    </row>
    <row r="18" spans="1:11" x14ac:dyDescent="0.35">
      <c r="A18" s="715" t="s">
        <v>1582</v>
      </c>
      <c r="B18" s="716">
        <v>25.5</v>
      </c>
      <c r="C18" s="717">
        <v>0</v>
      </c>
      <c r="D18" s="717">
        <v>0</v>
      </c>
      <c r="E18" s="716">
        <v>25.5</v>
      </c>
      <c r="F18" s="716">
        <v>0</v>
      </c>
      <c r="G18" s="716">
        <v>25.5</v>
      </c>
      <c r="H18" s="719">
        <v>0</v>
      </c>
      <c r="I18" s="718">
        <v>0</v>
      </c>
      <c r="J18" s="718">
        <v>0</v>
      </c>
      <c r="K18" s="718">
        <v>0</v>
      </c>
    </row>
    <row r="19" spans="1:11" x14ac:dyDescent="0.35">
      <c r="A19" s="715" t="s">
        <v>1465</v>
      </c>
      <c r="B19" s="716">
        <v>1.05</v>
      </c>
      <c r="C19" s="717">
        <v>0</v>
      </c>
      <c r="D19" s="717">
        <v>0</v>
      </c>
      <c r="E19" s="716">
        <v>1.05</v>
      </c>
      <c r="F19" s="716">
        <v>0</v>
      </c>
      <c r="G19" s="716">
        <v>1.05</v>
      </c>
      <c r="H19" s="719">
        <v>0</v>
      </c>
      <c r="I19" s="718">
        <v>0</v>
      </c>
      <c r="J19" s="718">
        <v>0</v>
      </c>
      <c r="K19" s="718">
        <v>0</v>
      </c>
    </row>
    <row r="20" spans="1:11" x14ac:dyDescent="0.35">
      <c r="A20" s="715" t="s">
        <v>1598</v>
      </c>
      <c r="B20" s="716">
        <v>16.75</v>
      </c>
      <c r="C20" s="717">
        <v>0</v>
      </c>
      <c r="D20" s="717">
        <v>0</v>
      </c>
      <c r="E20" s="716">
        <v>16.75</v>
      </c>
      <c r="F20" s="716">
        <v>0</v>
      </c>
      <c r="G20" s="716">
        <v>16.75</v>
      </c>
      <c r="H20" s="719">
        <v>0</v>
      </c>
      <c r="I20" s="718">
        <v>0</v>
      </c>
      <c r="J20" s="718">
        <v>0</v>
      </c>
      <c r="K20" s="718">
        <v>0</v>
      </c>
    </row>
    <row r="21" spans="1:11" x14ac:dyDescent="0.35">
      <c r="A21" s="715" t="s">
        <v>1449</v>
      </c>
      <c r="B21" s="716">
        <v>255</v>
      </c>
      <c r="C21" s="717">
        <v>0</v>
      </c>
      <c r="D21" s="717">
        <v>0</v>
      </c>
      <c r="E21" s="716">
        <v>255</v>
      </c>
      <c r="F21" s="716">
        <v>0</v>
      </c>
      <c r="G21" s="716">
        <v>255</v>
      </c>
      <c r="H21" s="719">
        <v>0</v>
      </c>
      <c r="I21" s="718">
        <v>0</v>
      </c>
      <c r="J21" s="718">
        <v>0</v>
      </c>
      <c r="K21" s="718">
        <v>0</v>
      </c>
    </row>
    <row r="22" spans="1:11" x14ac:dyDescent="0.35">
      <c r="A22" s="715" t="s">
        <v>1613</v>
      </c>
      <c r="B22" s="716">
        <v>99.5</v>
      </c>
      <c r="C22" s="717">
        <v>0</v>
      </c>
      <c r="D22" s="717">
        <v>0</v>
      </c>
      <c r="E22" s="716">
        <v>99.5</v>
      </c>
      <c r="F22" s="716">
        <v>0</v>
      </c>
      <c r="G22" s="716">
        <v>99.5</v>
      </c>
      <c r="H22" s="719">
        <v>0</v>
      </c>
      <c r="I22" s="718">
        <v>0</v>
      </c>
      <c r="J22" s="718">
        <v>0</v>
      </c>
      <c r="K22" s="718">
        <v>0</v>
      </c>
    </row>
    <row r="23" spans="1:11" x14ac:dyDescent="0.35">
      <c r="A23" s="715" t="s">
        <v>1450</v>
      </c>
      <c r="B23" s="716">
        <v>275</v>
      </c>
      <c r="C23" s="717">
        <v>0</v>
      </c>
      <c r="D23" s="717">
        <v>0</v>
      </c>
      <c r="E23" s="716">
        <v>275</v>
      </c>
      <c r="F23" s="716">
        <v>0</v>
      </c>
      <c r="G23" s="716">
        <v>275</v>
      </c>
      <c r="H23" s="719">
        <v>0</v>
      </c>
      <c r="I23" s="718">
        <v>0</v>
      </c>
      <c r="J23" s="718">
        <v>0</v>
      </c>
      <c r="K23" s="718">
        <v>0</v>
      </c>
    </row>
    <row r="24" spans="1:11" x14ac:dyDescent="0.35">
      <c r="A24" s="715" t="s">
        <v>1629</v>
      </c>
      <c r="B24" s="716">
        <v>130</v>
      </c>
      <c r="C24" s="717">
        <v>0</v>
      </c>
      <c r="D24" s="717">
        <v>0</v>
      </c>
      <c r="E24" s="716">
        <v>130</v>
      </c>
      <c r="F24" s="716">
        <v>0</v>
      </c>
      <c r="G24" s="716">
        <v>130</v>
      </c>
      <c r="H24" s="719">
        <v>0</v>
      </c>
      <c r="I24" s="718">
        <v>0</v>
      </c>
      <c r="J24" s="718">
        <v>0</v>
      </c>
      <c r="K24" s="718">
        <v>0</v>
      </c>
    </row>
    <row r="25" spans="1:11" x14ac:dyDescent="0.35">
      <c r="A25" s="715" t="s">
        <v>1451</v>
      </c>
      <c r="B25" s="716">
        <v>320</v>
      </c>
      <c r="C25" s="717">
        <v>0</v>
      </c>
      <c r="D25" s="717">
        <v>0</v>
      </c>
      <c r="E25" s="716">
        <v>320</v>
      </c>
      <c r="F25" s="716">
        <v>0</v>
      </c>
      <c r="G25" s="716">
        <v>320</v>
      </c>
      <c r="H25" s="719">
        <v>0</v>
      </c>
      <c r="I25" s="718">
        <v>0</v>
      </c>
      <c r="J25" s="718">
        <v>0</v>
      </c>
      <c r="K25" s="718">
        <v>0</v>
      </c>
    </row>
    <row r="26" spans="1:11" x14ac:dyDescent="0.35">
      <c r="A26" s="715" t="s">
        <v>1762</v>
      </c>
      <c r="B26" s="716">
        <v>17</v>
      </c>
      <c r="C26" s="717">
        <v>0</v>
      </c>
      <c r="D26" s="717">
        <v>0</v>
      </c>
      <c r="E26" s="716">
        <v>17</v>
      </c>
      <c r="F26" s="716">
        <v>0</v>
      </c>
      <c r="G26" s="716">
        <v>17</v>
      </c>
      <c r="H26" s="719">
        <v>0</v>
      </c>
      <c r="I26" s="718">
        <v>0</v>
      </c>
      <c r="J26" s="718">
        <v>0</v>
      </c>
      <c r="K26" s="718">
        <v>0</v>
      </c>
    </row>
    <row r="27" spans="1:11" x14ac:dyDescent="0.35">
      <c r="A27" s="715" t="s">
        <v>1452</v>
      </c>
      <c r="B27" s="716">
        <v>330</v>
      </c>
      <c r="C27" s="717">
        <v>0</v>
      </c>
      <c r="D27" s="717">
        <v>0</v>
      </c>
      <c r="E27" s="716">
        <v>330</v>
      </c>
      <c r="F27" s="716">
        <v>0</v>
      </c>
      <c r="G27" s="716">
        <v>330</v>
      </c>
      <c r="H27" s="719">
        <v>0</v>
      </c>
      <c r="I27" s="718">
        <v>0</v>
      </c>
      <c r="J27" s="718">
        <v>0</v>
      </c>
      <c r="K27" s="718">
        <v>0</v>
      </c>
    </row>
    <row r="28" spans="1:11" x14ac:dyDescent="0.35">
      <c r="A28" s="715" t="s">
        <v>1781</v>
      </c>
      <c r="B28" s="716">
        <v>0</v>
      </c>
      <c r="C28" s="717">
        <v>0</v>
      </c>
      <c r="D28" s="717">
        <v>0</v>
      </c>
      <c r="E28" s="716">
        <v>0</v>
      </c>
      <c r="F28" s="716">
        <v>0</v>
      </c>
      <c r="G28" s="716">
        <v>0</v>
      </c>
      <c r="H28" s="719">
        <v>0</v>
      </c>
      <c r="I28" s="718">
        <v>0</v>
      </c>
      <c r="J28" s="718">
        <v>0</v>
      </c>
      <c r="K28" s="718">
        <v>0</v>
      </c>
    </row>
    <row r="29" spans="1:11" x14ac:dyDescent="0.35">
      <c r="A29" s="715" t="s">
        <v>1433</v>
      </c>
      <c r="B29" s="716">
        <v>29.5</v>
      </c>
      <c r="C29" s="717">
        <v>0</v>
      </c>
      <c r="D29" s="717">
        <v>0</v>
      </c>
      <c r="E29" s="716">
        <v>29.5</v>
      </c>
      <c r="F29" s="716">
        <v>0</v>
      </c>
      <c r="G29" s="716">
        <v>29.5</v>
      </c>
      <c r="H29" s="719">
        <v>0</v>
      </c>
      <c r="I29" s="718">
        <v>0</v>
      </c>
      <c r="J29" s="718">
        <v>0</v>
      </c>
      <c r="K29" s="718">
        <v>0</v>
      </c>
    </row>
    <row r="30" spans="1:11" x14ac:dyDescent="0.35">
      <c r="A30" s="715" t="s">
        <v>2002</v>
      </c>
      <c r="B30" s="716">
        <v>55</v>
      </c>
      <c r="C30" s="717">
        <v>0</v>
      </c>
      <c r="D30" s="717">
        <v>0</v>
      </c>
      <c r="E30" s="716">
        <v>55</v>
      </c>
      <c r="F30" s="716">
        <v>0</v>
      </c>
      <c r="G30" s="716">
        <v>55</v>
      </c>
      <c r="H30" s="719">
        <v>0</v>
      </c>
      <c r="I30" s="718">
        <v>0</v>
      </c>
      <c r="J30" s="718">
        <v>0</v>
      </c>
      <c r="K30" s="718">
        <v>0</v>
      </c>
    </row>
    <row r="31" spans="1:11" x14ac:dyDescent="0.35">
      <c r="A31" s="715" t="s">
        <v>1434</v>
      </c>
      <c r="B31" s="716">
        <v>32.75</v>
      </c>
      <c r="C31" s="717">
        <v>0</v>
      </c>
      <c r="D31" s="717">
        <v>0</v>
      </c>
      <c r="E31" s="716">
        <v>32.75</v>
      </c>
      <c r="F31" s="716">
        <v>0</v>
      </c>
      <c r="G31" s="716">
        <v>32.75</v>
      </c>
      <c r="H31" s="719">
        <v>0</v>
      </c>
      <c r="I31" s="718">
        <v>0</v>
      </c>
      <c r="J31" s="718">
        <v>0</v>
      </c>
      <c r="K31" s="718">
        <v>0</v>
      </c>
    </row>
    <row r="32" spans="1:11" x14ac:dyDescent="0.35">
      <c r="A32" s="715" t="s">
        <v>1858</v>
      </c>
      <c r="B32" s="716">
        <v>16.5</v>
      </c>
      <c r="C32" s="717">
        <v>0</v>
      </c>
      <c r="D32" s="717">
        <v>0</v>
      </c>
      <c r="E32" s="716">
        <v>16.5</v>
      </c>
      <c r="F32" s="716">
        <v>0</v>
      </c>
      <c r="G32" s="716">
        <v>16.5</v>
      </c>
      <c r="H32" s="719">
        <v>0</v>
      </c>
      <c r="I32" s="718">
        <v>0</v>
      </c>
      <c r="J32" s="718">
        <v>0</v>
      </c>
      <c r="K32" s="718">
        <v>0</v>
      </c>
    </row>
    <row r="33" spans="1:11" x14ac:dyDescent="0.35">
      <c r="A33" s="715" t="s">
        <v>1435</v>
      </c>
      <c r="B33" s="716">
        <v>38.5</v>
      </c>
      <c r="C33" s="717">
        <v>0</v>
      </c>
      <c r="D33" s="717">
        <v>0</v>
      </c>
      <c r="E33" s="716">
        <v>38.5</v>
      </c>
      <c r="F33" s="716">
        <v>0</v>
      </c>
      <c r="G33" s="716">
        <v>38.5</v>
      </c>
      <c r="H33" s="719">
        <v>0</v>
      </c>
      <c r="I33" s="718">
        <v>0</v>
      </c>
      <c r="J33" s="718">
        <v>0</v>
      </c>
      <c r="K33" s="718">
        <v>0</v>
      </c>
    </row>
    <row r="34" spans="1:11" x14ac:dyDescent="0.35">
      <c r="A34" s="715" t="s">
        <v>1578</v>
      </c>
      <c r="B34" s="716">
        <v>47</v>
      </c>
      <c r="C34" s="717">
        <v>0</v>
      </c>
      <c r="D34" s="717">
        <v>0</v>
      </c>
      <c r="E34" s="716">
        <v>47</v>
      </c>
      <c r="F34" s="716">
        <v>0</v>
      </c>
      <c r="G34" s="716">
        <v>47</v>
      </c>
      <c r="H34" s="719">
        <v>0</v>
      </c>
      <c r="I34" s="718">
        <v>0</v>
      </c>
      <c r="J34" s="718">
        <v>0</v>
      </c>
      <c r="K34" s="718">
        <v>0</v>
      </c>
    </row>
    <row r="35" spans="1:11" x14ac:dyDescent="0.35">
      <c r="A35" s="715" t="s">
        <v>1436</v>
      </c>
      <c r="B35" s="716">
        <v>40.75</v>
      </c>
      <c r="C35" s="717">
        <v>0</v>
      </c>
      <c r="D35" s="717">
        <v>0</v>
      </c>
      <c r="E35" s="716">
        <v>40.75</v>
      </c>
      <c r="F35" s="716">
        <v>0</v>
      </c>
      <c r="G35" s="716">
        <v>40.75</v>
      </c>
      <c r="H35" s="719">
        <v>0</v>
      </c>
      <c r="I35" s="718">
        <v>0</v>
      </c>
      <c r="J35" s="718">
        <v>0</v>
      </c>
      <c r="K35" s="718">
        <v>0</v>
      </c>
    </row>
    <row r="36" spans="1:11" x14ac:dyDescent="0.35">
      <c r="A36" s="715" t="s">
        <v>1586</v>
      </c>
      <c r="B36" s="716">
        <v>16.75</v>
      </c>
      <c r="C36" s="717">
        <v>0</v>
      </c>
      <c r="D36" s="717">
        <v>0</v>
      </c>
      <c r="E36" s="716">
        <v>16.75</v>
      </c>
      <c r="F36" s="716">
        <v>0</v>
      </c>
      <c r="G36" s="716">
        <v>16.75</v>
      </c>
      <c r="H36" s="719">
        <v>0</v>
      </c>
      <c r="I36" s="718">
        <v>0</v>
      </c>
      <c r="J36" s="718">
        <v>0</v>
      </c>
      <c r="K36" s="718">
        <v>0</v>
      </c>
    </row>
    <row r="37" spans="1:11" x14ac:dyDescent="0.35">
      <c r="A37" s="715" t="s">
        <v>1441</v>
      </c>
      <c r="B37" s="716">
        <v>26.5</v>
      </c>
      <c r="C37" s="717">
        <v>0</v>
      </c>
      <c r="D37" s="717">
        <v>0</v>
      </c>
      <c r="E37" s="716">
        <v>26.5</v>
      </c>
      <c r="F37" s="716">
        <v>0</v>
      </c>
      <c r="G37" s="716">
        <v>26.5</v>
      </c>
      <c r="H37" s="719">
        <v>0</v>
      </c>
      <c r="I37" s="718">
        <v>0</v>
      </c>
      <c r="J37" s="718">
        <v>0</v>
      </c>
      <c r="K37" s="718">
        <v>0</v>
      </c>
    </row>
    <row r="38" spans="1:11" x14ac:dyDescent="0.35">
      <c r="A38" s="715" t="s">
        <v>1594</v>
      </c>
      <c r="B38" s="716">
        <v>1.1000000000000001</v>
      </c>
      <c r="C38" s="717">
        <v>0</v>
      </c>
      <c r="D38" s="717">
        <v>0</v>
      </c>
      <c r="E38" s="716">
        <v>1.1000000000000001</v>
      </c>
      <c r="F38" s="716">
        <v>0</v>
      </c>
      <c r="G38" s="716">
        <v>1.1000000000000001</v>
      </c>
      <c r="H38" s="719">
        <v>0</v>
      </c>
      <c r="I38" s="718">
        <v>0</v>
      </c>
      <c r="J38" s="718">
        <v>0</v>
      </c>
      <c r="K38" s="718">
        <v>0</v>
      </c>
    </row>
    <row r="39" spans="1:11" x14ac:dyDescent="0.35">
      <c r="A39" s="715" t="s">
        <v>1442</v>
      </c>
      <c r="B39" s="716">
        <v>30.75</v>
      </c>
      <c r="C39" s="717">
        <v>0</v>
      </c>
      <c r="D39" s="717">
        <v>0</v>
      </c>
      <c r="E39" s="716">
        <v>30.75</v>
      </c>
      <c r="F39" s="716">
        <v>0</v>
      </c>
      <c r="G39" s="716">
        <v>30.75</v>
      </c>
      <c r="H39" s="719">
        <v>0</v>
      </c>
      <c r="I39" s="718">
        <v>0</v>
      </c>
      <c r="J39" s="718">
        <v>0</v>
      </c>
      <c r="K39" s="718">
        <v>0</v>
      </c>
    </row>
    <row r="40" spans="1:11" x14ac:dyDescent="0.35">
      <c r="A40" s="715" t="s">
        <v>19</v>
      </c>
      <c r="B40" s="716">
        <v>0</v>
      </c>
      <c r="C40" s="717">
        <v>0</v>
      </c>
      <c r="D40" s="717">
        <v>0</v>
      </c>
      <c r="E40" s="716"/>
      <c r="F40" s="716"/>
      <c r="G40" s="716"/>
      <c r="H40" s="719">
        <v>0</v>
      </c>
      <c r="I40" s="718"/>
      <c r="J40" s="718"/>
      <c r="K40" s="718"/>
    </row>
    <row r="41" spans="1:11" x14ac:dyDescent="0.35">
      <c r="A41" s="715" t="s">
        <v>1443</v>
      </c>
      <c r="B41" s="716">
        <v>33</v>
      </c>
      <c r="C41" s="717">
        <v>0</v>
      </c>
      <c r="D41" s="717">
        <v>0</v>
      </c>
      <c r="E41" s="716">
        <v>33</v>
      </c>
      <c r="F41" s="716">
        <v>0</v>
      </c>
      <c r="G41" s="716">
        <v>33</v>
      </c>
      <c r="H41" s="719">
        <v>0</v>
      </c>
      <c r="I41" s="718">
        <v>0</v>
      </c>
      <c r="J41" s="718">
        <v>0</v>
      </c>
      <c r="K41" s="718">
        <v>0</v>
      </c>
    </row>
    <row r="42" spans="1:11" x14ac:dyDescent="0.35">
      <c r="A42" s="715" t="s">
        <v>1609</v>
      </c>
      <c r="B42" s="716">
        <v>1775</v>
      </c>
      <c r="C42" s="717">
        <v>0</v>
      </c>
      <c r="D42" s="717">
        <v>0</v>
      </c>
      <c r="E42" s="716">
        <v>1875</v>
      </c>
      <c r="F42" s="716">
        <v>0</v>
      </c>
      <c r="G42" s="716">
        <v>1875</v>
      </c>
      <c r="H42" s="719">
        <v>0</v>
      </c>
      <c r="I42" s="718">
        <v>0</v>
      </c>
      <c r="J42" s="718">
        <v>0</v>
      </c>
      <c r="K42" s="718">
        <v>0</v>
      </c>
    </row>
    <row r="43" spans="1:11" x14ac:dyDescent="0.35">
      <c r="A43" s="715" t="s">
        <v>1444</v>
      </c>
      <c r="B43" s="716">
        <v>33.75</v>
      </c>
      <c r="C43" s="717">
        <v>0</v>
      </c>
      <c r="D43" s="717">
        <v>0</v>
      </c>
      <c r="E43" s="716">
        <v>33.75</v>
      </c>
      <c r="F43" s="716">
        <v>0</v>
      </c>
      <c r="G43" s="716">
        <v>33.75</v>
      </c>
      <c r="H43" s="719">
        <v>0</v>
      </c>
      <c r="I43" s="718">
        <v>0</v>
      </c>
      <c r="J43" s="718">
        <v>0</v>
      </c>
      <c r="K43" s="718">
        <v>0</v>
      </c>
    </row>
    <row r="44" spans="1:11" x14ac:dyDescent="0.35">
      <c r="A44" s="715" t="s">
        <v>1617</v>
      </c>
      <c r="B44" s="716">
        <v>97</v>
      </c>
      <c r="C44" s="717">
        <v>0</v>
      </c>
      <c r="D44" s="717">
        <v>0</v>
      </c>
      <c r="E44" s="716">
        <v>97</v>
      </c>
      <c r="F44" s="716">
        <v>0</v>
      </c>
      <c r="G44" s="716">
        <v>97</v>
      </c>
      <c r="H44" s="719">
        <v>0</v>
      </c>
      <c r="I44" s="718">
        <v>0</v>
      </c>
      <c r="J44" s="718">
        <v>0</v>
      </c>
      <c r="K44" s="718">
        <v>0</v>
      </c>
    </row>
    <row r="45" spans="1:11" x14ac:dyDescent="0.35">
      <c r="A45" s="715" t="s">
        <v>1437</v>
      </c>
      <c r="B45" s="716">
        <v>46</v>
      </c>
      <c r="C45" s="717">
        <v>0</v>
      </c>
      <c r="D45" s="717">
        <v>0</v>
      </c>
      <c r="E45" s="716">
        <v>46</v>
      </c>
      <c r="F45" s="716">
        <v>0</v>
      </c>
      <c r="G45" s="716">
        <v>46</v>
      </c>
      <c r="H45" s="719">
        <v>0</v>
      </c>
      <c r="I45" s="718">
        <v>0</v>
      </c>
      <c r="J45" s="718">
        <v>0</v>
      </c>
      <c r="K45" s="718">
        <v>0</v>
      </c>
    </row>
    <row r="46" spans="1:11" x14ac:dyDescent="0.35">
      <c r="A46" s="715" t="s">
        <v>1625</v>
      </c>
      <c r="B46" s="716">
        <v>260</v>
      </c>
      <c r="C46" s="717">
        <v>0</v>
      </c>
      <c r="D46" s="717">
        <v>0</v>
      </c>
      <c r="E46" s="716">
        <v>260</v>
      </c>
      <c r="F46" s="716">
        <v>0</v>
      </c>
      <c r="G46" s="716">
        <v>260</v>
      </c>
      <c r="H46" s="719">
        <v>0</v>
      </c>
      <c r="I46" s="718">
        <v>0</v>
      </c>
      <c r="J46" s="718">
        <v>0</v>
      </c>
      <c r="K46" s="718">
        <v>0</v>
      </c>
    </row>
    <row r="47" spans="1:11" x14ac:dyDescent="0.35">
      <c r="A47" s="715" t="s">
        <v>1438</v>
      </c>
      <c r="B47" s="716">
        <v>50.25</v>
      </c>
      <c r="C47" s="717">
        <v>0</v>
      </c>
      <c r="D47" s="717">
        <v>0</v>
      </c>
      <c r="E47" s="716">
        <v>50.25</v>
      </c>
      <c r="F47" s="716">
        <v>0</v>
      </c>
      <c r="G47" s="716">
        <v>50.25</v>
      </c>
      <c r="H47" s="719">
        <v>0</v>
      </c>
      <c r="I47" s="718">
        <v>0</v>
      </c>
      <c r="J47" s="718">
        <v>0</v>
      </c>
      <c r="K47" s="718">
        <v>0</v>
      </c>
    </row>
    <row r="48" spans="1:11" x14ac:dyDescent="0.35">
      <c r="A48" s="715" t="s">
        <v>1633</v>
      </c>
      <c r="B48" s="716">
        <v>1.05</v>
      </c>
      <c r="C48" s="717">
        <v>0</v>
      </c>
      <c r="D48" s="717">
        <v>0</v>
      </c>
      <c r="E48" s="716">
        <v>1.05</v>
      </c>
      <c r="F48" s="716">
        <v>0</v>
      </c>
      <c r="G48" s="716">
        <v>1.05</v>
      </c>
      <c r="H48" s="719">
        <v>0</v>
      </c>
      <c r="I48" s="718">
        <v>0</v>
      </c>
      <c r="J48" s="718">
        <v>0</v>
      </c>
      <c r="K48" s="718">
        <v>0</v>
      </c>
    </row>
    <row r="49" spans="1:11" x14ac:dyDescent="0.35">
      <c r="A49" s="715" t="s">
        <v>1439</v>
      </c>
      <c r="B49" s="716">
        <v>56.25</v>
      </c>
      <c r="C49" s="717">
        <v>0</v>
      </c>
      <c r="D49" s="717">
        <v>0</v>
      </c>
      <c r="E49" s="716">
        <v>56.25</v>
      </c>
      <c r="F49" s="716">
        <v>0</v>
      </c>
      <c r="G49" s="716">
        <v>56.25</v>
      </c>
      <c r="H49" s="719">
        <v>0</v>
      </c>
      <c r="I49" s="718">
        <v>0</v>
      </c>
      <c r="J49" s="718">
        <v>0</v>
      </c>
      <c r="K49" s="718">
        <v>0</v>
      </c>
    </row>
    <row r="50" spans="1:11" x14ac:dyDescent="0.35">
      <c r="A50" s="715" t="s">
        <v>1758</v>
      </c>
      <c r="B50" s="716">
        <v>9</v>
      </c>
      <c r="C50" s="717">
        <v>0</v>
      </c>
      <c r="D50" s="717">
        <v>0</v>
      </c>
      <c r="E50" s="716">
        <v>9</v>
      </c>
      <c r="F50" s="716">
        <v>0</v>
      </c>
      <c r="G50" s="716">
        <v>9</v>
      </c>
      <c r="H50" s="719">
        <v>0</v>
      </c>
      <c r="I50" s="718">
        <v>0</v>
      </c>
      <c r="J50" s="718">
        <v>0</v>
      </c>
      <c r="K50" s="718">
        <v>0</v>
      </c>
    </row>
    <row r="51" spans="1:11" x14ac:dyDescent="0.35">
      <c r="A51" s="715" t="s">
        <v>1440</v>
      </c>
      <c r="B51" s="716">
        <v>58.75</v>
      </c>
      <c r="C51" s="717">
        <v>0</v>
      </c>
      <c r="D51" s="717">
        <v>0</v>
      </c>
      <c r="E51" s="716">
        <v>58.75</v>
      </c>
      <c r="F51" s="716">
        <v>0</v>
      </c>
      <c r="G51" s="716">
        <v>58.75</v>
      </c>
      <c r="H51" s="719">
        <v>0</v>
      </c>
      <c r="I51" s="718">
        <v>0</v>
      </c>
      <c r="J51" s="718">
        <v>0</v>
      </c>
      <c r="K51" s="718">
        <v>0</v>
      </c>
    </row>
    <row r="52" spans="1:11" x14ac:dyDescent="0.35">
      <c r="A52" s="715" t="s">
        <v>1767</v>
      </c>
      <c r="B52" s="716">
        <v>21.25</v>
      </c>
      <c r="C52" s="717">
        <v>0</v>
      </c>
      <c r="D52" s="717">
        <v>0</v>
      </c>
      <c r="E52" s="716">
        <v>21.25</v>
      </c>
      <c r="F52" s="716">
        <v>0</v>
      </c>
      <c r="G52" s="716">
        <v>21.25</v>
      </c>
      <c r="H52" s="719">
        <v>0</v>
      </c>
      <c r="I52" s="718">
        <v>0</v>
      </c>
      <c r="J52" s="718">
        <v>0</v>
      </c>
      <c r="K52" s="718">
        <v>0</v>
      </c>
    </row>
    <row r="53" spans="1:11" x14ac:dyDescent="0.35">
      <c r="A53" s="715" t="s">
        <v>1453</v>
      </c>
      <c r="B53" s="716">
        <v>255</v>
      </c>
      <c r="C53" s="717">
        <v>0</v>
      </c>
      <c r="D53" s="717">
        <v>0</v>
      </c>
      <c r="E53" s="716">
        <v>255</v>
      </c>
      <c r="F53" s="716">
        <v>0</v>
      </c>
      <c r="G53" s="716">
        <v>255</v>
      </c>
      <c r="H53" s="719">
        <v>0</v>
      </c>
      <c r="I53" s="718">
        <v>0</v>
      </c>
      <c r="J53" s="718">
        <v>0</v>
      </c>
      <c r="K53" s="718">
        <v>0</v>
      </c>
    </row>
    <row r="54" spans="1:11" x14ac:dyDescent="0.35">
      <c r="A54" s="715" t="s">
        <v>1777</v>
      </c>
      <c r="B54" s="716">
        <v>12</v>
      </c>
      <c r="C54" s="717">
        <v>0</v>
      </c>
      <c r="D54" s="717">
        <v>0</v>
      </c>
      <c r="E54" s="716">
        <v>12</v>
      </c>
      <c r="F54" s="716">
        <v>0</v>
      </c>
      <c r="G54" s="716">
        <v>12</v>
      </c>
      <c r="H54" s="719">
        <v>0</v>
      </c>
      <c r="I54" s="718">
        <v>0</v>
      </c>
      <c r="J54" s="718">
        <v>0</v>
      </c>
      <c r="K54" s="718">
        <v>0</v>
      </c>
    </row>
    <row r="55" spans="1:11" x14ac:dyDescent="0.35">
      <c r="A55" s="715" t="s">
        <v>1454</v>
      </c>
      <c r="B55" s="716">
        <v>275</v>
      </c>
      <c r="C55" s="717">
        <v>0</v>
      </c>
      <c r="D55" s="717">
        <v>0</v>
      </c>
      <c r="E55" s="716">
        <v>275</v>
      </c>
      <c r="F55" s="716">
        <v>0</v>
      </c>
      <c r="G55" s="716">
        <v>275</v>
      </c>
      <c r="H55" s="719">
        <v>0</v>
      </c>
      <c r="I55" s="718">
        <v>0</v>
      </c>
      <c r="J55" s="718">
        <v>0</v>
      </c>
      <c r="K55" s="718">
        <v>0</v>
      </c>
    </row>
    <row r="56" spans="1:11" x14ac:dyDescent="0.35">
      <c r="A56" s="715" t="s">
        <v>1830</v>
      </c>
      <c r="B56" s="716">
        <v>90</v>
      </c>
      <c r="C56" s="717">
        <v>0</v>
      </c>
      <c r="D56" s="717">
        <v>0</v>
      </c>
      <c r="E56" s="716">
        <v>90</v>
      </c>
      <c r="F56" s="716">
        <v>0</v>
      </c>
      <c r="G56" s="716">
        <v>90</v>
      </c>
      <c r="H56" s="719">
        <v>0</v>
      </c>
      <c r="I56" s="718">
        <v>0</v>
      </c>
      <c r="J56" s="718">
        <v>0</v>
      </c>
      <c r="K56" s="718">
        <v>0</v>
      </c>
    </row>
    <row r="57" spans="1:11" x14ac:dyDescent="0.35">
      <c r="A57" s="715" t="s">
        <v>1455</v>
      </c>
      <c r="B57" s="716">
        <v>320</v>
      </c>
      <c r="C57" s="717">
        <v>0</v>
      </c>
      <c r="D57" s="717">
        <v>0</v>
      </c>
      <c r="E57" s="716">
        <v>320</v>
      </c>
      <c r="F57" s="716">
        <v>0</v>
      </c>
      <c r="G57" s="716">
        <v>320</v>
      </c>
      <c r="H57" s="719">
        <v>0</v>
      </c>
      <c r="I57" s="718">
        <v>0</v>
      </c>
      <c r="J57" s="718">
        <v>0</v>
      </c>
      <c r="K57" s="718">
        <v>0</v>
      </c>
    </row>
    <row r="58" spans="1:11" x14ac:dyDescent="0.35">
      <c r="A58" s="715" t="s">
        <v>1838</v>
      </c>
      <c r="B58" s="716">
        <v>150</v>
      </c>
      <c r="C58" s="717">
        <v>0</v>
      </c>
      <c r="D58" s="717">
        <v>0</v>
      </c>
      <c r="E58" s="716">
        <v>150</v>
      </c>
      <c r="F58" s="716">
        <v>0</v>
      </c>
      <c r="G58" s="716">
        <v>150</v>
      </c>
      <c r="H58" s="719">
        <v>0</v>
      </c>
      <c r="I58" s="718">
        <v>0</v>
      </c>
      <c r="J58" s="718">
        <v>0</v>
      </c>
      <c r="K58" s="718">
        <v>0</v>
      </c>
    </row>
    <row r="59" spans="1:11" x14ac:dyDescent="0.35">
      <c r="A59" s="715" t="s">
        <v>1456</v>
      </c>
      <c r="B59" s="716">
        <v>330</v>
      </c>
      <c r="C59" s="717">
        <v>0</v>
      </c>
      <c r="D59" s="717">
        <v>0</v>
      </c>
      <c r="E59" s="716">
        <v>330</v>
      </c>
      <c r="F59" s="716">
        <v>0</v>
      </c>
      <c r="G59" s="716">
        <v>330</v>
      </c>
      <c r="H59" s="719">
        <v>0</v>
      </c>
      <c r="I59" s="718">
        <v>0</v>
      </c>
      <c r="J59" s="718">
        <v>0</v>
      </c>
      <c r="K59" s="718">
        <v>0</v>
      </c>
    </row>
    <row r="60" spans="1:11" x14ac:dyDescent="0.35">
      <c r="A60" s="715" t="s">
        <v>1845</v>
      </c>
      <c r="B60" s="716">
        <v>0</v>
      </c>
      <c r="C60" s="717">
        <v>0</v>
      </c>
      <c r="D60" s="717">
        <v>0</v>
      </c>
      <c r="E60" s="716">
        <v>0</v>
      </c>
      <c r="F60" s="716">
        <v>0</v>
      </c>
      <c r="G60" s="716">
        <v>0</v>
      </c>
      <c r="H60" s="719">
        <v>0</v>
      </c>
      <c r="I60" s="718">
        <v>0</v>
      </c>
      <c r="J60" s="718">
        <v>0</v>
      </c>
      <c r="K60" s="718">
        <v>0</v>
      </c>
    </row>
    <row r="61" spans="1:11" x14ac:dyDescent="0.35">
      <c r="A61" s="715" t="s">
        <v>1469</v>
      </c>
      <c r="B61" s="716">
        <v>25.5</v>
      </c>
      <c r="C61" s="717">
        <v>0</v>
      </c>
      <c r="D61" s="717">
        <v>0</v>
      </c>
      <c r="E61" s="716">
        <v>25.5</v>
      </c>
      <c r="F61" s="716">
        <v>0</v>
      </c>
      <c r="G61" s="716">
        <v>25.5</v>
      </c>
      <c r="H61" s="719">
        <v>0</v>
      </c>
      <c r="I61" s="718">
        <v>0</v>
      </c>
      <c r="J61" s="718">
        <v>0</v>
      </c>
      <c r="K61" s="718">
        <v>0</v>
      </c>
    </row>
    <row r="62" spans="1:11" x14ac:dyDescent="0.35">
      <c r="A62" s="715" t="s">
        <v>1854</v>
      </c>
      <c r="B62" s="716">
        <v>5.3</v>
      </c>
      <c r="C62" s="717">
        <v>0</v>
      </c>
      <c r="D62" s="717">
        <v>0</v>
      </c>
      <c r="E62" s="716">
        <v>5.3</v>
      </c>
      <c r="F62" s="716">
        <v>0</v>
      </c>
      <c r="G62" s="716">
        <v>5.3</v>
      </c>
      <c r="H62" s="719">
        <v>0</v>
      </c>
      <c r="I62" s="718">
        <v>0</v>
      </c>
      <c r="J62" s="718">
        <v>0</v>
      </c>
      <c r="K62" s="718">
        <v>0</v>
      </c>
    </row>
    <row r="63" spans="1:11" x14ac:dyDescent="0.35">
      <c r="A63" s="715" t="s">
        <v>1474</v>
      </c>
      <c r="B63" s="716">
        <v>10</v>
      </c>
      <c r="C63" s="717">
        <v>0</v>
      </c>
      <c r="D63" s="717">
        <v>0</v>
      </c>
      <c r="E63" s="716">
        <v>10</v>
      </c>
      <c r="F63" s="716">
        <v>0</v>
      </c>
      <c r="G63" s="716">
        <v>10</v>
      </c>
      <c r="H63" s="719">
        <v>0</v>
      </c>
      <c r="I63" s="718">
        <v>0</v>
      </c>
      <c r="J63" s="718">
        <v>0</v>
      </c>
      <c r="K63" s="718">
        <v>0</v>
      </c>
    </row>
    <row r="64" spans="1:11" x14ac:dyDescent="0.35">
      <c r="A64" s="715" t="s">
        <v>1572</v>
      </c>
      <c r="B64" s="716">
        <v>25.5</v>
      </c>
      <c r="C64" s="717">
        <v>0</v>
      </c>
      <c r="D64" s="717">
        <v>0</v>
      </c>
      <c r="E64" s="716">
        <v>25.5</v>
      </c>
      <c r="F64" s="716">
        <v>0</v>
      </c>
      <c r="G64" s="716">
        <v>25.5</v>
      </c>
      <c r="H64" s="719">
        <v>0</v>
      </c>
      <c r="I64" s="718">
        <v>0</v>
      </c>
      <c r="J64" s="718">
        <v>0</v>
      </c>
      <c r="K64" s="718">
        <v>0</v>
      </c>
    </row>
    <row r="65" spans="1:11" x14ac:dyDescent="0.35">
      <c r="A65" s="715" t="s">
        <v>1466</v>
      </c>
      <c r="B65" s="716">
        <v>29.5</v>
      </c>
      <c r="C65" s="717">
        <v>0</v>
      </c>
      <c r="D65" s="717">
        <v>0</v>
      </c>
      <c r="E65" s="716">
        <v>29.5</v>
      </c>
      <c r="F65" s="716">
        <v>0</v>
      </c>
      <c r="G65" s="716">
        <v>29.5</v>
      </c>
      <c r="H65" s="719">
        <v>0</v>
      </c>
      <c r="I65" s="718">
        <v>0</v>
      </c>
      <c r="J65" s="718">
        <v>0</v>
      </c>
      <c r="K65" s="718">
        <v>0</v>
      </c>
    </row>
    <row r="66" spans="1:11" x14ac:dyDescent="0.35">
      <c r="A66" s="715" t="s">
        <v>1576</v>
      </c>
      <c r="B66" s="716">
        <v>60</v>
      </c>
      <c r="C66" s="717">
        <v>0</v>
      </c>
      <c r="D66" s="717">
        <v>0</v>
      </c>
      <c r="E66" s="716">
        <v>60</v>
      </c>
      <c r="F66" s="716">
        <v>0</v>
      </c>
      <c r="G66" s="716">
        <v>60</v>
      </c>
      <c r="H66" s="719">
        <v>0</v>
      </c>
      <c r="I66" s="718">
        <v>0</v>
      </c>
      <c r="J66" s="718">
        <v>0</v>
      </c>
      <c r="K66" s="718">
        <v>0</v>
      </c>
    </row>
    <row r="67" spans="1:11" x14ac:dyDescent="0.35">
      <c r="A67" s="715" t="s">
        <v>1467</v>
      </c>
      <c r="B67" s="716">
        <v>29.5</v>
      </c>
      <c r="C67" s="717">
        <v>0</v>
      </c>
      <c r="D67" s="717">
        <v>0</v>
      </c>
      <c r="E67" s="716">
        <v>29.5</v>
      </c>
      <c r="F67" s="716">
        <v>0</v>
      </c>
      <c r="G67" s="716">
        <v>29.5</v>
      </c>
      <c r="H67" s="719">
        <v>0</v>
      </c>
      <c r="I67" s="718">
        <v>0</v>
      </c>
      <c r="J67" s="718">
        <v>0</v>
      </c>
      <c r="K67" s="718">
        <v>0</v>
      </c>
    </row>
    <row r="68" spans="1:11" x14ac:dyDescent="0.35">
      <c r="A68" s="715" t="s">
        <v>1580</v>
      </c>
      <c r="B68" s="716">
        <v>4.95</v>
      </c>
      <c r="C68" s="717">
        <v>0</v>
      </c>
      <c r="D68" s="717">
        <v>0</v>
      </c>
      <c r="E68" s="716">
        <v>4.95</v>
      </c>
      <c r="F68" s="716">
        <v>0</v>
      </c>
      <c r="G68" s="716">
        <v>4.95</v>
      </c>
      <c r="H68" s="719">
        <v>0</v>
      </c>
      <c r="I68" s="718">
        <v>0</v>
      </c>
      <c r="J68" s="718">
        <v>0</v>
      </c>
      <c r="K68" s="718">
        <v>0</v>
      </c>
    </row>
    <row r="69" spans="1:11" x14ac:dyDescent="0.35">
      <c r="A69" s="715" t="s">
        <v>1468</v>
      </c>
      <c r="B69" s="716">
        <v>40</v>
      </c>
      <c r="C69" s="717">
        <v>0</v>
      </c>
      <c r="D69" s="717">
        <v>0</v>
      </c>
      <c r="E69" s="716">
        <v>40</v>
      </c>
      <c r="F69" s="716">
        <v>0</v>
      </c>
      <c r="G69" s="716">
        <v>40</v>
      </c>
      <c r="H69" s="719">
        <v>0</v>
      </c>
      <c r="I69" s="718">
        <v>0</v>
      </c>
      <c r="J69" s="718">
        <v>0</v>
      </c>
      <c r="K69" s="718">
        <v>0</v>
      </c>
    </row>
    <row r="70" spans="1:11" x14ac:dyDescent="0.35">
      <c r="A70" s="715" t="s">
        <v>1584</v>
      </c>
      <c r="B70" s="716">
        <v>4.45</v>
      </c>
      <c r="C70" s="717">
        <v>0</v>
      </c>
      <c r="D70" s="717">
        <v>0</v>
      </c>
      <c r="E70" s="716">
        <v>4.45</v>
      </c>
      <c r="F70" s="716">
        <v>0</v>
      </c>
      <c r="G70" s="716">
        <v>4.45</v>
      </c>
      <c r="H70" s="719">
        <v>0</v>
      </c>
      <c r="I70" s="718">
        <v>0</v>
      </c>
      <c r="J70" s="718">
        <v>0</v>
      </c>
      <c r="K70" s="718">
        <v>0</v>
      </c>
    </row>
    <row r="71" spans="1:11" x14ac:dyDescent="0.35">
      <c r="A71" s="715" t="s">
        <v>1473</v>
      </c>
      <c r="B71" s="716">
        <v>1.65</v>
      </c>
      <c r="C71" s="717">
        <v>0</v>
      </c>
      <c r="D71" s="717">
        <v>0</v>
      </c>
      <c r="E71" s="716">
        <v>1.65</v>
      </c>
      <c r="F71" s="716">
        <v>0</v>
      </c>
      <c r="G71" s="716">
        <v>1.65</v>
      </c>
      <c r="H71" s="719">
        <v>0</v>
      </c>
      <c r="I71" s="718"/>
      <c r="J71" s="718"/>
      <c r="K71" s="718"/>
    </row>
    <row r="72" spans="1:11" x14ac:dyDescent="0.35">
      <c r="A72" s="715" t="s">
        <v>1588</v>
      </c>
      <c r="B72" s="716">
        <v>8.8000000000000007</v>
      </c>
      <c r="C72" s="717">
        <v>0</v>
      </c>
      <c r="D72" s="717">
        <v>0</v>
      </c>
      <c r="E72" s="716">
        <v>8.8000000000000007</v>
      </c>
      <c r="F72" s="716">
        <v>0</v>
      </c>
      <c r="G72" s="716">
        <v>8.8000000000000007</v>
      </c>
      <c r="H72" s="719">
        <v>0</v>
      </c>
      <c r="I72" s="718">
        <v>0</v>
      </c>
      <c r="J72" s="718">
        <v>0</v>
      </c>
      <c r="K72" s="718">
        <v>0</v>
      </c>
    </row>
    <row r="73" spans="1:11" x14ac:dyDescent="0.35">
      <c r="A73" s="715" t="s">
        <v>1470</v>
      </c>
      <c r="B73" s="716">
        <v>240</v>
      </c>
      <c r="C73" s="717">
        <v>0</v>
      </c>
      <c r="D73" s="717">
        <v>0</v>
      </c>
      <c r="E73" s="716">
        <v>240</v>
      </c>
      <c r="F73" s="716">
        <v>0</v>
      </c>
      <c r="G73" s="716">
        <v>240</v>
      </c>
      <c r="H73" s="719">
        <v>0</v>
      </c>
      <c r="I73" s="718">
        <v>0</v>
      </c>
      <c r="J73" s="718">
        <v>0</v>
      </c>
      <c r="K73" s="718">
        <v>0</v>
      </c>
    </row>
    <row r="74" spans="1:11" x14ac:dyDescent="0.35">
      <c r="A74" s="715" t="s">
        <v>1592</v>
      </c>
      <c r="B74" s="716">
        <v>16.25</v>
      </c>
      <c r="C74" s="717">
        <v>0</v>
      </c>
      <c r="D74" s="717">
        <v>0</v>
      </c>
      <c r="E74" s="716">
        <v>16.25</v>
      </c>
      <c r="F74" s="716">
        <v>0</v>
      </c>
      <c r="G74" s="716">
        <v>16.25</v>
      </c>
      <c r="H74" s="719">
        <v>0</v>
      </c>
      <c r="I74" s="718">
        <v>0</v>
      </c>
      <c r="J74" s="718">
        <v>0</v>
      </c>
      <c r="K74" s="718">
        <v>0</v>
      </c>
    </row>
    <row r="75" spans="1:11" x14ac:dyDescent="0.35">
      <c r="A75" s="715" t="s">
        <v>1472</v>
      </c>
      <c r="B75" s="716">
        <v>8.5</v>
      </c>
      <c r="C75" s="717">
        <v>0</v>
      </c>
      <c r="D75" s="717">
        <v>0</v>
      </c>
      <c r="E75" s="716">
        <v>8.5</v>
      </c>
      <c r="F75" s="716">
        <v>0</v>
      </c>
      <c r="G75" s="716">
        <v>8.5</v>
      </c>
      <c r="H75" s="719">
        <v>0</v>
      </c>
      <c r="I75" s="718">
        <v>0</v>
      </c>
      <c r="J75" s="718">
        <v>0</v>
      </c>
      <c r="K75" s="718">
        <v>0</v>
      </c>
    </row>
    <row r="76" spans="1:11" x14ac:dyDescent="0.35">
      <c r="A76" s="715" t="s">
        <v>1596</v>
      </c>
      <c r="B76" s="716">
        <v>6.6</v>
      </c>
      <c r="C76" s="717">
        <v>0</v>
      </c>
      <c r="D76" s="717">
        <v>0</v>
      </c>
      <c r="E76" s="716">
        <v>6.6</v>
      </c>
      <c r="F76" s="716">
        <v>0</v>
      </c>
      <c r="G76" s="716">
        <v>6.6</v>
      </c>
      <c r="H76" s="719">
        <v>0</v>
      </c>
      <c r="I76" s="718">
        <v>0</v>
      </c>
      <c r="J76" s="718">
        <v>0</v>
      </c>
      <c r="K76" s="718">
        <v>0</v>
      </c>
    </row>
    <row r="77" spans="1:11" x14ac:dyDescent="0.35">
      <c r="A77" s="715" t="s">
        <v>1471</v>
      </c>
      <c r="B77" s="716">
        <v>115</v>
      </c>
      <c r="C77" s="717">
        <v>0</v>
      </c>
      <c r="D77" s="717">
        <v>0</v>
      </c>
      <c r="E77" s="716">
        <v>115</v>
      </c>
      <c r="F77" s="716">
        <v>0</v>
      </c>
      <c r="G77" s="716">
        <v>115</v>
      </c>
      <c r="H77" s="719">
        <v>0</v>
      </c>
      <c r="I77" s="718">
        <v>0</v>
      </c>
      <c r="J77" s="718">
        <v>0</v>
      </c>
      <c r="K77" s="718">
        <v>0</v>
      </c>
    </row>
    <row r="78" spans="1:11" x14ac:dyDescent="0.35">
      <c r="A78" s="715" t="s">
        <v>1600</v>
      </c>
      <c r="B78" s="716">
        <v>7.6</v>
      </c>
      <c r="C78" s="717">
        <v>0</v>
      </c>
      <c r="D78" s="717">
        <v>0</v>
      </c>
      <c r="E78" s="716">
        <v>7.6</v>
      </c>
      <c r="F78" s="716">
        <v>0</v>
      </c>
      <c r="G78" s="716">
        <v>7.6</v>
      </c>
      <c r="H78" s="719">
        <v>0</v>
      </c>
      <c r="I78" s="718">
        <v>0</v>
      </c>
      <c r="J78" s="718">
        <v>0</v>
      </c>
      <c r="K78" s="718">
        <v>0</v>
      </c>
    </row>
    <row r="79" spans="1:11" x14ac:dyDescent="0.35">
      <c r="A79" s="715" t="s">
        <v>1475</v>
      </c>
      <c r="B79" s="716">
        <v>7.6</v>
      </c>
      <c r="C79" s="717">
        <v>0</v>
      </c>
      <c r="D79" s="717">
        <v>0</v>
      </c>
      <c r="E79" s="716">
        <v>7.6</v>
      </c>
      <c r="F79" s="716">
        <v>0</v>
      </c>
      <c r="G79" s="716">
        <v>7.6</v>
      </c>
      <c r="H79" s="719">
        <v>0</v>
      </c>
      <c r="I79" s="718">
        <v>0</v>
      </c>
      <c r="J79" s="718">
        <v>0</v>
      </c>
      <c r="K79" s="718">
        <v>0</v>
      </c>
    </row>
    <row r="80" spans="1:11" x14ac:dyDescent="0.35">
      <c r="A80" s="715" t="s">
        <v>1603</v>
      </c>
      <c r="B80" s="716">
        <v>25.5</v>
      </c>
      <c r="C80" s="717">
        <v>0</v>
      </c>
      <c r="D80" s="717">
        <v>0</v>
      </c>
      <c r="E80" s="716">
        <v>25.5</v>
      </c>
      <c r="F80" s="716">
        <v>0</v>
      </c>
      <c r="G80" s="716">
        <v>25.5</v>
      </c>
      <c r="H80" s="719">
        <v>0</v>
      </c>
      <c r="I80" s="718">
        <v>0</v>
      </c>
      <c r="J80" s="718">
        <v>0</v>
      </c>
      <c r="K80" s="718">
        <v>0</v>
      </c>
    </row>
    <row r="81" spans="1:11" x14ac:dyDescent="0.35">
      <c r="A81" s="715" t="s">
        <v>1477</v>
      </c>
      <c r="B81" s="716">
        <v>0</v>
      </c>
      <c r="C81" s="717">
        <v>0</v>
      </c>
      <c r="D81" s="717">
        <v>0</v>
      </c>
      <c r="E81" s="716"/>
      <c r="F81" s="716"/>
      <c r="G81" s="716"/>
      <c r="H81" s="719">
        <v>0</v>
      </c>
      <c r="I81" s="718"/>
      <c r="J81" s="718"/>
      <c r="K81" s="718"/>
    </row>
    <row r="82" spans="1:11" x14ac:dyDescent="0.35">
      <c r="A82" s="715" t="s">
        <v>1607</v>
      </c>
      <c r="B82" s="716">
        <v>1.05</v>
      </c>
      <c r="C82" s="717">
        <v>0</v>
      </c>
      <c r="D82" s="717">
        <v>0</v>
      </c>
      <c r="E82" s="716">
        <v>1.05</v>
      </c>
      <c r="F82" s="716">
        <v>0</v>
      </c>
      <c r="G82" s="716">
        <v>1.05</v>
      </c>
      <c r="H82" s="719">
        <v>0</v>
      </c>
      <c r="I82" s="718">
        <v>0</v>
      </c>
      <c r="J82" s="718">
        <v>0</v>
      </c>
      <c r="K82" s="718">
        <v>0</v>
      </c>
    </row>
    <row r="83" spans="1:11" x14ac:dyDescent="0.35">
      <c r="A83" s="715" t="s">
        <v>1476</v>
      </c>
      <c r="B83" s="716">
        <v>7.6</v>
      </c>
      <c r="C83" s="717">
        <v>0</v>
      </c>
      <c r="D83" s="717">
        <v>0</v>
      </c>
      <c r="E83" s="716">
        <v>7.6</v>
      </c>
      <c r="F83" s="716">
        <v>0</v>
      </c>
      <c r="G83" s="716">
        <v>7.6</v>
      </c>
      <c r="H83" s="719">
        <v>0</v>
      </c>
      <c r="I83" s="718">
        <v>0</v>
      </c>
      <c r="J83" s="718">
        <v>0</v>
      </c>
      <c r="K83" s="718">
        <v>0</v>
      </c>
    </row>
    <row r="84" spans="1:11" x14ac:dyDescent="0.35">
      <c r="A84" s="715" t="s">
        <v>1611</v>
      </c>
      <c r="B84" s="716">
        <v>360</v>
      </c>
      <c r="C84" s="717">
        <v>0</v>
      </c>
      <c r="D84" s="717">
        <v>0</v>
      </c>
      <c r="E84" s="716">
        <v>360</v>
      </c>
      <c r="F84" s="716">
        <v>0</v>
      </c>
      <c r="G84" s="716">
        <v>360</v>
      </c>
      <c r="H84" s="719">
        <v>0</v>
      </c>
      <c r="I84" s="718">
        <v>0</v>
      </c>
      <c r="J84" s="718">
        <v>0</v>
      </c>
      <c r="K84" s="718">
        <v>0</v>
      </c>
    </row>
    <row r="85" spans="1:11" x14ac:dyDescent="0.35">
      <c r="A85" s="715" t="s">
        <v>1478</v>
      </c>
      <c r="B85" s="716">
        <v>25.5</v>
      </c>
      <c r="C85" s="717">
        <v>0</v>
      </c>
      <c r="D85" s="717">
        <v>0</v>
      </c>
      <c r="E85" s="716">
        <v>25.5</v>
      </c>
      <c r="F85" s="716">
        <v>0</v>
      </c>
      <c r="G85" s="716">
        <v>25.5</v>
      </c>
      <c r="H85" s="719">
        <v>0</v>
      </c>
      <c r="I85" s="718">
        <v>0</v>
      </c>
      <c r="J85" s="718">
        <v>0</v>
      </c>
      <c r="K85" s="718">
        <v>0</v>
      </c>
    </row>
    <row r="86" spans="1:11" x14ac:dyDescent="0.35">
      <c r="A86" s="715" t="s">
        <v>1615</v>
      </c>
      <c r="B86" s="716">
        <v>153.5</v>
      </c>
      <c r="C86" s="717">
        <v>0</v>
      </c>
      <c r="D86" s="717">
        <v>0</v>
      </c>
      <c r="E86" s="716">
        <v>153.5</v>
      </c>
      <c r="F86" s="716">
        <v>0</v>
      </c>
      <c r="G86" s="716">
        <v>153.5</v>
      </c>
      <c r="H86" s="719">
        <v>0</v>
      </c>
      <c r="I86" s="718">
        <v>0</v>
      </c>
      <c r="J86" s="718">
        <v>0</v>
      </c>
      <c r="K86" s="718">
        <v>0</v>
      </c>
    </row>
    <row r="87" spans="1:11" x14ac:dyDescent="0.35">
      <c r="A87" s="715" t="s">
        <v>1479</v>
      </c>
      <c r="B87" s="716">
        <v>170</v>
      </c>
      <c r="C87" s="717">
        <v>0</v>
      </c>
      <c r="D87" s="717">
        <v>0</v>
      </c>
      <c r="E87" s="716">
        <v>170</v>
      </c>
      <c r="F87" s="716">
        <v>0</v>
      </c>
      <c r="G87" s="716">
        <v>170</v>
      </c>
      <c r="H87" s="719">
        <v>0</v>
      </c>
      <c r="I87" s="718">
        <v>0</v>
      </c>
      <c r="J87" s="718">
        <v>0</v>
      </c>
      <c r="K87" s="718">
        <v>0</v>
      </c>
    </row>
    <row r="88" spans="1:11" x14ac:dyDescent="0.35">
      <c r="A88" s="715" t="s">
        <v>1619</v>
      </c>
      <c r="B88" s="716">
        <v>260</v>
      </c>
      <c r="C88" s="717">
        <v>0</v>
      </c>
      <c r="D88" s="717">
        <v>0</v>
      </c>
      <c r="E88" s="716">
        <v>260</v>
      </c>
      <c r="F88" s="716">
        <v>0</v>
      </c>
      <c r="G88" s="716">
        <v>260</v>
      </c>
      <c r="H88" s="719">
        <v>0</v>
      </c>
      <c r="I88" s="718">
        <v>0</v>
      </c>
      <c r="J88" s="718">
        <v>0</v>
      </c>
      <c r="K88" s="718">
        <v>0</v>
      </c>
    </row>
    <row r="89" spans="1:11" x14ac:dyDescent="0.35">
      <c r="A89" s="715" t="s">
        <v>1480</v>
      </c>
      <c r="B89" s="716">
        <v>4.45</v>
      </c>
      <c r="C89" s="717">
        <v>0</v>
      </c>
      <c r="D89" s="717">
        <v>0</v>
      </c>
      <c r="E89" s="716">
        <v>4.45</v>
      </c>
      <c r="F89" s="716">
        <v>0</v>
      </c>
      <c r="G89" s="716">
        <v>4.45</v>
      </c>
      <c r="H89" s="719">
        <v>0</v>
      </c>
      <c r="I89" s="718">
        <v>0</v>
      </c>
      <c r="J89" s="718">
        <v>0</v>
      </c>
      <c r="K89" s="718">
        <v>0</v>
      </c>
    </row>
    <row r="90" spans="1:11" x14ac:dyDescent="0.35">
      <c r="A90" s="715" t="s">
        <v>1623</v>
      </c>
      <c r="B90" s="716">
        <v>160</v>
      </c>
      <c r="C90" s="717">
        <v>0</v>
      </c>
      <c r="D90" s="717">
        <v>0</v>
      </c>
      <c r="E90" s="716">
        <v>160</v>
      </c>
      <c r="F90" s="716">
        <v>0</v>
      </c>
      <c r="G90" s="716">
        <v>160</v>
      </c>
      <c r="H90" s="719">
        <v>0</v>
      </c>
      <c r="I90" s="718">
        <v>0</v>
      </c>
      <c r="J90" s="718">
        <v>0</v>
      </c>
      <c r="K90" s="718">
        <v>0</v>
      </c>
    </row>
    <row r="91" spans="1:11" x14ac:dyDescent="0.35">
      <c r="A91" s="715" t="s">
        <v>1481</v>
      </c>
      <c r="B91" s="716">
        <v>49</v>
      </c>
      <c r="C91" s="717">
        <v>0</v>
      </c>
      <c r="D91" s="717">
        <v>0</v>
      </c>
      <c r="E91" s="716">
        <v>49</v>
      </c>
      <c r="F91" s="716">
        <v>0</v>
      </c>
      <c r="G91" s="716">
        <v>49</v>
      </c>
      <c r="H91" s="719">
        <v>0</v>
      </c>
      <c r="I91" s="718">
        <v>0</v>
      </c>
      <c r="J91" s="718">
        <v>0</v>
      </c>
      <c r="K91" s="718">
        <v>0</v>
      </c>
    </row>
    <row r="92" spans="1:11" x14ac:dyDescent="0.35">
      <c r="A92" s="715" t="s">
        <v>1627</v>
      </c>
      <c r="B92" s="716">
        <v>540</v>
      </c>
      <c r="C92" s="717">
        <v>0</v>
      </c>
      <c r="D92" s="717">
        <v>0</v>
      </c>
      <c r="E92" s="716">
        <v>540</v>
      </c>
      <c r="F92" s="716">
        <v>0</v>
      </c>
      <c r="G92" s="716">
        <v>540</v>
      </c>
      <c r="H92" s="719">
        <v>0</v>
      </c>
      <c r="I92" s="718">
        <v>0</v>
      </c>
      <c r="J92" s="718">
        <v>0</v>
      </c>
      <c r="K92" s="718">
        <v>0</v>
      </c>
    </row>
    <row r="93" spans="1:11" x14ac:dyDescent="0.35">
      <c r="A93" s="715" t="s">
        <v>1482</v>
      </c>
      <c r="B93" s="716">
        <v>68</v>
      </c>
      <c r="C93" s="717">
        <v>0</v>
      </c>
      <c r="D93" s="717">
        <v>0</v>
      </c>
      <c r="E93" s="716">
        <v>68</v>
      </c>
      <c r="F93" s="716">
        <v>0</v>
      </c>
      <c r="G93" s="716">
        <v>68</v>
      </c>
      <c r="H93" s="719">
        <v>0</v>
      </c>
      <c r="I93" s="718">
        <v>0</v>
      </c>
      <c r="J93" s="718">
        <v>0</v>
      </c>
      <c r="K93" s="718">
        <v>0</v>
      </c>
    </row>
    <row r="94" spans="1:11" x14ac:dyDescent="0.35">
      <c r="A94" s="715" t="s">
        <v>1631</v>
      </c>
      <c r="B94" s="716">
        <v>230</v>
      </c>
      <c r="C94" s="717">
        <v>0</v>
      </c>
      <c r="D94" s="717">
        <v>0</v>
      </c>
      <c r="E94" s="716">
        <v>230</v>
      </c>
      <c r="F94" s="716">
        <v>0</v>
      </c>
      <c r="G94" s="716">
        <v>230</v>
      </c>
      <c r="H94" s="719">
        <v>0</v>
      </c>
      <c r="I94" s="718">
        <v>0</v>
      </c>
      <c r="J94" s="718">
        <v>0</v>
      </c>
      <c r="K94" s="718">
        <v>0</v>
      </c>
    </row>
    <row r="95" spans="1:11" x14ac:dyDescent="0.35">
      <c r="A95" s="715" t="s">
        <v>1483</v>
      </c>
      <c r="B95" s="716">
        <v>4.45</v>
      </c>
      <c r="C95" s="717">
        <v>0</v>
      </c>
      <c r="D95" s="717">
        <v>0</v>
      </c>
      <c r="E95" s="716">
        <v>4.45</v>
      </c>
      <c r="F95" s="716">
        <v>0</v>
      </c>
      <c r="G95" s="716">
        <v>4.45</v>
      </c>
      <c r="H95" s="719">
        <v>0</v>
      </c>
      <c r="I95" s="718">
        <v>0</v>
      </c>
      <c r="J95" s="718">
        <v>0</v>
      </c>
      <c r="K95" s="718">
        <v>0</v>
      </c>
    </row>
    <row r="96" spans="1:11" x14ac:dyDescent="0.35">
      <c r="A96" s="715" t="s">
        <v>1635</v>
      </c>
      <c r="B96" s="716">
        <v>210</v>
      </c>
      <c r="C96" s="717">
        <v>0</v>
      </c>
      <c r="D96" s="717">
        <v>0</v>
      </c>
      <c r="E96" s="716">
        <v>210</v>
      </c>
      <c r="F96" s="716">
        <v>0</v>
      </c>
      <c r="G96" s="716">
        <v>210</v>
      </c>
      <c r="H96" s="719">
        <v>0</v>
      </c>
      <c r="I96" s="718">
        <v>0</v>
      </c>
      <c r="J96" s="718">
        <v>0</v>
      </c>
      <c r="K96" s="718">
        <v>0</v>
      </c>
    </row>
    <row r="97" spans="1:11" x14ac:dyDescent="0.35">
      <c r="A97" s="715" t="s">
        <v>1484</v>
      </c>
      <c r="B97" s="716">
        <v>49</v>
      </c>
      <c r="C97" s="717">
        <v>0</v>
      </c>
      <c r="D97" s="717">
        <v>0</v>
      </c>
      <c r="E97" s="716">
        <v>49</v>
      </c>
      <c r="F97" s="716">
        <v>0</v>
      </c>
      <c r="G97" s="716">
        <v>49</v>
      </c>
      <c r="H97" s="719">
        <v>0</v>
      </c>
      <c r="I97" s="718">
        <v>0</v>
      </c>
      <c r="J97" s="718">
        <v>0</v>
      </c>
      <c r="K97" s="718">
        <v>0</v>
      </c>
    </row>
    <row r="98" spans="1:11" x14ac:dyDescent="0.35">
      <c r="A98" s="715" t="s">
        <v>1751</v>
      </c>
      <c r="B98" s="716">
        <v>4</v>
      </c>
      <c r="C98" s="717">
        <v>0</v>
      </c>
      <c r="D98" s="717">
        <v>0</v>
      </c>
      <c r="E98" s="716">
        <v>4</v>
      </c>
      <c r="F98" s="716">
        <v>0</v>
      </c>
      <c r="G98" s="716">
        <v>4</v>
      </c>
      <c r="H98" s="719">
        <v>0</v>
      </c>
      <c r="I98" s="718">
        <v>0</v>
      </c>
      <c r="J98" s="718">
        <v>0</v>
      </c>
      <c r="K98" s="718">
        <v>0</v>
      </c>
    </row>
    <row r="99" spans="1:11" x14ac:dyDescent="0.35">
      <c r="A99" s="715" t="s">
        <v>1485</v>
      </c>
      <c r="B99" s="716">
        <v>68</v>
      </c>
      <c r="C99" s="717">
        <v>0</v>
      </c>
      <c r="D99" s="717">
        <v>0</v>
      </c>
      <c r="E99" s="716">
        <v>68</v>
      </c>
      <c r="F99" s="716">
        <v>0</v>
      </c>
      <c r="G99" s="716">
        <v>68</v>
      </c>
      <c r="H99" s="719">
        <v>0</v>
      </c>
      <c r="I99" s="718">
        <v>0</v>
      </c>
      <c r="J99" s="718">
        <v>0</v>
      </c>
      <c r="K99" s="718">
        <v>0</v>
      </c>
    </row>
    <row r="100" spans="1:11" x14ac:dyDescent="0.35">
      <c r="A100" s="715" t="s">
        <v>1760</v>
      </c>
      <c r="B100" s="716">
        <v>15.5</v>
      </c>
      <c r="C100" s="717">
        <v>0</v>
      </c>
      <c r="D100" s="717">
        <v>0</v>
      </c>
      <c r="E100" s="716">
        <v>15.5</v>
      </c>
      <c r="F100" s="716">
        <v>0</v>
      </c>
      <c r="G100" s="716">
        <v>15.5</v>
      </c>
      <c r="H100" s="719">
        <v>0</v>
      </c>
      <c r="I100" s="718">
        <v>0</v>
      </c>
      <c r="J100" s="718">
        <v>0</v>
      </c>
      <c r="K100" s="718">
        <v>0</v>
      </c>
    </row>
    <row r="101" spans="1:11" x14ac:dyDescent="0.35">
      <c r="A101" s="715" t="s">
        <v>1486</v>
      </c>
      <c r="B101" s="716">
        <v>25.5</v>
      </c>
      <c r="C101" s="717">
        <v>0</v>
      </c>
      <c r="D101" s="717">
        <v>0</v>
      </c>
      <c r="E101" s="716">
        <v>25.5</v>
      </c>
      <c r="F101" s="716">
        <v>0</v>
      </c>
      <c r="G101" s="716">
        <v>25.5</v>
      </c>
      <c r="H101" s="719">
        <v>0</v>
      </c>
      <c r="I101" s="718">
        <v>0</v>
      </c>
      <c r="J101" s="718">
        <v>0</v>
      </c>
      <c r="K101" s="718">
        <v>0</v>
      </c>
    </row>
    <row r="102" spans="1:11" x14ac:dyDescent="0.35">
      <c r="A102" s="715" t="s">
        <v>1765</v>
      </c>
      <c r="B102" s="716">
        <v>14.75</v>
      </c>
      <c r="C102" s="717">
        <v>0</v>
      </c>
      <c r="D102" s="717">
        <v>0</v>
      </c>
      <c r="E102" s="716">
        <v>14.75</v>
      </c>
      <c r="F102" s="716">
        <v>0</v>
      </c>
      <c r="G102" s="716">
        <v>14.75</v>
      </c>
      <c r="H102" s="719">
        <v>0</v>
      </c>
      <c r="I102" s="718">
        <v>0</v>
      </c>
      <c r="J102" s="718">
        <v>0</v>
      </c>
      <c r="K102" s="718">
        <v>0</v>
      </c>
    </row>
    <row r="103" spans="1:11" x14ac:dyDescent="0.35">
      <c r="A103" s="715" t="s">
        <v>1487</v>
      </c>
      <c r="B103" s="716">
        <v>6.95</v>
      </c>
      <c r="C103" s="717">
        <v>0</v>
      </c>
      <c r="D103" s="717">
        <v>0</v>
      </c>
      <c r="E103" s="716">
        <v>6.95</v>
      </c>
      <c r="F103" s="716">
        <v>0</v>
      </c>
      <c r="G103" s="716">
        <v>6.95</v>
      </c>
      <c r="H103" s="719">
        <v>0</v>
      </c>
      <c r="I103" s="718">
        <v>0</v>
      </c>
      <c r="J103" s="718">
        <v>0</v>
      </c>
      <c r="K103" s="718">
        <v>0</v>
      </c>
    </row>
    <row r="104" spans="1:11" x14ac:dyDescent="0.35">
      <c r="A104" s="715" t="s">
        <v>1769</v>
      </c>
      <c r="B104" s="716">
        <v>22.75</v>
      </c>
      <c r="C104" s="717">
        <v>0</v>
      </c>
      <c r="D104" s="717">
        <v>0</v>
      </c>
      <c r="E104" s="716">
        <v>22.75</v>
      </c>
      <c r="F104" s="716">
        <v>0</v>
      </c>
      <c r="G104" s="716">
        <v>22.75</v>
      </c>
      <c r="H104" s="719">
        <v>0</v>
      </c>
      <c r="I104" s="718">
        <v>0</v>
      </c>
      <c r="J104" s="718">
        <v>0</v>
      </c>
      <c r="K104" s="718">
        <v>0</v>
      </c>
    </row>
    <row r="105" spans="1:11" x14ac:dyDescent="0.35">
      <c r="A105" s="715" t="s">
        <v>1488</v>
      </c>
      <c r="B105" s="716">
        <v>1.05</v>
      </c>
      <c r="C105" s="717">
        <v>0</v>
      </c>
      <c r="D105" s="717">
        <v>0</v>
      </c>
      <c r="E105" s="716">
        <v>1.05</v>
      </c>
      <c r="F105" s="716">
        <v>0</v>
      </c>
      <c r="G105" s="716">
        <v>1.05</v>
      </c>
      <c r="H105" s="719">
        <v>0</v>
      </c>
      <c r="I105" s="718">
        <v>0</v>
      </c>
      <c r="J105" s="718">
        <v>0</v>
      </c>
      <c r="K105" s="718">
        <v>0</v>
      </c>
    </row>
    <row r="106" spans="1:11" x14ac:dyDescent="0.35">
      <c r="A106" s="715" t="s">
        <v>1774</v>
      </c>
      <c r="B106" s="716">
        <v>8.3000000000000007</v>
      </c>
      <c r="C106" s="717">
        <v>0</v>
      </c>
      <c r="D106" s="717">
        <v>0</v>
      </c>
      <c r="E106" s="716">
        <v>8.3000000000000007</v>
      </c>
      <c r="F106" s="716">
        <v>0</v>
      </c>
      <c r="G106" s="716">
        <v>8.3000000000000007</v>
      </c>
      <c r="H106" s="719">
        <v>0</v>
      </c>
      <c r="I106" s="718">
        <v>0</v>
      </c>
      <c r="J106" s="718">
        <v>0</v>
      </c>
      <c r="K106" s="718">
        <v>0</v>
      </c>
    </row>
    <row r="107" spans="1:11" x14ac:dyDescent="0.35">
      <c r="A107" s="715" t="s">
        <v>1489</v>
      </c>
      <c r="B107" s="716">
        <v>1.05</v>
      </c>
      <c r="C107" s="717">
        <v>0</v>
      </c>
      <c r="D107" s="717">
        <v>0</v>
      </c>
      <c r="E107" s="716">
        <v>1.05</v>
      </c>
      <c r="F107" s="716">
        <v>0</v>
      </c>
      <c r="G107" s="716">
        <v>1.05</v>
      </c>
      <c r="H107" s="719">
        <v>0</v>
      </c>
      <c r="I107" s="718">
        <v>0</v>
      </c>
      <c r="J107" s="718">
        <v>0</v>
      </c>
      <c r="K107" s="718">
        <v>0</v>
      </c>
    </row>
    <row r="108" spans="1:11" x14ac:dyDescent="0.35">
      <c r="A108" s="715" t="s">
        <v>1779</v>
      </c>
      <c r="B108" s="716">
        <v>7.95</v>
      </c>
      <c r="C108" s="717">
        <v>0</v>
      </c>
      <c r="D108" s="717">
        <v>0</v>
      </c>
      <c r="E108" s="716">
        <v>7.95</v>
      </c>
      <c r="F108" s="716">
        <v>0</v>
      </c>
      <c r="G108" s="716">
        <v>7.95</v>
      </c>
      <c r="H108" s="719">
        <v>0</v>
      </c>
      <c r="I108" s="718">
        <v>0</v>
      </c>
      <c r="J108" s="718">
        <v>0</v>
      </c>
      <c r="K108" s="718">
        <v>0</v>
      </c>
    </row>
    <row r="109" spans="1:11" x14ac:dyDescent="0.35">
      <c r="A109" s="715" t="s">
        <v>1490</v>
      </c>
      <c r="B109" s="716">
        <v>16</v>
      </c>
      <c r="C109" s="717">
        <v>0</v>
      </c>
      <c r="D109" s="717">
        <v>0</v>
      </c>
      <c r="E109" s="716">
        <v>16</v>
      </c>
      <c r="F109" s="716">
        <v>0</v>
      </c>
      <c r="G109" s="716">
        <v>16</v>
      </c>
      <c r="H109" s="719">
        <v>0</v>
      </c>
      <c r="I109" s="718">
        <v>0</v>
      </c>
      <c r="J109" s="718">
        <v>0</v>
      </c>
      <c r="K109" s="718">
        <v>0</v>
      </c>
    </row>
    <row r="110" spans="1:11" x14ac:dyDescent="0.35">
      <c r="A110" s="715" t="s">
        <v>1828</v>
      </c>
      <c r="B110" s="716">
        <v>0</v>
      </c>
      <c r="C110" s="717">
        <v>0</v>
      </c>
      <c r="D110" s="717">
        <v>0</v>
      </c>
      <c r="E110" s="716">
        <v>0</v>
      </c>
      <c r="F110" s="716">
        <v>0</v>
      </c>
      <c r="G110" s="716">
        <v>0</v>
      </c>
      <c r="H110" s="719">
        <v>0</v>
      </c>
      <c r="I110" s="718">
        <v>0</v>
      </c>
      <c r="J110" s="718">
        <v>0</v>
      </c>
      <c r="K110" s="718">
        <v>0</v>
      </c>
    </row>
    <row r="111" spans="1:11" x14ac:dyDescent="0.35">
      <c r="A111" s="715" t="s">
        <v>1491</v>
      </c>
      <c r="B111" s="716">
        <v>16</v>
      </c>
      <c r="C111" s="717">
        <v>0</v>
      </c>
      <c r="D111" s="717">
        <v>0</v>
      </c>
      <c r="E111" s="716">
        <v>16</v>
      </c>
      <c r="F111" s="716">
        <v>0</v>
      </c>
      <c r="G111" s="716">
        <v>16</v>
      </c>
      <c r="H111" s="719">
        <v>0</v>
      </c>
      <c r="I111" s="718">
        <v>0</v>
      </c>
      <c r="J111" s="718">
        <v>0</v>
      </c>
      <c r="K111" s="718">
        <v>0</v>
      </c>
    </row>
    <row r="112" spans="1:11" x14ac:dyDescent="0.35">
      <c r="A112" s="715" t="s">
        <v>1832</v>
      </c>
      <c r="B112" s="716">
        <v>2.1</v>
      </c>
      <c r="C112" s="717">
        <v>0</v>
      </c>
      <c r="D112" s="717">
        <v>0</v>
      </c>
      <c r="E112" s="716">
        <v>2.1</v>
      </c>
      <c r="F112" s="716">
        <v>0</v>
      </c>
      <c r="G112" s="716">
        <v>2.1</v>
      </c>
      <c r="H112" s="719">
        <v>0</v>
      </c>
      <c r="I112" s="718">
        <v>0</v>
      </c>
      <c r="J112" s="718">
        <v>0</v>
      </c>
      <c r="K112" s="718">
        <v>0</v>
      </c>
    </row>
    <row r="113" spans="1:11" x14ac:dyDescent="0.35">
      <c r="A113" s="715" t="s">
        <v>1494</v>
      </c>
      <c r="B113" s="716">
        <v>25.5</v>
      </c>
      <c r="C113" s="717">
        <v>0</v>
      </c>
      <c r="D113" s="717">
        <v>0</v>
      </c>
      <c r="E113" s="716">
        <v>25.5</v>
      </c>
      <c r="F113" s="716">
        <v>0</v>
      </c>
      <c r="G113" s="716">
        <v>25.5</v>
      </c>
      <c r="H113" s="719">
        <v>0</v>
      </c>
      <c r="I113" s="718">
        <v>0</v>
      </c>
      <c r="J113" s="718">
        <v>0</v>
      </c>
      <c r="K113" s="718">
        <v>0</v>
      </c>
    </row>
    <row r="114" spans="1:11" x14ac:dyDescent="0.35">
      <c r="A114" s="715" t="s">
        <v>1836</v>
      </c>
      <c r="B114" s="716">
        <v>13.5</v>
      </c>
      <c r="C114" s="717">
        <v>0</v>
      </c>
      <c r="D114" s="717">
        <v>0</v>
      </c>
      <c r="E114" s="716">
        <v>13.5</v>
      </c>
      <c r="F114" s="716">
        <v>0</v>
      </c>
      <c r="G114" s="716">
        <v>13.5</v>
      </c>
      <c r="H114" s="719">
        <v>0</v>
      </c>
      <c r="I114" s="718">
        <v>0</v>
      </c>
      <c r="J114" s="718">
        <v>0</v>
      </c>
      <c r="K114" s="718">
        <v>0</v>
      </c>
    </row>
    <row r="115" spans="1:11" x14ac:dyDescent="0.35">
      <c r="A115" s="715" t="s">
        <v>1492</v>
      </c>
      <c r="B115" s="716">
        <v>275</v>
      </c>
      <c r="C115" s="717">
        <v>0</v>
      </c>
      <c r="D115" s="717">
        <v>0</v>
      </c>
      <c r="E115" s="716">
        <v>275</v>
      </c>
      <c r="F115" s="716">
        <v>0</v>
      </c>
      <c r="G115" s="716">
        <v>275</v>
      </c>
      <c r="H115" s="719">
        <v>0</v>
      </c>
      <c r="I115" s="718">
        <v>0</v>
      </c>
      <c r="J115" s="718">
        <v>0</v>
      </c>
      <c r="K115" s="718">
        <v>0</v>
      </c>
    </row>
    <row r="116" spans="1:11" x14ac:dyDescent="0.35">
      <c r="A116" s="715" t="s">
        <v>1840</v>
      </c>
      <c r="B116" s="716">
        <v>0</v>
      </c>
      <c r="C116" s="717">
        <v>0</v>
      </c>
      <c r="D116" s="717">
        <v>0</v>
      </c>
      <c r="E116" s="716">
        <v>0</v>
      </c>
      <c r="F116" s="716">
        <v>0</v>
      </c>
      <c r="G116" s="716">
        <v>0</v>
      </c>
      <c r="H116" s="719">
        <v>0</v>
      </c>
      <c r="I116" s="718">
        <v>0</v>
      </c>
      <c r="J116" s="718">
        <v>0</v>
      </c>
      <c r="K116" s="718">
        <v>0</v>
      </c>
    </row>
    <row r="117" spans="1:11" x14ac:dyDescent="0.35">
      <c r="A117" s="715" t="s">
        <v>1493</v>
      </c>
      <c r="B117" s="716">
        <v>350</v>
      </c>
      <c r="C117" s="717">
        <v>0</v>
      </c>
      <c r="D117" s="717">
        <v>0</v>
      </c>
      <c r="E117" s="716">
        <v>350</v>
      </c>
      <c r="F117" s="716">
        <v>0</v>
      </c>
      <c r="G117" s="716">
        <v>350</v>
      </c>
      <c r="H117" s="719">
        <v>0</v>
      </c>
      <c r="I117" s="718">
        <v>0</v>
      </c>
      <c r="J117" s="718">
        <v>0</v>
      </c>
      <c r="K117" s="718">
        <v>0</v>
      </c>
    </row>
    <row r="118" spans="1:11" x14ac:dyDescent="0.35">
      <c r="A118" s="715" t="s">
        <v>1843</v>
      </c>
      <c r="B118" s="716">
        <v>3.5</v>
      </c>
      <c r="C118" s="717">
        <v>0</v>
      </c>
      <c r="D118" s="717">
        <v>0</v>
      </c>
      <c r="E118" s="716">
        <v>3.5</v>
      </c>
      <c r="F118" s="716">
        <v>0</v>
      </c>
      <c r="G118" s="716">
        <v>3.5</v>
      </c>
      <c r="H118" s="719">
        <v>0</v>
      </c>
      <c r="I118" s="718">
        <v>0</v>
      </c>
      <c r="J118" s="718">
        <v>0</v>
      </c>
      <c r="K118" s="718">
        <v>0</v>
      </c>
    </row>
    <row r="119" spans="1:11" x14ac:dyDescent="0.35">
      <c r="A119" s="715" t="s">
        <v>1497</v>
      </c>
      <c r="B119" s="716">
        <v>1.65</v>
      </c>
      <c r="C119" s="717">
        <v>0</v>
      </c>
      <c r="D119" s="717">
        <v>0</v>
      </c>
      <c r="E119" s="716">
        <v>1.65</v>
      </c>
      <c r="F119" s="716">
        <v>0</v>
      </c>
      <c r="G119" s="716">
        <v>1.65</v>
      </c>
      <c r="H119" s="719">
        <v>0</v>
      </c>
      <c r="I119" s="718"/>
      <c r="J119" s="718"/>
      <c r="K119" s="718"/>
    </row>
    <row r="120" spans="1:11" x14ac:dyDescent="0.35">
      <c r="A120" s="715" t="s">
        <v>1847</v>
      </c>
      <c r="B120" s="716">
        <v>0</v>
      </c>
      <c r="C120" s="717">
        <v>0</v>
      </c>
      <c r="D120" s="717">
        <v>0</v>
      </c>
      <c r="E120" s="716">
        <v>0</v>
      </c>
      <c r="F120" s="716">
        <v>0</v>
      </c>
      <c r="G120" s="716">
        <v>0</v>
      </c>
      <c r="H120" s="719">
        <v>0</v>
      </c>
      <c r="I120" s="718">
        <v>0</v>
      </c>
      <c r="J120" s="718">
        <v>0</v>
      </c>
      <c r="K120" s="718">
        <v>0</v>
      </c>
    </row>
    <row r="121" spans="1:11" x14ac:dyDescent="0.35">
      <c r="A121" s="715" t="s">
        <v>1495</v>
      </c>
      <c r="B121" s="716">
        <v>270</v>
      </c>
      <c r="C121" s="717">
        <v>0</v>
      </c>
      <c r="D121" s="717">
        <v>0</v>
      </c>
      <c r="E121" s="716">
        <v>270</v>
      </c>
      <c r="F121" s="716">
        <v>0</v>
      </c>
      <c r="G121" s="716">
        <v>270</v>
      </c>
      <c r="H121" s="719">
        <v>0</v>
      </c>
      <c r="I121" s="718">
        <v>0</v>
      </c>
      <c r="J121" s="718">
        <v>0</v>
      </c>
      <c r="K121" s="718">
        <v>0</v>
      </c>
    </row>
    <row r="122" spans="1:11" x14ac:dyDescent="0.35">
      <c r="A122" s="715" t="s">
        <v>1851</v>
      </c>
      <c r="B122" s="716">
        <v>0</v>
      </c>
      <c r="C122" s="717">
        <v>0</v>
      </c>
      <c r="D122" s="717">
        <v>0</v>
      </c>
      <c r="E122" s="716">
        <v>0</v>
      </c>
      <c r="F122" s="716">
        <v>0</v>
      </c>
      <c r="G122" s="716">
        <v>0</v>
      </c>
      <c r="H122" s="719">
        <v>0</v>
      </c>
      <c r="I122" s="718">
        <v>0</v>
      </c>
      <c r="J122" s="718">
        <v>0</v>
      </c>
      <c r="K122" s="718">
        <v>0</v>
      </c>
    </row>
    <row r="123" spans="1:11" x14ac:dyDescent="0.35">
      <c r="A123" s="715" t="s">
        <v>1496</v>
      </c>
      <c r="B123" s="716">
        <v>153.5</v>
      </c>
      <c r="C123" s="717">
        <v>0</v>
      </c>
      <c r="D123" s="717">
        <v>0</v>
      </c>
      <c r="E123" s="716">
        <v>153.5</v>
      </c>
      <c r="F123" s="716">
        <v>0</v>
      </c>
      <c r="G123" s="716">
        <v>153.5</v>
      </c>
      <c r="H123" s="719">
        <v>0</v>
      </c>
      <c r="I123" s="718">
        <v>0</v>
      </c>
      <c r="J123" s="718">
        <v>0</v>
      </c>
      <c r="K123" s="718">
        <v>0</v>
      </c>
    </row>
    <row r="124" spans="1:11" x14ac:dyDescent="0.35">
      <c r="A124" s="715" t="s">
        <v>1856</v>
      </c>
      <c r="B124" s="716">
        <v>0</v>
      </c>
      <c r="C124" s="717">
        <v>0</v>
      </c>
      <c r="D124" s="717">
        <v>0</v>
      </c>
      <c r="E124" s="716">
        <v>0</v>
      </c>
      <c r="F124" s="716">
        <v>0</v>
      </c>
      <c r="G124" s="716">
        <v>0</v>
      </c>
      <c r="H124" s="719">
        <v>0</v>
      </c>
      <c r="I124" s="718">
        <v>0</v>
      </c>
      <c r="J124" s="718">
        <v>0</v>
      </c>
      <c r="K124" s="718">
        <v>0</v>
      </c>
    </row>
    <row r="125" spans="1:11" x14ac:dyDescent="0.35">
      <c r="A125" s="715" t="s">
        <v>1498</v>
      </c>
      <c r="B125" s="716">
        <v>0</v>
      </c>
      <c r="C125" s="717">
        <v>0</v>
      </c>
      <c r="D125" s="717">
        <v>0</v>
      </c>
      <c r="E125" s="716"/>
      <c r="F125" s="716"/>
      <c r="G125" s="716"/>
      <c r="H125" s="719">
        <v>0</v>
      </c>
      <c r="I125" s="718"/>
      <c r="J125" s="718"/>
      <c r="K125" s="718"/>
    </row>
    <row r="126" spans="1:11" x14ac:dyDescent="0.35">
      <c r="A126" s="715" t="s">
        <v>1461</v>
      </c>
      <c r="B126" s="716">
        <v>8.8000000000000007</v>
      </c>
      <c r="C126" s="717">
        <v>0</v>
      </c>
      <c r="D126" s="717">
        <v>0</v>
      </c>
      <c r="E126" s="716">
        <v>8.8000000000000007</v>
      </c>
      <c r="F126" s="716">
        <v>0</v>
      </c>
      <c r="G126" s="716">
        <v>8.8000000000000007</v>
      </c>
      <c r="H126" s="719">
        <v>0</v>
      </c>
      <c r="I126" s="718">
        <v>0</v>
      </c>
      <c r="J126" s="718">
        <v>0</v>
      </c>
      <c r="K126" s="718">
        <v>0</v>
      </c>
    </row>
    <row r="127" spans="1:11" x14ac:dyDescent="0.35">
      <c r="A127" s="715" t="s">
        <v>1503</v>
      </c>
      <c r="B127" s="716">
        <v>25.5</v>
      </c>
      <c r="C127" s="717">
        <v>0</v>
      </c>
      <c r="D127" s="717">
        <v>0</v>
      </c>
      <c r="E127" s="716">
        <v>25.5</v>
      </c>
      <c r="F127" s="716">
        <v>0</v>
      </c>
      <c r="G127" s="716">
        <v>25.5</v>
      </c>
      <c r="H127" s="719">
        <v>0</v>
      </c>
      <c r="I127" s="718">
        <v>0</v>
      </c>
      <c r="J127" s="718">
        <v>0</v>
      </c>
      <c r="K127" s="718">
        <v>0</v>
      </c>
    </row>
    <row r="128" spans="1:11" x14ac:dyDescent="0.35">
      <c r="A128" s="715" t="s">
        <v>1573</v>
      </c>
      <c r="B128" s="716">
        <v>16.5</v>
      </c>
      <c r="C128" s="717">
        <v>0</v>
      </c>
      <c r="D128" s="717">
        <v>0</v>
      </c>
      <c r="E128" s="716">
        <v>16.5</v>
      </c>
      <c r="F128" s="716">
        <v>0</v>
      </c>
      <c r="G128" s="716">
        <v>16.5</v>
      </c>
      <c r="H128" s="719">
        <v>0</v>
      </c>
      <c r="I128" s="718">
        <v>0</v>
      </c>
      <c r="J128" s="718">
        <v>0</v>
      </c>
      <c r="K128" s="718">
        <v>0</v>
      </c>
    </row>
    <row r="129" spans="1:11" x14ac:dyDescent="0.35">
      <c r="A129" s="715" t="s">
        <v>1504</v>
      </c>
      <c r="B129" s="716">
        <v>690</v>
      </c>
      <c r="C129" s="717">
        <v>0</v>
      </c>
      <c r="D129" s="717">
        <v>0</v>
      </c>
      <c r="E129" s="716">
        <v>690</v>
      </c>
      <c r="F129" s="716">
        <v>0</v>
      </c>
      <c r="G129" s="716">
        <v>690</v>
      </c>
      <c r="H129" s="719">
        <v>0</v>
      </c>
      <c r="I129" s="718">
        <v>0</v>
      </c>
      <c r="J129" s="718">
        <v>0</v>
      </c>
      <c r="K129" s="718">
        <v>0</v>
      </c>
    </row>
    <row r="130" spans="1:11" x14ac:dyDescent="0.35">
      <c r="A130" s="715" t="s">
        <v>1575</v>
      </c>
      <c r="B130" s="716">
        <v>20</v>
      </c>
      <c r="C130" s="717">
        <v>0</v>
      </c>
      <c r="D130" s="717">
        <v>0</v>
      </c>
      <c r="E130" s="716">
        <v>20</v>
      </c>
      <c r="F130" s="716">
        <v>0</v>
      </c>
      <c r="G130" s="716">
        <v>20</v>
      </c>
      <c r="H130" s="719">
        <v>0</v>
      </c>
      <c r="I130" s="718">
        <v>0</v>
      </c>
      <c r="J130" s="718">
        <v>0</v>
      </c>
      <c r="K130" s="718">
        <v>0</v>
      </c>
    </row>
    <row r="131" spans="1:11" x14ac:dyDescent="0.35">
      <c r="A131" s="715" t="s">
        <v>1499</v>
      </c>
      <c r="B131" s="716">
        <v>260</v>
      </c>
      <c r="C131" s="717">
        <v>0</v>
      </c>
      <c r="D131" s="717">
        <v>0</v>
      </c>
      <c r="E131" s="716">
        <v>260</v>
      </c>
      <c r="F131" s="716">
        <v>0</v>
      </c>
      <c r="G131" s="716">
        <v>260</v>
      </c>
      <c r="H131" s="719">
        <v>0</v>
      </c>
      <c r="I131" s="718">
        <v>0</v>
      </c>
      <c r="J131" s="718">
        <v>0</v>
      </c>
      <c r="K131" s="718">
        <v>0</v>
      </c>
    </row>
    <row r="132" spans="1:11" x14ac:dyDescent="0.35">
      <c r="A132" s="715" t="s">
        <v>1577</v>
      </c>
      <c r="B132" s="716">
        <v>20</v>
      </c>
      <c r="C132" s="717">
        <v>0</v>
      </c>
      <c r="D132" s="717">
        <v>0</v>
      </c>
      <c r="E132" s="716">
        <v>20</v>
      </c>
      <c r="F132" s="716">
        <v>0</v>
      </c>
      <c r="G132" s="716">
        <v>20</v>
      </c>
      <c r="H132" s="719">
        <v>0</v>
      </c>
      <c r="I132" s="718">
        <v>0</v>
      </c>
      <c r="J132" s="718">
        <v>0</v>
      </c>
      <c r="K132" s="718">
        <v>0</v>
      </c>
    </row>
    <row r="133" spans="1:11" x14ac:dyDescent="0.35">
      <c r="A133" s="715" t="s">
        <v>1500</v>
      </c>
      <c r="B133" s="716">
        <v>340</v>
      </c>
      <c r="C133" s="717">
        <v>0</v>
      </c>
      <c r="D133" s="717">
        <v>0</v>
      </c>
      <c r="E133" s="716">
        <v>340</v>
      </c>
      <c r="F133" s="716">
        <v>0</v>
      </c>
      <c r="G133" s="716">
        <v>340</v>
      </c>
      <c r="H133" s="719">
        <v>0</v>
      </c>
      <c r="I133" s="718">
        <v>0</v>
      </c>
      <c r="J133" s="718">
        <v>0</v>
      </c>
      <c r="K133" s="718">
        <v>0</v>
      </c>
    </row>
    <row r="134" spans="1:11" x14ac:dyDescent="0.35">
      <c r="A134" s="715" t="s">
        <v>1579</v>
      </c>
      <c r="B134" s="716">
        <v>14.5</v>
      </c>
      <c r="C134" s="717">
        <v>0</v>
      </c>
      <c r="D134" s="717">
        <v>0</v>
      </c>
      <c r="E134" s="716">
        <v>14.5</v>
      </c>
      <c r="F134" s="716">
        <v>0</v>
      </c>
      <c r="G134" s="716">
        <v>14.5</v>
      </c>
      <c r="H134" s="719">
        <v>0</v>
      </c>
      <c r="I134" s="718">
        <v>0</v>
      </c>
      <c r="J134" s="718">
        <v>0</v>
      </c>
      <c r="K134" s="718">
        <v>0</v>
      </c>
    </row>
    <row r="135" spans="1:11" x14ac:dyDescent="0.35">
      <c r="A135" s="715" t="s">
        <v>1501</v>
      </c>
      <c r="B135" s="716">
        <v>260</v>
      </c>
      <c r="C135" s="717">
        <v>0</v>
      </c>
      <c r="D135" s="717">
        <v>0</v>
      </c>
      <c r="E135" s="716">
        <v>260</v>
      </c>
      <c r="F135" s="716">
        <v>0</v>
      </c>
      <c r="G135" s="716">
        <v>260</v>
      </c>
      <c r="H135" s="719">
        <v>0</v>
      </c>
      <c r="I135" s="718">
        <v>0</v>
      </c>
      <c r="J135" s="718">
        <v>0</v>
      </c>
      <c r="K135" s="718">
        <v>0</v>
      </c>
    </row>
    <row r="136" spans="1:11" x14ac:dyDescent="0.35">
      <c r="A136" s="715" t="s">
        <v>1581</v>
      </c>
      <c r="B136" s="716">
        <v>11.25</v>
      </c>
      <c r="C136" s="717">
        <v>0</v>
      </c>
      <c r="D136" s="717">
        <v>0</v>
      </c>
      <c r="E136" s="716">
        <v>11.25</v>
      </c>
      <c r="F136" s="716">
        <v>0</v>
      </c>
      <c r="G136" s="716">
        <v>11.25</v>
      </c>
      <c r="H136" s="719">
        <v>0</v>
      </c>
      <c r="I136" s="718">
        <v>0</v>
      </c>
      <c r="J136" s="718">
        <v>0</v>
      </c>
      <c r="K136" s="718">
        <v>0</v>
      </c>
    </row>
    <row r="137" spans="1:11" x14ac:dyDescent="0.35">
      <c r="A137" s="715" t="s">
        <v>1502</v>
      </c>
      <c r="B137" s="716">
        <v>340</v>
      </c>
      <c r="C137" s="717">
        <v>0</v>
      </c>
      <c r="D137" s="717">
        <v>0</v>
      </c>
      <c r="E137" s="716">
        <v>340</v>
      </c>
      <c r="F137" s="716">
        <v>0</v>
      </c>
      <c r="G137" s="716">
        <v>340</v>
      </c>
      <c r="H137" s="719">
        <v>0</v>
      </c>
      <c r="I137" s="718">
        <v>0</v>
      </c>
      <c r="J137" s="718">
        <v>0</v>
      </c>
      <c r="K137" s="718">
        <v>0</v>
      </c>
    </row>
    <row r="138" spans="1:11" x14ac:dyDescent="0.35">
      <c r="A138" s="715" t="s">
        <v>1583</v>
      </c>
      <c r="B138" s="716">
        <v>1.65</v>
      </c>
      <c r="C138" s="717">
        <v>0</v>
      </c>
      <c r="D138" s="717">
        <v>0</v>
      </c>
      <c r="E138" s="716">
        <v>1.65</v>
      </c>
      <c r="F138" s="716">
        <v>0</v>
      </c>
      <c r="G138" s="716">
        <v>1.65</v>
      </c>
      <c r="H138" s="719">
        <v>0</v>
      </c>
      <c r="I138" s="718"/>
      <c r="J138" s="718"/>
      <c r="K138" s="718"/>
    </row>
    <row r="139" spans="1:11" x14ac:dyDescent="0.35">
      <c r="A139" s="715" t="s">
        <v>1505</v>
      </c>
      <c r="B139" s="716">
        <v>25.5</v>
      </c>
      <c r="C139" s="717">
        <v>0</v>
      </c>
      <c r="D139" s="717">
        <v>0</v>
      </c>
      <c r="E139" s="716">
        <v>25.5</v>
      </c>
      <c r="F139" s="716">
        <v>0</v>
      </c>
      <c r="G139" s="716">
        <v>25.5</v>
      </c>
      <c r="H139" s="719">
        <v>0</v>
      </c>
      <c r="I139" s="718">
        <v>0</v>
      </c>
      <c r="J139" s="718">
        <v>0</v>
      </c>
      <c r="K139" s="718">
        <v>0</v>
      </c>
    </row>
    <row r="140" spans="1:11" x14ac:dyDescent="0.35">
      <c r="A140" s="715" t="s">
        <v>1585</v>
      </c>
      <c r="B140" s="716">
        <v>5.55</v>
      </c>
      <c r="C140" s="717">
        <v>0</v>
      </c>
      <c r="D140" s="717">
        <v>0</v>
      </c>
      <c r="E140" s="716">
        <v>5.55</v>
      </c>
      <c r="F140" s="716">
        <v>0</v>
      </c>
      <c r="G140" s="716">
        <v>5.55</v>
      </c>
      <c r="H140" s="719">
        <v>0</v>
      </c>
      <c r="I140" s="718">
        <v>0</v>
      </c>
      <c r="J140" s="718">
        <v>0</v>
      </c>
      <c r="K140" s="718">
        <v>0</v>
      </c>
    </row>
    <row r="141" spans="1:11" x14ac:dyDescent="0.35">
      <c r="A141" s="715" t="s">
        <v>1506</v>
      </c>
      <c r="B141" s="716">
        <v>230</v>
      </c>
      <c r="C141" s="717">
        <v>0</v>
      </c>
      <c r="D141" s="717">
        <v>0</v>
      </c>
      <c r="E141" s="716">
        <v>230</v>
      </c>
      <c r="F141" s="716">
        <v>0</v>
      </c>
      <c r="G141" s="716">
        <v>230</v>
      </c>
      <c r="H141" s="719">
        <v>0</v>
      </c>
      <c r="I141" s="718">
        <v>0</v>
      </c>
      <c r="J141" s="718">
        <v>0</v>
      </c>
      <c r="K141" s="718">
        <v>0</v>
      </c>
    </row>
    <row r="142" spans="1:11" x14ac:dyDescent="0.35">
      <c r="A142" s="715" t="s">
        <v>1587</v>
      </c>
      <c r="B142" s="716">
        <v>6.6</v>
      </c>
      <c r="C142" s="717">
        <v>0</v>
      </c>
      <c r="D142" s="717">
        <v>0</v>
      </c>
      <c r="E142" s="716">
        <v>6.6</v>
      </c>
      <c r="F142" s="716">
        <v>0</v>
      </c>
      <c r="G142" s="716">
        <v>6.6</v>
      </c>
      <c r="H142" s="719">
        <v>0</v>
      </c>
      <c r="I142" s="718">
        <v>0</v>
      </c>
      <c r="J142" s="718">
        <v>0</v>
      </c>
      <c r="K142" s="718">
        <v>0</v>
      </c>
    </row>
    <row r="143" spans="1:11" x14ac:dyDescent="0.35">
      <c r="A143" s="715" t="s">
        <v>1507</v>
      </c>
      <c r="B143" s="716">
        <v>1.05</v>
      </c>
      <c r="C143" s="717">
        <v>0</v>
      </c>
      <c r="D143" s="717">
        <v>0</v>
      </c>
      <c r="E143" s="716">
        <v>1.05</v>
      </c>
      <c r="F143" s="716">
        <v>0</v>
      </c>
      <c r="G143" s="716">
        <v>1.05</v>
      </c>
      <c r="H143" s="719">
        <v>0</v>
      </c>
      <c r="I143" s="718">
        <v>0</v>
      </c>
      <c r="J143" s="718">
        <v>0</v>
      </c>
      <c r="K143" s="718">
        <v>0</v>
      </c>
    </row>
    <row r="144" spans="1:11" x14ac:dyDescent="0.35">
      <c r="A144" s="715" t="s">
        <v>1589</v>
      </c>
      <c r="B144" s="716">
        <v>16.75</v>
      </c>
      <c r="C144" s="717">
        <v>0</v>
      </c>
      <c r="D144" s="717">
        <v>0</v>
      </c>
      <c r="E144" s="716">
        <v>16.75</v>
      </c>
      <c r="F144" s="716">
        <v>0</v>
      </c>
      <c r="G144" s="716">
        <v>16.75</v>
      </c>
      <c r="H144" s="719">
        <v>0</v>
      </c>
      <c r="I144" s="718">
        <v>0</v>
      </c>
      <c r="J144" s="718">
        <v>0</v>
      </c>
      <c r="K144" s="718">
        <v>0</v>
      </c>
    </row>
    <row r="145" spans="1:11" x14ac:dyDescent="0.35">
      <c r="A145" s="715" t="s">
        <v>1508</v>
      </c>
      <c r="B145" s="716">
        <v>1.05</v>
      </c>
      <c r="C145" s="717">
        <v>0</v>
      </c>
      <c r="D145" s="717">
        <v>0</v>
      </c>
      <c r="E145" s="716">
        <v>1.05</v>
      </c>
      <c r="F145" s="716">
        <v>0</v>
      </c>
      <c r="G145" s="716">
        <v>1.05</v>
      </c>
      <c r="H145" s="719">
        <v>0</v>
      </c>
      <c r="I145" s="718">
        <v>0</v>
      </c>
      <c r="J145" s="718">
        <v>0</v>
      </c>
      <c r="K145" s="718">
        <v>0</v>
      </c>
    </row>
    <row r="146" spans="1:11" x14ac:dyDescent="0.35">
      <c r="A146" s="715" t="s">
        <v>1591</v>
      </c>
      <c r="B146" s="716">
        <v>46</v>
      </c>
      <c r="C146" s="717">
        <v>0</v>
      </c>
      <c r="D146" s="717">
        <v>0</v>
      </c>
      <c r="E146" s="716">
        <v>46</v>
      </c>
      <c r="F146" s="716">
        <v>0</v>
      </c>
      <c r="G146" s="716">
        <v>46</v>
      </c>
      <c r="H146" s="719">
        <v>0</v>
      </c>
      <c r="I146" s="718">
        <v>0</v>
      </c>
      <c r="J146" s="718">
        <v>0</v>
      </c>
      <c r="K146" s="718">
        <v>0</v>
      </c>
    </row>
    <row r="147" spans="1:11" x14ac:dyDescent="0.35">
      <c r="A147" s="715" t="s">
        <v>1509</v>
      </c>
      <c r="B147" s="716">
        <v>210</v>
      </c>
      <c r="C147" s="717">
        <v>0</v>
      </c>
      <c r="D147" s="717">
        <v>0</v>
      </c>
      <c r="E147" s="716">
        <v>210</v>
      </c>
      <c r="F147" s="716">
        <v>0</v>
      </c>
      <c r="G147" s="716">
        <v>210</v>
      </c>
      <c r="H147" s="719">
        <v>0</v>
      </c>
      <c r="I147" s="718">
        <v>0</v>
      </c>
      <c r="J147" s="718">
        <v>0</v>
      </c>
      <c r="K147" s="718">
        <v>0</v>
      </c>
    </row>
    <row r="148" spans="1:11" x14ac:dyDescent="0.35">
      <c r="A148" s="715" t="s">
        <v>1593</v>
      </c>
      <c r="B148" s="716">
        <v>16.25</v>
      </c>
      <c r="C148" s="717">
        <v>0</v>
      </c>
      <c r="D148" s="717">
        <v>0</v>
      </c>
      <c r="E148" s="716">
        <v>16.25</v>
      </c>
      <c r="F148" s="716">
        <v>0</v>
      </c>
      <c r="G148" s="716">
        <v>16.25</v>
      </c>
      <c r="H148" s="719">
        <v>0</v>
      </c>
      <c r="I148" s="718">
        <v>0</v>
      </c>
      <c r="J148" s="718">
        <v>0</v>
      </c>
      <c r="K148" s="718">
        <v>0</v>
      </c>
    </row>
    <row r="149" spans="1:11" x14ac:dyDescent="0.35">
      <c r="A149" s="715" t="s">
        <v>1510</v>
      </c>
      <c r="B149" s="716">
        <v>210</v>
      </c>
      <c r="C149" s="717">
        <v>0</v>
      </c>
      <c r="D149" s="717">
        <v>0</v>
      </c>
      <c r="E149" s="716">
        <v>210</v>
      </c>
      <c r="F149" s="716">
        <v>0</v>
      </c>
      <c r="G149" s="716">
        <v>210</v>
      </c>
      <c r="H149" s="719">
        <v>0</v>
      </c>
      <c r="I149" s="718">
        <v>0</v>
      </c>
      <c r="J149" s="718">
        <v>0</v>
      </c>
      <c r="K149" s="718">
        <v>0</v>
      </c>
    </row>
    <row r="150" spans="1:11" x14ac:dyDescent="0.35">
      <c r="A150" s="715" t="s">
        <v>1595</v>
      </c>
      <c r="B150" s="716">
        <v>1.1000000000000001</v>
      </c>
      <c r="C150" s="717">
        <v>0</v>
      </c>
      <c r="D150" s="717">
        <v>0</v>
      </c>
      <c r="E150" s="716">
        <v>1.1000000000000001</v>
      </c>
      <c r="F150" s="716">
        <v>0</v>
      </c>
      <c r="G150" s="716">
        <v>1.1000000000000001</v>
      </c>
      <c r="H150" s="719">
        <v>0</v>
      </c>
      <c r="I150" s="718">
        <v>0</v>
      </c>
      <c r="J150" s="718">
        <v>0</v>
      </c>
      <c r="K150" s="718">
        <v>0</v>
      </c>
    </row>
    <row r="151" spans="1:11" x14ac:dyDescent="0.35">
      <c r="A151" s="715" t="s">
        <v>1457</v>
      </c>
      <c r="B151" s="716">
        <v>208</v>
      </c>
      <c r="C151" s="717">
        <v>0</v>
      </c>
      <c r="D151" s="717">
        <v>0</v>
      </c>
      <c r="E151" s="716">
        <v>208</v>
      </c>
      <c r="F151" s="716">
        <v>0</v>
      </c>
      <c r="G151" s="716">
        <v>208</v>
      </c>
      <c r="H151" s="719">
        <v>0</v>
      </c>
      <c r="I151" s="718">
        <v>0</v>
      </c>
      <c r="J151" s="718">
        <v>0</v>
      </c>
      <c r="K151" s="718">
        <v>0</v>
      </c>
    </row>
    <row r="152" spans="1:11" x14ac:dyDescent="0.35">
      <c r="A152" s="715" t="s">
        <v>1597</v>
      </c>
      <c r="B152" s="716">
        <v>8.8000000000000007</v>
      </c>
      <c r="C152" s="717">
        <v>0</v>
      </c>
      <c r="D152" s="717">
        <v>0</v>
      </c>
      <c r="E152" s="716">
        <v>8.8000000000000007</v>
      </c>
      <c r="F152" s="716">
        <v>0</v>
      </c>
      <c r="G152" s="716">
        <v>8.8000000000000007</v>
      </c>
      <c r="H152" s="719">
        <v>0</v>
      </c>
      <c r="I152" s="718">
        <v>0</v>
      </c>
      <c r="J152" s="718">
        <v>0</v>
      </c>
      <c r="K152" s="718">
        <v>0</v>
      </c>
    </row>
    <row r="153" spans="1:11" x14ac:dyDescent="0.35">
      <c r="A153" s="715" t="s">
        <v>1520</v>
      </c>
      <c r="B153" s="716">
        <v>29.5</v>
      </c>
      <c r="C153" s="717">
        <v>0</v>
      </c>
      <c r="D153" s="717">
        <v>0</v>
      </c>
      <c r="E153" s="716">
        <v>29.5</v>
      </c>
      <c r="F153" s="716">
        <v>0</v>
      </c>
      <c r="G153" s="716">
        <v>29.5</v>
      </c>
      <c r="H153" s="719">
        <v>0</v>
      </c>
      <c r="I153" s="718">
        <v>0</v>
      </c>
      <c r="J153" s="718">
        <v>0</v>
      </c>
      <c r="K153" s="718">
        <v>0</v>
      </c>
    </row>
    <row r="154" spans="1:11" x14ac:dyDescent="0.35">
      <c r="A154" s="715" t="s">
        <v>1599</v>
      </c>
      <c r="B154" s="716">
        <v>10</v>
      </c>
      <c r="C154" s="717">
        <v>0</v>
      </c>
      <c r="D154" s="717">
        <v>0</v>
      </c>
      <c r="E154" s="716">
        <v>10</v>
      </c>
      <c r="F154" s="716">
        <v>0</v>
      </c>
      <c r="G154" s="716">
        <v>10</v>
      </c>
      <c r="H154" s="719">
        <v>0</v>
      </c>
      <c r="I154" s="718">
        <v>0</v>
      </c>
      <c r="J154" s="718">
        <v>0</v>
      </c>
      <c r="K154" s="718">
        <v>0</v>
      </c>
    </row>
    <row r="155" spans="1:11" x14ac:dyDescent="0.35">
      <c r="A155" s="715" t="s">
        <v>1519</v>
      </c>
      <c r="B155" s="716">
        <v>40</v>
      </c>
      <c r="C155" s="717">
        <v>0</v>
      </c>
      <c r="D155" s="717">
        <v>0</v>
      </c>
      <c r="E155" s="716">
        <v>40</v>
      </c>
      <c r="F155" s="716">
        <v>0</v>
      </c>
      <c r="G155" s="716">
        <v>40</v>
      </c>
      <c r="H155" s="719">
        <v>0</v>
      </c>
      <c r="I155" s="718">
        <v>0</v>
      </c>
      <c r="J155" s="718">
        <v>0</v>
      </c>
      <c r="K155" s="718">
        <v>0</v>
      </c>
    </row>
    <row r="156" spans="1:11" x14ac:dyDescent="0.35">
      <c r="A156" s="715" t="s">
        <v>1601</v>
      </c>
      <c r="B156" s="716">
        <v>7.6</v>
      </c>
      <c r="C156" s="717">
        <v>0</v>
      </c>
      <c r="D156" s="717">
        <v>0</v>
      </c>
      <c r="E156" s="716">
        <v>7.6</v>
      </c>
      <c r="F156" s="716">
        <v>0</v>
      </c>
      <c r="G156" s="716">
        <v>7.6</v>
      </c>
      <c r="H156" s="719">
        <v>0</v>
      </c>
      <c r="I156" s="718">
        <v>0</v>
      </c>
      <c r="J156" s="718">
        <v>0</v>
      </c>
      <c r="K156" s="718">
        <v>0</v>
      </c>
    </row>
    <row r="157" spans="1:11" x14ac:dyDescent="0.35">
      <c r="A157" s="715" t="s">
        <v>1518</v>
      </c>
      <c r="B157" s="716">
        <v>29.5</v>
      </c>
      <c r="C157" s="717">
        <v>0</v>
      </c>
      <c r="D157" s="717">
        <v>0</v>
      </c>
      <c r="E157" s="716">
        <v>29.5</v>
      </c>
      <c r="F157" s="716">
        <v>0</v>
      </c>
      <c r="G157" s="716">
        <v>29.5</v>
      </c>
      <c r="H157" s="719">
        <v>0</v>
      </c>
      <c r="I157" s="718">
        <v>0</v>
      </c>
      <c r="J157" s="718">
        <v>0</v>
      </c>
      <c r="K157" s="718">
        <v>0</v>
      </c>
    </row>
    <row r="158" spans="1:11" x14ac:dyDescent="0.35">
      <c r="A158" s="715" t="s">
        <v>1602</v>
      </c>
      <c r="B158" s="716">
        <v>57.25</v>
      </c>
      <c r="C158" s="717">
        <v>0</v>
      </c>
      <c r="D158" s="717">
        <v>0</v>
      </c>
      <c r="E158" s="716">
        <v>57.25</v>
      </c>
      <c r="F158" s="716">
        <v>0</v>
      </c>
      <c r="G158" s="716">
        <v>57.25</v>
      </c>
      <c r="H158" s="719">
        <v>0</v>
      </c>
      <c r="I158" s="718">
        <v>0</v>
      </c>
      <c r="J158" s="718">
        <v>0</v>
      </c>
      <c r="K158" s="718">
        <v>0</v>
      </c>
    </row>
    <row r="159" spans="1:11" x14ac:dyDescent="0.35">
      <c r="A159" s="715" t="s">
        <v>1523</v>
      </c>
      <c r="B159" s="716">
        <v>208</v>
      </c>
      <c r="C159" s="717">
        <v>0</v>
      </c>
      <c r="D159" s="717">
        <v>0</v>
      </c>
      <c r="E159" s="716">
        <v>208</v>
      </c>
      <c r="F159" s="716">
        <v>0</v>
      </c>
      <c r="G159" s="716">
        <v>208</v>
      </c>
      <c r="H159" s="719">
        <v>0</v>
      </c>
      <c r="I159" s="718">
        <v>0</v>
      </c>
      <c r="J159" s="718">
        <v>0</v>
      </c>
      <c r="K159" s="718">
        <v>0</v>
      </c>
    </row>
    <row r="160" spans="1:11" x14ac:dyDescent="0.35">
      <c r="A160" s="715" t="s">
        <v>1604</v>
      </c>
      <c r="B160" s="716">
        <v>25.5</v>
      </c>
      <c r="C160" s="717">
        <v>0</v>
      </c>
      <c r="D160" s="717">
        <v>0</v>
      </c>
      <c r="E160" s="716">
        <v>25.5</v>
      </c>
      <c r="F160" s="716">
        <v>0</v>
      </c>
      <c r="G160" s="716">
        <v>25.5</v>
      </c>
      <c r="H160" s="719">
        <v>0</v>
      </c>
      <c r="I160" s="718">
        <v>0</v>
      </c>
      <c r="J160" s="718">
        <v>0</v>
      </c>
      <c r="K160" s="718">
        <v>0</v>
      </c>
    </row>
    <row r="161" spans="1:11" x14ac:dyDescent="0.35">
      <c r="A161" s="715" t="s">
        <v>1525</v>
      </c>
      <c r="B161" s="716">
        <v>29.5</v>
      </c>
      <c r="C161" s="717">
        <v>0</v>
      </c>
      <c r="D161" s="717">
        <v>0</v>
      </c>
      <c r="E161" s="716">
        <v>29.5</v>
      </c>
      <c r="F161" s="716">
        <v>0</v>
      </c>
      <c r="G161" s="716">
        <v>29.5</v>
      </c>
      <c r="H161" s="719">
        <v>0</v>
      </c>
      <c r="I161" s="718">
        <v>0</v>
      </c>
      <c r="J161" s="718">
        <v>0</v>
      </c>
      <c r="K161" s="718">
        <v>0</v>
      </c>
    </row>
    <row r="162" spans="1:11" x14ac:dyDescent="0.35">
      <c r="A162" s="715" t="s">
        <v>1606</v>
      </c>
      <c r="B162" s="716">
        <v>6.45</v>
      </c>
      <c r="C162" s="717">
        <v>0</v>
      </c>
      <c r="D162" s="717">
        <v>0</v>
      </c>
      <c r="E162" s="716">
        <v>6.45</v>
      </c>
      <c r="F162" s="716">
        <v>0</v>
      </c>
      <c r="G162" s="716">
        <v>6.45</v>
      </c>
      <c r="H162" s="719">
        <v>0</v>
      </c>
      <c r="I162" s="718">
        <v>0</v>
      </c>
      <c r="J162" s="718">
        <v>0</v>
      </c>
      <c r="K162" s="718">
        <v>0</v>
      </c>
    </row>
    <row r="163" spans="1:11" x14ac:dyDescent="0.35">
      <c r="A163" s="715" t="s">
        <v>1526</v>
      </c>
      <c r="B163" s="716">
        <v>32.75</v>
      </c>
      <c r="C163" s="717">
        <v>0</v>
      </c>
      <c r="D163" s="717">
        <v>0</v>
      </c>
      <c r="E163" s="716">
        <v>32.75</v>
      </c>
      <c r="F163" s="716">
        <v>0</v>
      </c>
      <c r="G163" s="716">
        <v>32.75</v>
      </c>
      <c r="H163" s="719">
        <v>0</v>
      </c>
      <c r="I163" s="718">
        <v>0</v>
      </c>
      <c r="J163" s="718">
        <v>0</v>
      </c>
      <c r="K163" s="718">
        <v>0</v>
      </c>
    </row>
    <row r="164" spans="1:11" x14ac:dyDescent="0.35">
      <c r="A164" s="715" t="s">
        <v>1608</v>
      </c>
      <c r="B164" s="716">
        <v>1.05</v>
      </c>
      <c r="C164" s="717">
        <v>0</v>
      </c>
      <c r="D164" s="717">
        <v>0</v>
      </c>
      <c r="E164" s="716">
        <v>1.05</v>
      </c>
      <c r="F164" s="716">
        <v>0</v>
      </c>
      <c r="G164" s="716">
        <v>1.05</v>
      </c>
      <c r="H164" s="719">
        <v>0</v>
      </c>
      <c r="I164" s="718">
        <v>0</v>
      </c>
      <c r="J164" s="718">
        <v>0</v>
      </c>
      <c r="K164" s="718">
        <v>0</v>
      </c>
    </row>
    <row r="165" spans="1:11" x14ac:dyDescent="0.35">
      <c r="A165" s="715" t="s">
        <v>1527</v>
      </c>
      <c r="B165" s="716">
        <v>38.5</v>
      </c>
      <c r="C165" s="717">
        <v>0</v>
      </c>
      <c r="D165" s="717">
        <v>0</v>
      </c>
      <c r="E165" s="716">
        <v>38.5</v>
      </c>
      <c r="F165" s="716">
        <v>0</v>
      </c>
      <c r="G165" s="716">
        <v>38.5</v>
      </c>
      <c r="H165" s="719">
        <v>0</v>
      </c>
      <c r="I165" s="718">
        <v>0</v>
      </c>
      <c r="J165" s="718">
        <v>0</v>
      </c>
      <c r="K165" s="718">
        <v>0</v>
      </c>
    </row>
    <row r="166" spans="1:11" x14ac:dyDescent="0.35">
      <c r="A166" s="715" t="s">
        <v>1610</v>
      </c>
      <c r="B166" s="716">
        <v>285</v>
      </c>
      <c r="C166" s="717">
        <v>0</v>
      </c>
      <c r="D166" s="717">
        <v>0</v>
      </c>
      <c r="E166" s="716">
        <v>285</v>
      </c>
      <c r="F166" s="716">
        <v>0</v>
      </c>
      <c r="G166" s="716">
        <v>285</v>
      </c>
      <c r="H166" s="719">
        <v>0</v>
      </c>
      <c r="I166" s="718">
        <v>0</v>
      </c>
      <c r="J166" s="718">
        <v>0</v>
      </c>
      <c r="K166" s="718">
        <v>0</v>
      </c>
    </row>
    <row r="167" spans="1:11" x14ac:dyDescent="0.35">
      <c r="A167" s="715" t="s">
        <v>1528</v>
      </c>
      <c r="B167" s="716">
        <v>40.75</v>
      </c>
      <c r="C167" s="717">
        <v>0</v>
      </c>
      <c r="D167" s="717">
        <v>0</v>
      </c>
      <c r="E167" s="716">
        <v>40.75</v>
      </c>
      <c r="F167" s="716">
        <v>0</v>
      </c>
      <c r="G167" s="716">
        <v>40.75</v>
      </c>
      <c r="H167" s="719">
        <v>0</v>
      </c>
      <c r="I167" s="718">
        <v>0</v>
      </c>
      <c r="J167" s="718">
        <v>0</v>
      </c>
      <c r="K167" s="718">
        <v>0</v>
      </c>
    </row>
    <row r="168" spans="1:11" x14ac:dyDescent="0.35">
      <c r="A168" s="715" t="s">
        <v>1612</v>
      </c>
      <c r="B168" s="716">
        <v>130</v>
      </c>
      <c r="C168" s="717">
        <v>0</v>
      </c>
      <c r="D168" s="717">
        <v>0</v>
      </c>
      <c r="E168" s="716">
        <v>130</v>
      </c>
      <c r="F168" s="716">
        <v>0</v>
      </c>
      <c r="G168" s="716">
        <v>130</v>
      </c>
      <c r="H168" s="719">
        <v>0</v>
      </c>
      <c r="I168" s="718">
        <v>0</v>
      </c>
      <c r="J168" s="718">
        <v>0</v>
      </c>
      <c r="K168" s="718">
        <v>0</v>
      </c>
    </row>
    <row r="169" spans="1:11" x14ac:dyDescent="0.35">
      <c r="A169" s="715" t="s">
        <v>1529</v>
      </c>
      <c r="B169" s="716">
        <v>46</v>
      </c>
      <c r="C169" s="717">
        <v>0</v>
      </c>
      <c r="D169" s="717">
        <v>0</v>
      </c>
      <c r="E169" s="716">
        <v>46</v>
      </c>
      <c r="F169" s="716">
        <v>0</v>
      </c>
      <c r="G169" s="716">
        <v>46</v>
      </c>
      <c r="H169" s="719">
        <v>0</v>
      </c>
      <c r="I169" s="718">
        <v>0</v>
      </c>
      <c r="J169" s="718">
        <v>0</v>
      </c>
      <c r="K169" s="718">
        <v>0</v>
      </c>
    </row>
    <row r="170" spans="1:11" x14ac:dyDescent="0.35">
      <c r="A170" s="715" t="s">
        <v>1614</v>
      </c>
      <c r="B170" s="716">
        <v>185</v>
      </c>
      <c r="C170" s="717">
        <v>0</v>
      </c>
      <c r="D170" s="717">
        <v>0</v>
      </c>
      <c r="E170" s="716">
        <v>185</v>
      </c>
      <c r="F170" s="716">
        <v>0</v>
      </c>
      <c r="G170" s="716">
        <v>185</v>
      </c>
      <c r="H170" s="719">
        <v>0</v>
      </c>
      <c r="I170" s="718">
        <v>0</v>
      </c>
      <c r="J170" s="718">
        <v>0</v>
      </c>
      <c r="K170" s="718">
        <v>0</v>
      </c>
    </row>
    <row r="171" spans="1:11" x14ac:dyDescent="0.35">
      <c r="A171" s="715" t="s">
        <v>1530</v>
      </c>
      <c r="B171" s="716">
        <v>50.25</v>
      </c>
      <c r="C171" s="717">
        <v>0</v>
      </c>
      <c r="D171" s="717">
        <v>0</v>
      </c>
      <c r="E171" s="716">
        <v>50.25</v>
      </c>
      <c r="F171" s="716">
        <v>0</v>
      </c>
      <c r="G171" s="716">
        <v>50.25</v>
      </c>
      <c r="H171" s="719">
        <v>0</v>
      </c>
      <c r="I171" s="718">
        <v>0</v>
      </c>
      <c r="J171" s="718">
        <v>0</v>
      </c>
      <c r="K171" s="718">
        <v>0</v>
      </c>
    </row>
    <row r="172" spans="1:11" x14ac:dyDescent="0.35">
      <c r="A172" s="715" t="s">
        <v>1616</v>
      </c>
      <c r="B172" s="716">
        <v>1.65</v>
      </c>
      <c r="C172" s="717">
        <v>0</v>
      </c>
      <c r="D172" s="717">
        <v>0</v>
      </c>
      <c r="E172" s="716">
        <v>1.65</v>
      </c>
      <c r="F172" s="716">
        <v>0</v>
      </c>
      <c r="G172" s="716">
        <v>1.65</v>
      </c>
      <c r="H172" s="719">
        <v>0</v>
      </c>
      <c r="I172" s="718"/>
      <c r="J172" s="718"/>
      <c r="K172" s="718"/>
    </row>
    <row r="173" spans="1:11" x14ac:dyDescent="0.35">
      <c r="A173" s="715" t="s">
        <v>1531</v>
      </c>
      <c r="B173" s="716">
        <v>56.25</v>
      </c>
      <c r="C173" s="717">
        <v>0</v>
      </c>
      <c r="D173" s="717">
        <v>0</v>
      </c>
      <c r="E173" s="716">
        <v>56.25</v>
      </c>
      <c r="F173" s="716">
        <v>0</v>
      </c>
      <c r="G173" s="716">
        <v>56.25</v>
      </c>
      <c r="H173" s="719">
        <v>0</v>
      </c>
      <c r="I173" s="718">
        <v>0</v>
      </c>
      <c r="J173" s="718">
        <v>0</v>
      </c>
      <c r="K173" s="718">
        <v>0</v>
      </c>
    </row>
    <row r="174" spans="1:11" x14ac:dyDescent="0.35">
      <c r="A174" s="715" t="s">
        <v>1618</v>
      </c>
      <c r="B174" s="716">
        <v>260</v>
      </c>
      <c r="C174" s="717">
        <v>0</v>
      </c>
      <c r="D174" s="717">
        <v>0</v>
      </c>
      <c r="E174" s="716">
        <v>260</v>
      </c>
      <c r="F174" s="716">
        <v>0</v>
      </c>
      <c r="G174" s="716">
        <v>260</v>
      </c>
      <c r="H174" s="719">
        <v>0</v>
      </c>
      <c r="I174" s="718">
        <v>0</v>
      </c>
      <c r="J174" s="718">
        <v>0</v>
      </c>
      <c r="K174" s="718">
        <v>0</v>
      </c>
    </row>
    <row r="175" spans="1:11" x14ac:dyDescent="0.35">
      <c r="A175" s="715" t="s">
        <v>1532</v>
      </c>
      <c r="B175" s="716">
        <v>58.75</v>
      </c>
      <c r="C175" s="717">
        <v>0</v>
      </c>
      <c r="D175" s="717">
        <v>0</v>
      </c>
      <c r="E175" s="716">
        <v>58.75</v>
      </c>
      <c r="F175" s="716">
        <v>0</v>
      </c>
      <c r="G175" s="716">
        <v>58.75</v>
      </c>
      <c r="H175" s="719">
        <v>0</v>
      </c>
      <c r="I175" s="718">
        <v>0</v>
      </c>
      <c r="J175" s="718">
        <v>0</v>
      </c>
      <c r="K175" s="718">
        <v>0</v>
      </c>
    </row>
    <row r="176" spans="1:11" x14ac:dyDescent="0.35">
      <c r="A176" s="715" t="s">
        <v>1620</v>
      </c>
      <c r="B176" s="716">
        <v>145</v>
      </c>
      <c r="C176" s="717">
        <v>0</v>
      </c>
      <c r="D176" s="717">
        <v>0</v>
      </c>
      <c r="E176" s="716">
        <v>145</v>
      </c>
      <c r="F176" s="716">
        <v>0</v>
      </c>
      <c r="G176" s="716">
        <v>145</v>
      </c>
      <c r="H176" s="719">
        <v>0</v>
      </c>
      <c r="I176" s="718">
        <v>0</v>
      </c>
      <c r="J176" s="718">
        <v>0</v>
      </c>
      <c r="K176" s="718">
        <v>0</v>
      </c>
    </row>
    <row r="177" spans="1:11" x14ac:dyDescent="0.35">
      <c r="A177" s="715" t="s">
        <v>1533</v>
      </c>
      <c r="B177" s="716">
        <v>26.5</v>
      </c>
      <c r="C177" s="717">
        <v>0</v>
      </c>
      <c r="D177" s="717">
        <v>0</v>
      </c>
      <c r="E177" s="716">
        <v>26.5</v>
      </c>
      <c r="F177" s="716">
        <v>0</v>
      </c>
      <c r="G177" s="716">
        <v>26.5</v>
      </c>
      <c r="H177" s="719">
        <v>0</v>
      </c>
      <c r="I177" s="718">
        <v>0</v>
      </c>
      <c r="J177" s="718">
        <v>0</v>
      </c>
      <c r="K177" s="718">
        <v>0</v>
      </c>
    </row>
    <row r="178" spans="1:11" x14ac:dyDescent="0.35">
      <c r="A178" s="715" t="s">
        <v>1622</v>
      </c>
      <c r="B178" s="716">
        <v>160</v>
      </c>
      <c r="C178" s="717">
        <v>0</v>
      </c>
      <c r="D178" s="717">
        <v>0</v>
      </c>
      <c r="E178" s="716">
        <v>160</v>
      </c>
      <c r="F178" s="716">
        <v>0</v>
      </c>
      <c r="G178" s="716">
        <v>160</v>
      </c>
      <c r="H178" s="719">
        <v>0</v>
      </c>
      <c r="I178" s="718">
        <v>0</v>
      </c>
      <c r="J178" s="718">
        <v>0</v>
      </c>
      <c r="K178" s="718">
        <v>0</v>
      </c>
    </row>
    <row r="179" spans="1:11" x14ac:dyDescent="0.35">
      <c r="A179" s="715" t="s">
        <v>1534</v>
      </c>
      <c r="B179" s="716">
        <v>30.75</v>
      </c>
      <c r="C179" s="717">
        <v>0</v>
      </c>
      <c r="D179" s="717">
        <v>0</v>
      </c>
      <c r="E179" s="716">
        <v>30.75</v>
      </c>
      <c r="F179" s="716">
        <v>0</v>
      </c>
      <c r="G179" s="716">
        <v>30.75</v>
      </c>
      <c r="H179" s="719">
        <v>0</v>
      </c>
      <c r="I179" s="718">
        <v>0</v>
      </c>
      <c r="J179" s="718">
        <v>0</v>
      </c>
      <c r="K179" s="718">
        <v>0</v>
      </c>
    </row>
    <row r="180" spans="1:11" x14ac:dyDescent="0.35">
      <c r="A180" s="715" t="s">
        <v>1624</v>
      </c>
      <c r="B180" s="716">
        <v>260</v>
      </c>
      <c r="C180" s="717">
        <v>0</v>
      </c>
      <c r="D180" s="717">
        <v>0</v>
      </c>
      <c r="E180" s="716">
        <v>260</v>
      </c>
      <c r="F180" s="716">
        <v>0</v>
      </c>
      <c r="G180" s="716">
        <v>260</v>
      </c>
      <c r="H180" s="719">
        <v>0</v>
      </c>
      <c r="I180" s="718">
        <v>0</v>
      </c>
      <c r="J180" s="718">
        <v>0</v>
      </c>
      <c r="K180" s="718">
        <v>0</v>
      </c>
    </row>
    <row r="181" spans="1:11" x14ac:dyDescent="0.35">
      <c r="A181" s="715" t="s">
        <v>1535</v>
      </c>
      <c r="B181" s="716">
        <v>33</v>
      </c>
      <c r="C181" s="717">
        <v>0</v>
      </c>
      <c r="D181" s="717">
        <v>0</v>
      </c>
      <c r="E181" s="716">
        <v>33</v>
      </c>
      <c r="F181" s="716">
        <v>0</v>
      </c>
      <c r="G181" s="716">
        <v>33</v>
      </c>
      <c r="H181" s="719">
        <v>0</v>
      </c>
      <c r="I181" s="718">
        <v>0</v>
      </c>
      <c r="J181" s="718">
        <v>0</v>
      </c>
      <c r="K181" s="718">
        <v>0</v>
      </c>
    </row>
    <row r="182" spans="1:11" x14ac:dyDescent="0.35">
      <c r="A182" s="715" t="s">
        <v>1626</v>
      </c>
      <c r="B182" s="716">
        <v>25.5</v>
      </c>
      <c r="C182" s="717">
        <v>0</v>
      </c>
      <c r="D182" s="717">
        <v>0</v>
      </c>
      <c r="E182" s="716">
        <v>25.5</v>
      </c>
      <c r="F182" s="716">
        <v>0</v>
      </c>
      <c r="G182" s="716">
        <v>25.5</v>
      </c>
      <c r="H182" s="719">
        <v>0</v>
      </c>
      <c r="I182" s="718">
        <v>0</v>
      </c>
      <c r="J182" s="718">
        <v>0</v>
      </c>
      <c r="K182" s="718">
        <v>0</v>
      </c>
    </row>
    <row r="183" spans="1:11" x14ac:dyDescent="0.35">
      <c r="A183" s="715" t="s">
        <v>1536</v>
      </c>
      <c r="B183" s="716">
        <v>33.75</v>
      </c>
      <c r="C183" s="717">
        <v>0</v>
      </c>
      <c r="D183" s="717">
        <v>0</v>
      </c>
      <c r="E183" s="716">
        <v>33.75</v>
      </c>
      <c r="F183" s="716">
        <v>0</v>
      </c>
      <c r="G183" s="716">
        <v>33.75</v>
      </c>
      <c r="H183" s="719">
        <v>0</v>
      </c>
      <c r="I183" s="718">
        <v>0</v>
      </c>
      <c r="J183" s="718">
        <v>0</v>
      </c>
      <c r="K183" s="718">
        <v>0</v>
      </c>
    </row>
    <row r="184" spans="1:11" x14ac:dyDescent="0.35">
      <c r="A184" s="715" t="s">
        <v>1628</v>
      </c>
      <c r="B184" s="716">
        <v>25.5</v>
      </c>
      <c r="C184" s="717">
        <v>0</v>
      </c>
      <c r="D184" s="717">
        <v>0</v>
      </c>
      <c r="E184" s="716">
        <v>25.5</v>
      </c>
      <c r="F184" s="716">
        <v>0</v>
      </c>
      <c r="G184" s="716">
        <v>25.5</v>
      </c>
      <c r="H184" s="719">
        <v>0</v>
      </c>
      <c r="I184" s="718">
        <v>0</v>
      </c>
      <c r="J184" s="718">
        <v>0</v>
      </c>
      <c r="K184" s="718">
        <v>0</v>
      </c>
    </row>
    <row r="185" spans="1:11" x14ac:dyDescent="0.35">
      <c r="A185" s="715" t="s">
        <v>1537</v>
      </c>
      <c r="B185" s="716">
        <v>255</v>
      </c>
      <c r="C185" s="717">
        <v>0</v>
      </c>
      <c r="D185" s="717">
        <v>0</v>
      </c>
      <c r="E185" s="716">
        <v>255</v>
      </c>
      <c r="F185" s="716">
        <v>0</v>
      </c>
      <c r="G185" s="716">
        <v>255</v>
      </c>
      <c r="H185" s="719">
        <v>0</v>
      </c>
      <c r="I185" s="718">
        <v>0</v>
      </c>
      <c r="J185" s="718">
        <v>0</v>
      </c>
      <c r="K185" s="718">
        <v>0</v>
      </c>
    </row>
    <row r="186" spans="1:11" x14ac:dyDescent="0.35">
      <c r="A186" s="715" t="s">
        <v>1630</v>
      </c>
      <c r="B186" s="716">
        <v>230</v>
      </c>
      <c r="C186" s="717">
        <v>0</v>
      </c>
      <c r="D186" s="717">
        <v>0</v>
      </c>
      <c r="E186" s="716">
        <v>230</v>
      </c>
      <c r="F186" s="716">
        <v>0</v>
      </c>
      <c r="G186" s="716">
        <v>230</v>
      </c>
      <c r="H186" s="719">
        <v>0</v>
      </c>
      <c r="I186" s="718">
        <v>0</v>
      </c>
      <c r="J186" s="718">
        <v>0</v>
      </c>
      <c r="K186" s="718">
        <v>0</v>
      </c>
    </row>
    <row r="187" spans="1:11" x14ac:dyDescent="0.35">
      <c r="A187" s="715" t="s">
        <v>1538</v>
      </c>
      <c r="B187" s="716">
        <v>275</v>
      </c>
      <c r="C187" s="717">
        <v>0</v>
      </c>
      <c r="D187" s="717">
        <v>0</v>
      </c>
      <c r="E187" s="716">
        <v>275</v>
      </c>
      <c r="F187" s="716">
        <v>0</v>
      </c>
      <c r="G187" s="716">
        <v>275</v>
      </c>
      <c r="H187" s="719">
        <v>0</v>
      </c>
      <c r="I187" s="718">
        <v>0</v>
      </c>
      <c r="J187" s="718">
        <v>0</v>
      </c>
      <c r="K187" s="718">
        <v>0</v>
      </c>
    </row>
    <row r="188" spans="1:11" x14ac:dyDescent="0.35">
      <c r="A188" s="715" t="s">
        <v>1632</v>
      </c>
      <c r="B188" s="716">
        <v>1.05</v>
      </c>
      <c r="C188" s="717">
        <v>0</v>
      </c>
      <c r="D188" s="717">
        <v>0</v>
      </c>
      <c r="E188" s="716">
        <v>1.05</v>
      </c>
      <c r="F188" s="716">
        <v>0</v>
      </c>
      <c r="G188" s="716">
        <v>1.05</v>
      </c>
      <c r="H188" s="719">
        <v>0</v>
      </c>
      <c r="I188" s="718">
        <v>0</v>
      </c>
      <c r="J188" s="718">
        <v>0</v>
      </c>
      <c r="K188" s="718">
        <v>0</v>
      </c>
    </row>
    <row r="189" spans="1:11" x14ac:dyDescent="0.35">
      <c r="A189" s="715" t="s">
        <v>1539</v>
      </c>
      <c r="B189" s="716">
        <v>320</v>
      </c>
      <c r="C189" s="717">
        <v>0</v>
      </c>
      <c r="D189" s="717">
        <v>0</v>
      </c>
      <c r="E189" s="716">
        <v>320</v>
      </c>
      <c r="F189" s="716">
        <v>0</v>
      </c>
      <c r="G189" s="716">
        <v>320</v>
      </c>
      <c r="H189" s="719">
        <v>0</v>
      </c>
      <c r="I189" s="718">
        <v>0</v>
      </c>
      <c r="J189" s="718">
        <v>0</v>
      </c>
      <c r="K189" s="718">
        <v>0</v>
      </c>
    </row>
    <row r="190" spans="1:11" x14ac:dyDescent="0.35">
      <c r="A190" s="715" t="s">
        <v>1634</v>
      </c>
      <c r="B190" s="716">
        <v>210</v>
      </c>
      <c r="C190" s="717">
        <v>0</v>
      </c>
      <c r="D190" s="717">
        <v>0</v>
      </c>
      <c r="E190" s="716">
        <v>210</v>
      </c>
      <c r="F190" s="716">
        <v>0</v>
      </c>
      <c r="G190" s="716">
        <v>210</v>
      </c>
      <c r="H190" s="719">
        <v>0</v>
      </c>
      <c r="I190" s="718">
        <v>0</v>
      </c>
      <c r="J190" s="718">
        <v>0</v>
      </c>
      <c r="K190" s="718">
        <v>0</v>
      </c>
    </row>
    <row r="191" spans="1:11" x14ac:dyDescent="0.35">
      <c r="A191" s="715" t="s">
        <v>1540</v>
      </c>
      <c r="B191" s="716">
        <v>330</v>
      </c>
      <c r="C191" s="717">
        <v>0</v>
      </c>
      <c r="D191" s="717">
        <v>0</v>
      </c>
      <c r="E191" s="716">
        <v>330</v>
      </c>
      <c r="F191" s="716">
        <v>0</v>
      </c>
      <c r="G191" s="716">
        <v>330</v>
      </c>
      <c r="H191" s="719">
        <v>0</v>
      </c>
      <c r="I191" s="718">
        <v>0</v>
      </c>
      <c r="J191" s="718">
        <v>0</v>
      </c>
      <c r="K191" s="718">
        <v>0</v>
      </c>
    </row>
    <row r="192" spans="1:11" x14ac:dyDescent="0.35">
      <c r="A192" s="715" t="s">
        <v>1735</v>
      </c>
      <c r="B192" s="716">
        <v>2.65</v>
      </c>
      <c r="C192" s="717">
        <v>0</v>
      </c>
      <c r="D192" s="717">
        <v>0</v>
      </c>
      <c r="E192" s="716">
        <v>2.65</v>
      </c>
      <c r="F192" s="716">
        <v>0</v>
      </c>
      <c r="G192" s="716">
        <v>2.65</v>
      </c>
      <c r="H192" s="719">
        <v>0</v>
      </c>
      <c r="I192" s="718">
        <v>0</v>
      </c>
      <c r="J192" s="718">
        <v>0</v>
      </c>
      <c r="K192" s="718">
        <v>0</v>
      </c>
    </row>
    <row r="193" spans="1:11" x14ac:dyDescent="0.35">
      <c r="A193" s="715" t="s">
        <v>1541</v>
      </c>
      <c r="B193" s="716">
        <v>25.5</v>
      </c>
      <c r="C193" s="717">
        <v>0</v>
      </c>
      <c r="D193" s="717">
        <v>0</v>
      </c>
      <c r="E193" s="716">
        <v>25.5</v>
      </c>
      <c r="F193" s="716">
        <v>0</v>
      </c>
      <c r="G193" s="716">
        <v>25.5</v>
      </c>
      <c r="H193" s="719">
        <v>0</v>
      </c>
      <c r="I193" s="718">
        <v>0</v>
      </c>
      <c r="J193" s="718">
        <v>0</v>
      </c>
      <c r="K193" s="718">
        <v>0</v>
      </c>
    </row>
    <row r="194" spans="1:11" x14ac:dyDescent="0.35">
      <c r="A194" s="715" t="s">
        <v>1736</v>
      </c>
      <c r="B194" s="716">
        <v>2.65</v>
      </c>
      <c r="C194" s="717">
        <v>0</v>
      </c>
      <c r="D194" s="717">
        <v>0</v>
      </c>
      <c r="E194" s="716">
        <v>2.65</v>
      </c>
      <c r="F194" s="716">
        <v>0</v>
      </c>
      <c r="G194" s="716">
        <v>2.65</v>
      </c>
      <c r="H194" s="719">
        <v>0</v>
      </c>
      <c r="I194" s="718">
        <v>0</v>
      </c>
      <c r="J194" s="718">
        <v>0</v>
      </c>
      <c r="K194" s="718">
        <v>0</v>
      </c>
    </row>
    <row r="195" spans="1:11" x14ac:dyDescent="0.35">
      <c r="A195" s="715" t="s">
        <v>1542</v>
      </c>
      <c r="B195" s="716">
        <v>19</v>
      </c>
      <c r="C195" s="717">
        <v>0</v>
      </c>
      <c r="D195" s="717">
        <v>0</v>
      </c>
      <c r="E195" s="716">
        <v>19</v>
      </c>
      <c r="F195" s="716">
        <v>0</v>
      </c>
      <c r="G195" s="716">
        <v>19</v>
      </c>
      <c r="H195" s="719">
        <v>0</v>
      </c>
      <c r="I195" s="718">
        <v>0</v>
      </c>
      <c r="J195" s="718">
        <v>0</v>
      </c>
      <c r="K195" s="718">
        <v>0</v>
      </c>
    </row>
    <row r="196" spans="1:11" x14ac:dyDescent="0.35">
      <c r="A196" s="715" t="s">
        <v>1756</v>
      </c>
      <c r="B196" s="716">
        <v>19</v>
      </c>
      <c r="C196" s="717">
        <v>0</v>
      </c>
      <c r="D196" s="717">
        <v>0</v>
      </c>
      <c r="E196" s="716">
        <v>19</v>
      </c>
      <c r="F196" s="716">
        <v>0</v>
      </c>
      <c r="G196" s="716">
        <v>19</v>
      </c>
      <c r="H196" s="719">
        <v>0</v>
      </c>
      <c r="I196" s="718">
        <v>0</v>
      </c>
      <c r="J196" s="718">
        <v>0</v>
      </c>
      <c r="K196" s="718">
        <v>0</v>
      </c>
    </row>
    <row r="197" spans="1:11" x14ac:dyDescent="0.35">
      <c r="A197" s="715" t="s">
        <v>1543</v>
      </c>
      <c r="B197" s="716">
        <v>185</v>
      </c>
      <c r="C197" s="717">
        <v>0</v>
      </c>
      <c r="D197" s="717">
        <v>0</v>
      </c>
      <c r="E197" s="716">
        <v>185</v>
      </c>
      <c r="F197" s="716">
        <v>0</v>
      </c>
      <c r="G197" s="716">
        <v>185</v>
      </c>
      <c r="H197" s="719">
        <v>0</v>
      </c>
      <c r="I197" s="718">
        <v>0</v>
      </c>
      <c r="J197" s="718">
        <v>0</v>
      </c>
      <c r="K197" s="718">
        <v>0</v>
      </c>
    </row>
    <row r="198" spans="1:11" x14ac:dyDescent="0.35">
      <c r="A198" s="715" t="s">
        <v>1759</v>
      </c>
      <c r="B198" s="716">
        <v>15.5</v>
      </c>
      <c r="C198" s="717">
        <v>0</v>
      </c>
      <c r="D198" s="717">
        <v>0</v>
      </c>
      <c r="E198" s="716">
        <v>15.5</v>
      </c>
      <c r="F198" s="716">
        <v>0</v>
      </c>
      <c r="G198" s="716">
        <v>10.5</v>
      </c>
      <c r="H198" s="719">
        <v>0</v>
      </c>
      <c r="I198" s="718">
        <v>0</v>
      </c>
      <c r="J198" s="718">
        <v>0</v>
      </c>
      <c r="K198" s="718">
        <v>0</v>
      </c>
    </row>
    <row r="199" spans="1:11" x14ac:dyDescent="0.35">
      <c r="A199" s="715" t="s">
        <v>1544</v>
      </c>
      <c r="B199" s="716">
        <v>85</v>
      </c>
      <c r="C199" s="717">
        <v>0</v>
      </c>
      <c r="D199" s="717">
        <v>0</v>
      </c>
      <c r="E199" s="716">
        <v>85</v>
      </c>
      <c r="F199" s="716">
        <v>0</v>
      </c>
      <c r="G199" s="716">
        <v>85</v>
      </c>
      <c r="H199" s="719">
        <v>0</v>
      </c>
      <c r="I199" s="718">
        <v>0</v>
      </c>
      <c r="J199" s="718">
        <v>0</v>
      </c>
      <c r="K199" s="718">
        <v>0</v>
      </c>
    </row>
    <row r="200" spans="1:11" x14ac:dyDescent="0.35">
      <c r="A200" s="715" t="s">
        <v>1761</v>
      </c>
      <c r="B200" s="716">
        <v>10.5</v>
      </c>
      <c r="C200" s="717">
        <v>0</v>
      </c>
      <c r="D200" s="717">
        <v>0</v>
      </c>
      <c r="E200" s="716">
        <v>10.5</v>
      </c>
      <c r="F200" s="716">
        <v>0</v>
      </c>
      <c r="G200" s="716">
        <v>10.5</v>
      </c>
      <c r="H200" s="719">
        <v>0</v>
      </c>
      <c r="I200" s="718">
        <v>0</v>
      </c>
      <c r="J200" s="718">
        <v>0</v>
      </c>
      <c r="K200" s="718">
        <v>0</v>
      </c>
    </row>
    <row r="201" spans="1:11" x14ac:dyDescent="0.35">
      <c r="A201" s="715" t="s">
        <v>1545</v>
      </c>
      <c r="B201" s="716">
        <v>8.5</v>
      </c>
      <c r="C201" s="717">
        <v>0</v>
      </c>
      <c r="D201" s="717">
        <v>0</v>
      </c>
      <c r="E201" s="716">
        <v>8.5</v>
      </c>
      <c r="F201" s="716">
        <v>0</v>
      </c>
      <c r="G201" s="716">
        <v>8.5</v>
      </c>
      <c r="H201" s="719">
        <v>0</v>
      </c>
      <c r="I201" s="718">
        <v>0</v>
      </c>
      <c r="J201" s="718">
        <v>0</v>
      </c>
      <c r="K201" s="718">
        <v>0</v>
      </c>
    </row>
    <row r="202" spans="1:11" x14ac:dyDescent="0.35">
      <c r="A202" s="715" t="s">
        <v>1763</v>
      </c>
      <c r="B202" s="716">
        <v>17</v>
      </c>
      <c r="C202" s="717">
        <v>0</v>
      </c>
      <c r="D202" s="717">
        <v>0</v>
      </c>
      <c r="E202" s="716">
        <v>17</v>
      </c>
      <c r="F202" s="716">
        <v>0</v>
      </c>
      <c r="G202" s="716">
        <v>17</v>
      </c>
      <c r="H202" s="719">
        <v>0</v>
      </c>
      <c r="I202" s="718">
        <v>0</v>
      </c>
      <c r="J202" s="718">
        <v>0</v>
      </c>
      <c r="K202" s="718">
        <v>0</v>
      </c>
    </row>
    <row r="203" spans="1:11" x14ac:dyDescent="0.35">
      <c r="A203" s="715" t="s">
        <v>1546</v>
      </c>
      <c r="B203" s="716">
        <v>1.65</v>
      </c>
      <c r="C203" s="717">
        <v>0</v>
      </c>
      <c r="D203" s="717">
        <v>0</v>
      </c>
      <c r="E203" s="716">
        <v>1.65</v>
      </c>
      <c r="F203" s="716">
        <v>0</v>
      </c>
      <c r="G203" s="716">
        <v>1.65</v>
      </c>
      <c r="H203" s="719">
        <v>0</v>
      </c>
      <c r="I203" s="718"/>
      <c r="J203" s="718"/>
      <c r="K203" s="718"/>
    </row>
    <row r="204" spans="1:11" x14ac:dyDescent="0.35">
      <c r="A204" s="715" t="s">
        <v>1766</v>
      </c>
      <c r="B204" s="716">
        <v>21.25</v>
      </c>
      <c r="C204" s="717">
        <v>0</v>
      </c>
      <c r="D204" s="717">
        <v>0</v>
      </c>
      <c r="E204" s="716">
        <v>21.25</v>
      </c>
      <c r="F204" s="716">
        <v>0</v>
      </c>
      <c r="G204" s="716">
        <v>21.25</v>
      </c>
      <c r="H204" s="719">
        <v>0</v>
      </c>
      <c r="I204" s="718">
        <v>0</v>
      </c>
      <c r="J204" s="718">
        <v>0</v>
      </c>
      <c r="K204" s="718">
        <v>0</v>
      </c>
    </row>
    <row r="205" spans="1:11" x14ac:dyDescent="0.35">
      <c r="A205" s="715" t="s">
        <v>1547</v>
      </c>
      <c r="B205" s="716">
        <v>4.45</v>
      </c>
      <c r="C205" s="717">
        <v>0</v>
      </c>
      <c r="D205" s="717">
        <v>0</v>
      </c>
      <c r="E205" s="716">
        <v>4.45</v>
      </c>
      <c r="F205" s="716">
        <v>0</v>
      </c>
      <c r="G205" s="716">
        <v>4.45</v>
      </c>
      <c r="H205" s="719">
        <v>0</v>
      </c>
      <c r="I205" s="718">
        <v>0</v>
      </c>
      <c r="J205" s="718">
        <v>0</v>
      </c>
      <c r="K205" s="718">
        <v>0</v>
      </c>
    </row>
    <row r="206" spans="1:11" x14ac:dyDescent="0.35">
      <c r="A206" s="715" t="s">
        <v>1768</v>
      </c>
      <c r="B206" s="716">
        <v>16.25</v>
      </c>
      <c r="C206" s="717">
        <v>0</v>
      </c>
      <c r="D206" s="717">
        <v>0</v>
      </c>
      <c r="E206" s="716">
        <v>16.25</v>
      </c>
      <c r="F206" s="716">
        <v>0</v>
      </c>
      <c r="G206" s="716">
        <v>16.25</v>
      </c>
      <c r="H206" s="719">
        <v>0</v>
      </c>
      <c r="I206" s="718">
        <v>0</v>
      </c>
      <c r="J206" s="718">
        <v>0</v>
      </c>
      <c r="K206" s="718">
        <v>0</v>
      </c>
    </row>
    <row r="207" spans="1:11" x14ac:dyDescent="0.35">
      <c r="A207" s="715" t="s">
        <v>1548</v>
      </c>
      <c r="B207" s="716">
        <v>5.55</v>
      </c>
      <c r="C207" s="717">
        <v>0</v>
      </c>
      <c r="D207" s="717">
        <v>0</v>
      </c>
      <c r="E207" s="716">
        <v>5.55</v>
      </c>
      <c r="F207" s="716">
        <v>0</v>
      </c>
      <c r="G207" s="716">
        <v>5.55</v>
      </c>
      <c r="H207" s="719">
        <v>0</v>
      </c>
      <c r="I207" s="718">
        <v>0</v>
      </c>
      <c r="J207" s="718">
        <v>0</v>
      </c>
      <c r="K207" s="718">
        <v>0</v>
      </c>
    </row>
    <row r="208" spans="1:11" x14ac:dyDescent="0.35">
      <c r="A208" s="715" t="s">
        <v>1770</v>
      </c>
      <c r="B208" s="716">
        <v>22.75</v>
      </c>
      <c r="C208" s="717">
        <v>0</v>
      </c>
      <c r="D208" s="717">
        <v>0</v>
      </c>
      <c r="E208" s="716">
        <v>22.75</v>
      </c>
      <c r="F208" s="716">
        <v>0</v>
      </c>
      <c r="G208" s="716">
        <v>22.75</v>
      </c>
      <c r="H208" s="719">
        <v>0</v>
      </c>
      <c r="I208" s="718">
        <v>0</v>
      </c>
      <c r="J208" s="718">
        <v>0</v>
      </c>
      <c r="K208" s="718">
        <v>0</v>
      </c>
    </row>
    <row r="209" spans="1:11" x14ac:dyDescent="0.35">
      <c r="A209" s="715" t="s">
        <v>1549</v>
      </c>
      <c r="B209" s="716">
        <v>16.75</v>
      </c>
      <c r="C209" s="717">
        <v>0</v>
      </c>
      <c r="D209" s="717">
        <v>0</v>
      </c>
      <c r="E209" s="716">
        <v>16.75</v>
      </c>
      <c r="F209" s="716">
        <v>0</v>
      </c>
      <c r="G209" s="716">
        <v>16.75</v>
      </c>
      <c r="H209" s="719">
        <v>0</v>
      </c>
      <c r="I209" s="718">
        <v>0</v>
      </c>
      <c r="J209" s="718">
        <v>0</v>
      </c>
      <c r="K209" s="718">
        <v>0</v>
      </c>
    </row>
    <row r="210" spans="1:11" x14ac:dyDescent="0.35">
      <c r="A210" s="715" t="s">
        <v>1773</v>
      </c>
      <c r="B210" s="716">
        <v>6.2</v>
      </c>
      <c r="C210" s="717">
        <v>0</v>
      </c>
      <c r="D210" s="717">
        <v>0</v>
      </c>
      <c r="E210" s="716">
        <v>6.2</v>
      </c>
      <c r="F210" s="716">
        <v>0</v>
      </c>
      <c r="G210" s="716">
        <v>6.2</v>
      </c>
      <c r="H210" s="719">
        <v>0</v>
      </c>
      <c r="I210" s="718">
        <v>0</v>
      </c>
      <c r="J210" s="718">
        <v>0</v>
      </c>
      <c r="K210" s="718">
        <v>0</v>
      </c>
    </row>
    <row r="211" spans="1:11" x14ac:dyDescent="0.35">
      <c r="A211" s="715" t="s">
        <v>1550</v>
      </c>
      <c r="B211" s="716">
        <v>6.6</v>
      </c>
      <c r="C211" s="717">
        <v>0</v>
      </c>
      <c r="D211" s="717">
        <v>0</v>
      </c>
      <c r="E211" s="716">
        <v>6.6</v>
      </c>
      <c r="F211" s="716">
        <v>0</v>
      </c>
      <c r="G211" s="716">
        <v>6.6</v>
      </c>
      <c r="H211" s="719">
        <v>0</v>
      </c>
      <c r="I211" s="718">
        <v>0</v>
      </c>
      <c r="J211" s="718">
        <v>0</v>
      </c>
      <c r="K211" s="718">
        <v>0</v>
      </c>
    </row>
    <row r="212" spans="1:11" x14ac:dyDescent="0.35">
      <c r="A212" s="715" t="s">
        <v>1775</v>
      </c>
      <c r="B212" s="716">
        <v>15.5</v>
      </c>
      <c r="C212" s="717">
        <v>0</v>
      </c>
      <c r="D212" s="717">
        <v>0</v>
      </c>
      <c r="E212" s="716">
        <v>15.5</v>
      </c>
      <c r="F212" s="716">
        <v>0</v>
      </c>
      <c r="G212" s="716">
        <v>15.5</v>
      </c>
      <c r="H212" s="719">
        <v>0</v>
      </c>
      <c r="I212" s="718">
        <v>0</v>
      </c>
      <c r="J212" s="718">
        <v>0</v>
      </c>
      <c r="K212" s="718">
        <v>0</v>
      </c>
    </row>
    <row r="213" spans="1:11" x14ac:dyDescent="0.35">
      <c r="A213" s="715" t="s">
        <v>1551</v>
      </c>
      <c r="B213" s="716">
        <v>8.8000000000000007</v>
      </c>
      <c r="C213" s="717">
        <v>0</v>
      </c>
      <c r="D213" s="717">
        <v>0</v>
      </c>
      <c r="E213" s="716">
        <v>8.8000000000000007</v>
      </c>
      <c r="F213" s="716">
        <v>0</v>
      </c>
      <c r="G213" s="716">
        <v>8.8000000000000007</v>
      </c>
      <c r="H213" s="719">
        <v>0</v>
      </c>
      <c r="I213" s="718">
        <v>0</v>
      </c>
      <c r="J213" s="718">
        <v>0</v>
      </c>
      <c r="K213" s="718">
        <v>0</v>
      </c>
    </row>
    <row r="214" spans="1:11" x14ac:dyDescent="0.35">
      <c r="A214" s="715" t="s">
        <v>1778</v>
      </c>
      <c r="B214" s="716">
        <v>12</v>
      </c>
      <c r="C214" s="717">
        <v>0</v>
      </c>
      <c r="D214" s="717">
        <v>0</v>
      </c>
      <c r="E214" s="716">
        <v>12</v>
      </c>
      <c r="F214" s="716">
        <v>0</v>
      </c>
      <c r="G214" s="716">
        <v>12</v>
      </c>
      <c r="H214" s="719">
        <v>0</v>
      </c>
      <c r="I214" s="718">
        <v>0</v>
      </c>
      <c r="J214" s="718">
        <v>0</v>
      </c>
      <c r="K214" s="718">
        <v>0</v>
      </c>
    </row>
    <row r="215" spans="1:11" x14ac:dyDescent="0.35">
      <c r="A215" s="715" t="s">
        <v>1552</v>
      </c>
      <c r="B215" s="716">
        <v>16.75</v>
      </c>
      <c r="C215" s="717">
        <v>0</v>
      </c>
      <c r="D215" s="717">
        <v>0</v>
      </c>
      <c r="E215" s="716">
        <v>16.75</v>
      </c>
      <c r="F215" s="716">
        <v>0</v>
      </c>
      <c r="G215" s="716">
        <v>16.75</v>
      </c>
      <c r="H215" s="719">
        <v>0</v>
      </c>
      <c r="I215" s="718">
        <v>0</v>
      </c>
      <c r="J215" s="718">
        <v>0</v>
      </c>
      <c r="K215" s="718">
        <v>0</v>
      </c>
    </row>
    <row r="216" spans="1:11" x14ac:dyDescent="0.35">
      <c r="A216" s="715" t="s">
        <v>1780</v>
      </c>
      <c r="B216" s="716">
        <v>7.95</v>
      </c>
      <c r="C216" s="717">
        <v>0</v>
      </c>
      <c r="D216" s="717">
        <v>0</v>
      </c>
      <c r="E216" s="716">
        <v>7.95</v>
      </c>
      <c r="F216" s="716">
        <v>0</v>
      </c>
      <c r="G216" s="716">
        <v>7.95</v>
      </c>
      <c r="H216" s="719">
        <v>0</v>
      </c>
      <c r="I216" s="718">
        <v>0</v>
      </c>
      <c r="J216" s="718">
        <v>0</v>
      </c>
      <c r="K216" s="718">
        <v>0</v>
      </c>
    </row>
    <row r="217" spans="1:11" x14ac:dyDescent="0.35">
      <c r="A217" s="715" t="s">
        <v>1553</v>
      </c>
      <c r="B217" s="716">
        <v>46</v>
      </c>
      <c r="C217" s="717">
        <v>0</v>
      </c>
      <c r="D217" s="717">
        <v>0</v>
      </c>
      <c r="E217" s="716">
        <v>46</v>
      </c>
      <c r="F217" s="716">
        <v>0</v>
      </c>
      <c r="G217" s="716">
        <v>46</v>
      </c>
      <c r="H217" s="719">
        <v>0</v>
      </c>
      <c r="I217" s="718">
        <v>0</v>
      </c>
      <c r="J217" s="718">
        <v>0</v>
      </c>
      <c r="K217" s="718">
        <v>0</v>
      </c>
    </row>
    <row r="218" spans="1:11" x14ac:dyDescent="0.35">
      <c r="A218" s="715" t="s">
        <v>1827</v>
      </c>
      <c r="B218" s="716">
        <v>3.5</v>
      </c>
      <c r="C218" s="717">
        <v>0</v>
      </c>
      <c r="D218" s="717">
        <v>0</v>
      </c>
      <c r="E218" s="716">
        <v>3.5</v>
      </c>
      <c r="F218" s="716">
        <v>0</v>
      </c>
      <c r="G218" s="716">
        <v>3.5</v>
      </c>
      <c r="H218" s="719">
        <v>0</v>
      </c>
      <c r="I218" s="718">
        <v>0</v>
      </c>
      <c r="J218" s="718">
        <v>0</v>
      </c>
      <c r="K218" s="718">
        <v>0</v>
      </c>
    </row>
    <row r="219" spans="1:11" x14ac:dyDescent="0.35">
      <c r="A219" s="715" t="s">
        <v>1554</v>
      </c>
      <c r="B219" s="716">
        <v>46</v>
      </c>
      <c r="C219" s="717">
        <v>0</v>
      </c>
      <c r="D219" s="717">
        <v>0</v>
      </c>
      <c r="E219" s="716">
        <v>46</v>
      </c>
      <c r="F219" s="716">
        <v>0</v>
      </c>
      <c r="G219" s="716">
        <v>46</v>
      </c>
      <c r="H219" s="719">
        <v>0</v>
      </c>
      <c r="I219" s="718">
        <v>0</v>
      </c>
      <c r="J219" s="718">
        <v>0</v>
      </c>
      <c r="K219" s="718">
        <v>0</v>
      </c>
    </row>
    <row r="220" spans="1:11" x14ac:dyDescent="0.35">
      <c r="A220" s="715" t="s">
        <v>1829</v>
      </c>
      <c r="B220" s="716">
        <v>51</v>
      </c>
      <c r="C220" s="717">
        <v>0</v>
      </c>
      <c r="D220" s="717">
        <v>0</v>
      </c>
      <c r="E220" s="716">
        <v>51</v>
      </c>
      <c r="F220" s="716">
        <v>0</v>
      </c>
      <c r="G220" s="716">
        <v>51</v>
      </c>
      <c r="H220" s="719">
        <v>0</v>
      </c>
      <c r="I220" s="718">
        <v>0</v>
      </c>
      <c r="J220" s="718">
        <v>0</v>
      </c>
      <c r="K220" s="718">
        <v>0</v>
      </c>
    </row>
    <row r="221" spans="1:11" x14ac:dyDescent="0.35">
      <c r="A221" s="715" t="s">
        <v>1555</v>
      </c>
      <c r="B221" s="716">
        <v>16.25</v>
      </c>
      <c r="C221" s="717">
        <v>0</v>
      </c>
      <c r="D221" s="717">
        <v>0</v>
      </c>
      <c r="E221" s="716">
        <v>16.25</v>
      </c>
      <c r="F221" s="716">
        <v>0</v>
      </c>
      <c r="G221" s="716">
        <v>16.25</v>
      </c>
      <c r="H221" s="719">
        <v>0</v>
      </c>
      <c r="I221" s="718">
        <v>0</v>
      </c>
      <c r="J221" s="718">
        <v>0</v>
      </c>
      <c r="K221" s="718">
        <v>0</v>
      </c>
    </row>
    <row r="222" spans="1:11" x14ac:dyDescent="0.35">
      <c r="A222" s="715" t="s">
        <v>1831</v>
      </c>
      <c r="B222" s="716">
        <v>0</v>
      </c>
      <c r="C222" s="717">
        <v>0</v>
      </c>
      <c r="D222" s="717">
        <v>0</v>
      </c>
      <c r="E222" s="716">
        <v>0</v>
      </c>
      <c r="F222" s="716">
        <v>0</v>
      </c>
      <c r="G222" s="716">
        <v>0</v>
      </c>
      <c r="H222" s="719">
        <v>0</v>
      </c>
      <c r="I222" s="718">
        <v>0</v>
      </c>
      <c r="J222" s="718">
        <v>0</v>
      </c>
      <c r="K222" s="718">
        <v>0</v>
      </c>
    </row>
    <row r="223" spans="1:11" x14ac:dyDescent="0.35">
      <c r="A223" s="715" t="s">
        <v>1556</v>
      </c>
      <c r="B223" s="716">
        <v>16.25</v>
      </c>
      <c r="C223" s="717">
        <v>0</v>
      </c>
      <c r="D223" s="717">
        <v>0</v>
      </c>
      <c r="E223" s="716">
        <v>16.25</v>
      </c>
      <c r="F223" s="716">
        <v>0</v>
      </c>
      <c r="G223" s="716">
        <v>16.25</v>
      </c>
      <c r="H223" s="719">
        <v>0</v>
      </c>
      <c r="I223" s="718">
        <v>0</v>
      </c>
      <c r="J223" s="718">
        <v>0</v>
      </c>
      <c r="K223" s="718">
        <v>0</v>
      </c>
    </row>
    <row r="224" spans="1:11" x14ac:dyDescent="0.35">
      <c r="A224" s="715" t="s">
        <v>1833</v>
      </c>
      <c r="B224" s="716">
        <v>53</v>
      </c>
      <c r="C224" s="717">
        <v>0</v>
      </c>
      <c r="D224" s="717">
        <v>0</v>
      </c>
      <c r="E224" s="716">
        <v>53</v>
      </c>
      <c r="F224" s="716">
        <v>0</v>
      </c>
      <c r="G224" s="716">
        <v>53</v>
      </c>
      <c r="H224" s="719">
        <v>0</v>
      </c>
      <c r="I224" s="718">
        <v>0</v>
      </c>
      <c r="J224" s="718">
        <v>0</v>
      </c>
      <c r="K224" s="718">
        <v>0</v>
      </c>
    </row>
    <row r="225" spans="1:11" x14ac:dyDescent="0.35">
      <c r="A225" s="715" t="s">
        <v>1557</v>
      </c>
      <c r="B225" s="716">
        <v>10</v>
      </c>
      <c r="C225" s="717">
        <v>0</v>
      </c>
      <c r="D225" s="717">
        <v>0</v>
      </c>
      <c r="E225" s="716">
        <v>10</v>
      </c>
      <c r="F225" s="716">
        <v>0</v>
      </c>
      <c r="G225" s="716">
        <v>10</v>
      </c>
      <c r="H225" s="719">
        <v>0</v>
      </c>
      <c r="I225" s="718">
        <v>0</v>
      </c>
      <c r="J225" s="718">
        <v>0</v>
      </c>
      <c r="K225" s="718">
        <v>0</v>
      </c>
    </row>
    <row r="226" spans="1:11" x14ac:dyDescent="0.35">
      <c r="A226" s="715" t="s">
        <v>1835</v>
      </c>
      <c r="B226" s="716">
        <v>0</v>
      </c>
      <c r="C226" s="717">
        <v>0</v>
      </c>
      <c r="D226" s="717">
        <v>0</v>
      </c>
      <c r="E226" s="716">
        <v>0</v>
      </c>
      <c r="F226" s="716">
        <v>0</v>
      </c>
      <c r="G226" s="716">
        <v>0</v>
      </c>
      <c r="H226" s="719">
        <v>0</v>
      </c>
      <c r="I226" s="718">
        <v>0</v>
      </c>
      <c r="J226" s="718">
        <v>0</v>
      </c>
      <c r="K226" s="718">
        <v>0</v>
      </c>
    </row>
    <row r="227" spans="1:11" x14ac:dyDescent="0.35">
      <c r="A227" s="715" t="s">
        <v>1558</v>
      </c>
      <c r="B227" s="716">
        <v>7.6</v>
      </c>
      <c r="C227" s="717">
        <v>0</v>
      </c>
      <c r="D227" s="717">
        <v>0</v>
      </c>
      <c r="E227" s="716">
        <v>7.6</v>
      </c>
      <c r="F227" s="716">
        <v>0</v>
      </c>
      <c r="G227" s="716">
        <v>7.6</v>
      </c>
      <c r="H227" s="719">
        <v>0</v>
      </c>
      <c r="I227" s="718">
        <v>0</v>
      </c>
      <c r="J227" s="718">
        <v>0</v>
      </c>
      <c r="K227" s="718">
        <v>0</v>
      </c>
    </row>
    <row r="228" spans="1:11" x14ac:dyDescent="0.35">
      <c r="A228" s="715" t="s">
        <v>1837</v>
      </c>
      <c r="B228" s="716">
        <v>0</v>
      </c>
      <c r="C228" s="717">
        <v>0</v>
      </c>
      <c r="D228" s="717">
        <v>0</v>
      </c>
      <c r="E228" s="716">
        <v>0</v>
      </c>
      <c r="F228" s="716">
        <v>0</v>
      </c>
      <c r="G228" s="716">
        <v>0</v>
      </c>
      <c r="H228" s="719">
        <v>0</v>
      </c>
      <c r="I228" s="718">
        <v>0</v>
      </c>
      <c r="J228" s="718">
        <v>0</v>
      </c>
      <c r="K228" s="718">
        <v>0</v>
      </c>
    </row>
    <row r="229" spans="1:11" x14ac:dyDescent="0.35">
      <c r="A229" s="715" t="s">
        <v>1559</v>
      </c>
      <c r="B229" s="716">
        <v>7.6</v>
      </c>
      <c r="C229" s="717">
        <v>0</v>
      </c>
      <c r="D229" s="717">
        <v>0</v>
      </c>
      <c r="E229" s="716">
        <v>7.6</v>
      </c>
      <c r="F229" s="716">
        <v>0</v>
      </c>
      <c r="G229" s="716">
        <v>7.6</v>
      </c>
      <c r="H229" s="719">
        <v>0</v>
      </c>
      <c r="I229" s="718">
        <v>0</v>
      </c>
      <c r="J229" s="718">
        <v>0</v>
      </c>
      <c r="K229" s="718">
        <v>0</v>
      </c>
    </row>
    <row r="230" spans="1:11" x14ac:dyDescent="0.35">
      <c r="A230" s="715" t="s">
        <v>1839</v>
      </c>
      <c r="B230" s="716">
        <v>74</v>
      </c>
      <c r="C230" s="717">
        <v>0</v>
      </c>
      <c r="D230" s="717">
        <v>0</v>
      </c>
      <c r="E230" s="716">
        <v>74</v>
      </c>
      <c r="F230" s="716">
        <v>0</v>
      </c>
      <c r="G230" s="716">
        <v>74</v>
      </c>
      <c r="H230" s="719">
        <v>0</v>
      </c>
      <c r="I230" s="718">
        <v>0</v>
      </c>
      <c r="J230" s="718">
        <v>0</v>
      </c>
      <c r="K230" s="718">
        <v>0</v>
      </c>
    </row>
    <row r="231" spans="1:11" x14ac:dyDescent="0.35">
      <c r="A231" s="715" t="s">
        <v>1560</v>
      </c>
      <c r="B231" s="716">
        <v>8.8000000000000007</v>
      </c>
      <c r="C231" s="717">
        <v>0</v>
      </c>
      <c r="D231" s="717">
        <v>0</v>
      </c>
      <c r="E231" s="716">
        <v>8.8000000000000007</v>
      </c>
      <c r="F231" s="716">
        <v>0</v>
      </c>
      <c r="G231" s="716">
        <v>8.8000000000000007</v>
      </c>
      <c r="H231" s="719">
        <v>0</v>
      </c>
      <c r="I231" s="718">
        <v>0</v>
      </c>
      <c r="J231" s="718">
        <v>0</v>
      </c>
      <c r="K231" s="718">
        <v>0</v>
      </c>
    </row>
    <row r="232" spans="1:11" x14ac:dyDescent="0.35">
      <c r="A232" s="715" t="s">
        <v>1841</v>
      </c>
      <c r="B232" s="716">
        <v>27.5</v>
      </c>
      <c r="C232" s="717">
        <v>0</v>
      </c>
      <c r="D232" s="717">
        <v>0</v>
      </c>
      <c r="E232" s="716">
        <v>27.5</v>
      </c>
      <c r="F232" s="716">
        <v>0</v>
      </c>
      <c r="G232" s="716">
        <v>27.5</v>
      </c>
      <c r="H232" s="719">
        <v>0</v>
      </c>
      <c r="I232" s="718">
        <v>0</v>
      </c>
      <c r="J232" s="718">
        <v>0</v>
      </c>
      <c r="K232" s="718">
        <v>0</v>
      </c>
    </row>
    <row r="233" spans="1:11" x14ac:dyDescent="0.35">
      <c r="A233" s="715" t="s">
        <v>1561</v>
      </c>
      <c r="B233" s="716">
        <v>0</v>
      </c>
      <c r="C233" s="717">
        <v>0</v>
      </c>
      <c r="D233" s="717">
        <v>0</v>
      </c>
      <c r="E233" s="716"/>
      <c r="F233" s="716"/>
      <c r="G233" s="716"/>
      <c r="H233" s="719">
        <v>0</v>
      </c>
      <c r="I233" s="718"/>
      <c r="J233" s="718"/>
      <c r="K233" s="718"/>
    </row>
    <row r="234" spans="1:11" x14ac:dyDescent="0.35">
      <c r="A234" s="715" t="s">
        <v>2003</v>
      </c>
      <c r="B234" s="716">
        <v>13</v>
      </c>
      <c r="C234" s="717">
        <v>0</v>
      </c>
      <c r="D234" s="717">
        <v>0</v>
      </c>
      <c r="E234" s="716">
        <v>13</v>
      </c>
      <c r="F234" s="716">
        <v>0</v>
      </c>
      <c r="G234" s="716">
        <v>13</v>
      </c>
      <c r="H234" s="719">
        <v>0</v>
      </c>
      <c r="I234" s="718">
        <v>0</v>
      </c>
      <c r="J234" s="718">
        <v>0</v>
      </c>
      <c r="K234" s="718">
        <v>0</v>
      </c>
    </row>
    <row r="235" spans="1:11" x14ac:dyDescent="0.35">
      <c r="A235" s="715" t="s">
        <v>1562</v>
      </c>
      <c r="B235" s="716">
        <v>25.5</v>
      </c>
      <c r="C235" s="717">
        <v>0</v>
      </c>
      <c r="D235" s="717">
        <v>0</v>
      </c>
      <c r="E235" s="716">
        <v>25.5</v>
      </c>
      <c r="F235" s="716">
        <v>0</v>
      </c>
      <c r="G235" s="716">
        <v>25.5</v>
      </c>
      <c r="H235" s="719">
        <v>0</v>
      </c>
      <c r="I235" s="718">
        <v>0</v>
      </c>
      <c r="J235" s="718">
        <v>0</v>
      </c>
      <c r="K235" s="718">
        <v>0</v>
      </c>
    </row>
    <row r="236" spans="1:11" x14ac:dyDescent="0.35">
      <c r="A236" s="715" t="s">
        <v>1844</v>
      </c>
      <c r="B236" s="716">
        <v>0</v>
      </c>
      <c r="C236" s="717">
        <v>0</v>
      </c>
      <c r="D236" s="717">
        <v>0</v>
      </c>
      <c r="E236" s="716">
        <v>0</v>
      </c>
      <c r="F236" s="716">
        <v>0</v>
      </c>
      <c r="G236" s="716">
        <v>0</v>
      </c>
      <c r="H236" s="719">
        <v>0</v>
      </c>
      <c r="I236" s="718">
        <v>0</v>
      </c>
      <c r="J236" s="718">
        <v>0</v>
      </c>
      <c r="K236" s="718">
        <v>0</v>
      </c>
    </row>
    <row r="237" spans="1:11" x14ac:dyDescent="0.35">
      <c r="A237" s="715" t="s">
        <v>1563</v>
      </c>
      <c r="B237" s="716">
        <v>100</v>
      </c>
      <c r="C237" s="717">
        <v>0</v>
      </c>
      <c r="D237" s="717">
        <v>0</v>
      </c>
      <c r="E237" s="716">
        <v>100</v>
      </c>
      <c r="F237" s="716">
        <v>0</v>
      </c>
      <c r="G237" s="716">
        <v>100</v>
      </c>
      <c r="H237" s="719">
        <v>0</v>
      </c>
      <c r="I237" s="718">
        <v>0</v>
      </c>
      <c r="J237" s="718">
        <v>0</v>
      </c>
      <c r="K237" s="718">
        <v>0</v>
      </c>
    </row>
    <row r="238" spans="1:11" x14ac:dyDescent="0.35">
      <c r="A238" s="715" t="s">
        <v>1846</v>
      </c>
      <c r="B238" s="716">
        <v>2</v>
      </c>
      <c r="C238" s="717">
        <v>0</v>
      </c>
      <c r="D238" s="717">
        <v>0</v>
      </c>
      <c r="E238" s="716">
        <v>2</v>
      </c>
      <c r="F238" s="716">
        <v>0</v>
      </c>
      <c r="G238" s="716">
        <v>2</v>
      </c>
      <c r="H238" s="719">
        <v>0</v>
      </c>
      <c r="I238" s="718">
        <v>0</v>
      </c>
      <c r="J238" s="718">
        <v>0</v>
      </c>
      <c r="K238" s="718">
        <v>0</v>
      </c>
    </row>
    <row r="239" spans="1:11" x14ac:dyDescent="0.35">
      <c r="A239" s="715" t="s">
        <v>1564</v>
      </c>
      <c r="B239" s="716">
        <v>25.5</v>
      </c>
      <c r="C239" s="717">
        <v>0</v>
      </c>
      <c r="D239" s="717">
        <v>0</v>
      </c>
      <c r="E239" s="716">
        <v>25.5</v>
      </c>
      <c r="F239" s="716">
        <v>0</v>
      </c>
      <c r="G239" s="716">
        <v>25.5</v>
      </c>
      <c r="H239" s="719">
        <v>0</v>
      </c>
      <c r="I239" s="718">
        <v>0</v>
      </c>
      <c r="J239" s="718">
        <v>0</v>
      </c>
      <c r="K239" s="718">
        <v>0</v>
      </c>
    </row>
    <row r="240" spans="1:11" x14ac:dyDescent="0.35">
      <c r="A240" s="715" t="s">
        <v>1848</v>
      </c>
      <c r="B240" s="716">
        <v>27.5</v>
      </c>
      <c r="C240" s="717">
        <v>0</v>
      </c>
      <c r="D240" s="717">
        <v>0</v>
      </c>
      <c r="E240" s="716">
        <v>27.5</v>
      </c>
      <c r="F240" s="716">
        <v>0</v>
      </c>
      <c r="G240" s="716">
        <v>27.5</v>
      </c>
      <c r="H240" s="719">
        <v>0</v>
      </c>
      <c r="I240" s="718">
        <v>0</v>
      </c>
      <c r="J240" s="718">
        <v>0</v>
      </c>
      <c r="K240" s="718">
        <v>0</v>
      </c>
    </row>
    <row r="241" spans="1:11" x14ac:dyDescent="0.35">
      <c r="A241" s="715" t="s">
        <v>1565</v>
      </c>
      <c r="B241" s="716">
        <v>25.5</v>
      </c>
      <c r="C241" s="717">
        <v>0</v>
      </c>
      <c r="D241" s="717">
        <v>0</v>
      </c>
      <c r="E241" s="716">
        <v>25.5</v>
      </c>
      <c r="F241" s="716">
        <v>0</v>
      </c>
      <c r="G241" s="716">
        <v>25.5</v>
      </c>
      <c r="H241" s="719">
        <v>0</v>
      </c>
      <c r="I241" s="718">
        <v>0</v>
      </c>
      <c r="J241" s="718">
        <v>0</v>
      </c>
      <c r="K241" s="718">
        <v>0</v>
      </c>
    </row>
    <row r="242" spans="1:11" x14ac:dyDescent="0.35">
      <c r="A242" s="715" t="s">
        <v>1850</v>
      </c>
      <c r="B242" s="716">
        <v>0</v>
      </c>
      <c r="C242" s="717">
        <v>0</v>
      </c>
      <c r="D242" s="717">
        <v>0</v>
      </c>
      <c r="E242" s="716">
        <v>0</v>
      </c>
      <c r="F242" s="716">
        <v>0</v>
      </c>
      <c r="G242" s="716">
        <v>0</v>
      </c>
      <c r="H242" s="719">
        <v>0</v>
      </c>
      <c r="I242" s="718">
        <v>0</v>
      </c>
      <c r="J242" s="718">
        <v>0</v>
      </c>
      <c r="K242" s="718">
        <v>0</v>
      </c>
    </row>
    <row r="243" spans="1:11" x14ac:dyDescent="0.35">
      <c r="A243" s="715" t="s">
        <v>1566</v>
      </c>
      <c r="B243" s="716">
        <v>6.95</v>
      </c>
      <c r="C243" s="717">
        <v>0</v>
      </c>
      <c r="D243" s="717">
        <v>0</v>
      </c>
      <c r="E243" s="716">
        <v>6.95</v>
      </c>
      <c r="F243" s="716">
        <v>0</v>
      </c>
      <c r="G243" s="716">
        <v>6.95</v>
      </c>
      <c r="H243" s="719">
        <v>0</v>
      </c>
      <c r="I243" s="718">
        <v>0</v>
      </c>
      <c r="J243" s="718">
        <v>0</v>
      </c>
      <c r="K243" s="718">
        <v>0</v>
      </c>
    </row>
    <row r="244" spans="1:11" x14ac:dyDescent="0.35">
      <c r="A244" s="715" t="s">
        <v>1852</v>
      </c>
      <c r="B244" s="716">
        <v>0</v>
      </c>
      <c r="C244" s="717">
        <v>0</v>
      </c>
      <c r="D244" s="717">
        <v>0</v>
      </c>
      <c r="E244" s="716">
        <v>0</v>
      </c>
      <c r="F244" s="716">
        <v>0</v>
      </c>
      <c r="G244" s="716">
        <v>0</v>
      </c>
      <c r="H244" s="719">
        <v>0</v>
      </c>
      <c r="I244" s="718">
        <v>0</v>
      </c>
      <c r="J244" s="718">
        <v>0</v>
      </c>
      <c r="K244" s="718">
        <v>0</v>
      </c>
    </row>
    <row r="245" spans="1:11" x14ac:dyDescent="0.35">
      <c r="A245" s="715" t="s">
        <v>1567</v>
      </c>
      <c r="B245" s="716">
        <v>1.05</v>
      </c>
      <c r="C245" s="717">
        <v>0</v>
      </c>
      <c r="D245" s="717">
        <v>0</v>
      </c>
      <c r="E245" s="716">
        <v>1.05</v>
      </c>
      <c r="F245" s="716">
        <v>0</v>
      </c>
      <c r="G245" s="716">
        <v>1.05</v>
      </c>
      <c r="H245" s="719">
        <v>0</v>
      </c>
      <c r="I245" s="718">
        <v>0</v>
      </c>
      <c r="J245" s="718">
        <v>0</v>
      </c>
      <c r="K245" s="718">
        <v>0</v>
      </c>
    </row>
    <row r="246" spans="1:11" x14ac:dyDescent="0.35">
      <c r="A246" s="715" t="s">
        <v>1855</v>
      </c>
      <c r="B246" s="716">
        <v>0</v>
      </c>
      <c r="C246" s="717">
        <v>0</v>
      </c>
      <c r="D246" s="717">
        <v>0</v>
      </c>
      <c r="E246" s="716">
        <v>0</v>
      </c>
      <c r="F246" s="716">
        <v>0</v>
      </c>
      <c r="G246" s="716">
        <v>0</v>
      </c>
      <c r="H246" s="719">
        <v>0</v>
      </c>
      <c r="I246" s="718">
        <v>0</v>
      </c>
      <c r="J246" s="718">
        <v>0</v>
      </c>
      <c r="K246" s="718">
        <v>0</v>
      </c>
    </row>
    <row r="247" spans="1:11" x14ac:dyDescent="0.35">
      <c r="A247" s="715" t="s">
        <v>1568</v>
      </c>
      <c r="B247" s="716">
        <v>1.05</v>
      </c>
      <c r="C247" s="717">
        <v>0</v>
      </c>
      <c r="D247" s="717">
        <v>0</v>
      </c>
      <c r="E247" s="716">
        <v>1.05</v>
      </c>
      <c r="F247" s="716">
        <v>0</v>
      </c>
      <c r="G247" s="716">
        <v>1.05</v>
      </c>
      <c r="H247" s="719">
        <v>0</v>
      </c>
      <c r="I247" s="718">
        <v>0</v>
      </c>
      <c r="J247" s="718">
        <v>0</v>
      </c>
      <c r="K247" s="718">
        <v>0</v>
      </c>
    </row>
    <row r="248" spans="1:11" x14ac:dyDescent="0.35">
      <c r="A248" s="715" t="s">
        <v>1857</v>
      </c>
      <c r="B248" s="716">
        <v>120</v>
      </c>
      <c r="C248" s="717">
        <v>0</v>
      </c>
      <c r="D248" s="717">
        <v>0</v>
      </c>
      <c r="E248" s="716">
        <v>120</v>
      </c>
      <c r="F248" s="716">
        <v>0</v>
      </c>
      <c r="G248" s="716">
        <v>120</v>
      </c>
      <c r="H248" s="719">
        <v>0</v>
      </c>
      <c r="I248" s="718">
        <v>0</v>
      </c>
      <c r="J248" s="718">
        <v>0</v>
      </c>
      <c r="K248" s="718">
        <v>0</v>
      </c>
    </row>
    <row r="249" spans="1:11" x14ac:dyDescent="0.35">
      <c r="A249" s="715" t="s">
        <v>1569</v>
      </c>
      <c r="B249" s="716">
        <v>4.25</v>
      </c>
      <c r="C249" s="717">
        <v>0</v>
      </c>
      <c r="D249" s="717">
        <v>0</v>
      </c>
      <c r="E249" s="716">
        <v>4.25</v>
      </c>
      <c r="F249" s="716">
        <v>0</v>
      </c>
      <c r="G249" s="716">
        <v>4.25</v>
      </c>
      <c r="H249" s="719">
        <v>0</v>
      </c>
      <c r="I249" s="718">
        <v>0</v>
      </c>
      <c r="J249" s="718">
        <v>0</v>
      </c>
      <c r="K249" s="718">
        <v>0</v>
      </c>
    </row>
    <row r="250" spans="1:11" x14ac:dyDescent="0.35">
      <c r="A250" s="715" t="s">
        <v>1859</v>
      </c>
      <c r="B250" s="716">
        <v>0</v>
      </c>
      <c r="C250" s="717">
        <v>0</v>
      </c>
      <c r="D250" s="717">
        <v>0</v>
      </c>
      <c r="E250" s="716">
        <v>0</v>
      </c>
      <c r="F250" s="716">
        <v>0</v>
      </c>
      <c r="G250" s="716">
        <v>0</v>
      </c>
      <c r="H250" s="719">
        <v>0</v>
      </c>
      <c r="I250" s="718">
        <v>0</v>
      </c>
      <c r="J250" s="718">
        <v>0</v>
      </c>
      <c r="K250" s="718">
        <v>0</v>
      </c>
    </row>
    <row r="251" spans="1:11" x14ac:dyDescent="0.35">
      <c r="A251" s="715" t="s">
        <v>1570</v>
      </c>
      <c r="B251" s="716">
        <v>16</v>
      </c>
      <c r="C251" s="717">
        <v>0</v>
      </c>
      <c r="D251" s="717">
        <v>0</v>
      </c>
      <c r="E251" s="716">
        <v>16</v>
      </c>
      <c r="F251" s="716">
        <v>0</v>
      </c>
      <c r="G251" s="716">
        <v>16</v>
      </c>
      <c r="H251" s="719">
        <v>0</v>
      </c>
      <c r="I251" s="718">
        <v>0</v>
      </c>
      <c r="J251" s="718">
        <v>0</v>
      </c>
      <c r="K251" s="718">
        <v>0</v>
      </c>
    </row>
    <row r="252" spans="1:11" x14ac:dyDescent="0.35">
      <c r="A252" s="715" t="s">
        <v>1571</v>
      </c>
      <c r="B252" s="716">
        <v>16</v>
      </c>
      <c r="C252" s="717">
        <v>0</v>
      </c>
      <c r="D252" s="717">
        <v>0</v>
      </c>
      <c r="E252" s="716">
        <v>16</v>
      </c>
      <c r="F252" s="716">
        <v>0</v>
      </c>
      <c r="G252" s="716">
        <v>16</v>
      </c>
      <c r="H252" s="719">
        <v>0</v>
      </c>
      <c r="I252" s="718">
        <v>0</v>
      </c>
      <c r="J252" s="718">
        <v>0</v>
      </c>
      <c r="K252" s="718">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A055D-A98F-471F-B509-F6249B0520AA}">
  <sheetPr codeName="Sheet20">
    <tabColor theme="4"/>
  </sheetPr>
  <dimension ref="A1:K372"/>
  <sheetViews>
    <sheetView workbookViewId="0">
      <selection activeCell="B3" sqref="B3"/>
    </sheetView>
  </sheetViews>
  <sheetFormatPr defaultRowHeight="14.5" x14ac:dyDescent="0.35"/>
  <cols>
    <col min="1" max="1" width="64.81640625" bestFit="1" customWidth="1"/>
    <col min="2" max="2" width="11.90625" style="430" bestFit="1" customWidth="1"/>
    <col min="3" max="4" width="9.6328125" style="453" bestFit="1" customWidth="1"/>
    <col min="5" max="5" width="17.54296875" style="10" bestFit="1" customWidth="1"/>
    <col min="6" max="6" width="10.453125" style="430" bestFit="1" customWidth="1"/>
    <col min="7" max="7" width="17.54296875" style="430" bestFit="1" customWidth="1"/>
    <col min="8" max="8" width="11.54296875" style="430" bestFit="1" customWidth="1"/>
    <col min="9" max="9" width="18.90625" style="10" bestFit="1" customWidth="1"/>
    <col min="10" max="10" width="16.6328125" style="10" bestFit="1" customWidth="1"/>
    <col min="11" max="11" width="18.90625" style="10" bestFit="1" customWidth="1"/>
    <col min="12" max="13" width="18" bestFit="1" customWidth="1"/>
  </cols>
  <sheetData>
    <row r="1" spans="1:11" x14ac:dyDescent="0.35">
      <c r="A1" s="713" t="s">
        <v>1431</v>
      </c>
      <c r="B1" s="714" t="s">
        <v>1341</v>
      </c>
    </row>
    <row r="3" spans="1:11" x14ac:dyDescent="0.35">
      <c r="A3" s="713" t="s">
        <v>919</v>
      </c>
      <c r="B3" s="714" t="s">
        <v>1818</v>
      </c>
      <c r="C3" s="717" t="s">
        <v>1722</v>
      </c>
      <c r="D3" s="717" t="s">
        <v>1721</v>
      </c>
      <c r="E3" s="714" t="s">
        <v>1723</v>
      </c>
      <c r="F3" s="714" t="s">
        <v>1521</v>
      </c>
      <c r="G3" s="714" t="s">
        <v>1724</v>
      </c>
      <c r="H3" s="714" t="s">
        <v>1511</v>
      </c>
      <c r="I3" s="714" t="s">
        <v>1725</v>
      </c>
      <c r="J3" s="714" t="s">
        <v>1524</v>
      </c>
      <c r="K3" s="714" t="s">
        <v>1726</v>
      </c>
    </row>
    <row r="4" spans="1:11" x14ac:dyDescent="0.35">
      <c r="A4" s="715" t="s">
        <v>941</v>
      </c>
      <c r="B4" s="716"/>
      <c r="C4" s="717"/>
      <c r="D4" s="717"/>
      <c r="E4" s="716"/>
      <c r="F4" s="716"/>
      <c r="G4" s="716"/>
      <c r="H4" s="719"/>
      <c r="I4" s="718"/>
      <c r="J4" s="718"/>
      <c r="K4" s="718"/>
    </row>
    <row r="5" spans="1:11" x14ac:dyDescent="0.35">
      <c r="A5" s="722" t="s">
        <v>946</v>
      </c>
      <c r="B5" s="716"/>
      <c r="C5" s="717"/>
      <c r="D5" s="717"/>
      <c r="E5" s="716"/>
      <c r="F5" s="716"/>
      <c r="G5" s="716"/>
      <c r="H5" s="719"/>
      <c r="I5" s="718"/>
      <c r="J5" s="718"/>
      <c r="K5" s="718"/>
    </row>
    <row r="6" spans="1:11" x14ac:dyDescent="0.35">
      <c r="A6" s="723" t="s">
        <v>331</v>
      </c>
      <c r="B6" s="716">
        <v>7.1</v>
      </c>
      <c r="C6" s="717">
        <v>0</v>
      </c>
      <c r="D6" s="717">
        <v>0</v>
      </c>
      <c r="E6" s="716">
        <v>7.1</v>
      </c>
      <c r="F6" s="716">
        <v>0</v>
      </c>
      <c r="G6" s="716">
        <v>7.1</v>
      </c>
      <c r="H6" s="719">
        <v>0</v>
      </c>
      <c r="I6" s="718">
        <v>0</v>
      </c>
      <c r="J6" s="718">
        <v>0</v>
      </c>
      <c r="K6" s="718">
        <v>0</v>
      </c>
    </row>
    <row r="7" spans="1:11" x14ac:dyDescent="0.35">
      <c r="A7" s="723" t="s">
        <v>944</v>
      </c>
      <c r="B7" s="716">
        <v>1.1499999999999999</v>
      </c>
      <c r="C7" s="717">
        <v>0</v>
      </c>
      <c r="D7" s="717">
        <v>0</v>
      </c>
      <c r="E7" s="716">
        <v>1.1499999999999999</v>
      </c>
      <c r="F7" s="716">
        <v>0</v>
      </c>
      <c r="G7" s="716">
        <v>1.1499999999999999</v>
      </c>
      <c r="H7" s="719">
        <v>0</v>
      </c>
      <c r="I7" s="718">
        <v>0</v>
      </c>
      <c r="J7" s="718">
        <v>0</v>
      </c>
      <c r="K7" s="718">
        <v>0</v>
      </c>
    </row>
    <row r="8" spans="1:11" x14ac:dyDescent="0.35">
      <c r="A8" s="723" t="s">
        <v>333</v>
      </c>
      <c r="B8" s="716">
        <v>1.05</v>
      </c>
      <c r="C8" s="717">
        <v>0</v>
      </c>
      <c r="D8" s="717">
        <v>0</v>
      </c>
      <c r="E8" s="716">
        <v>1.05</v>
      </c>
      <c r="F8" s="716">
        <v>0</v>
      </c>
      <c r="G8" s="716">
        <v>1.05</v>
      </c>
      <c r="H8" s="719">
        <v>0</v>
      </c>
      <c r="I8" s="718">
        <v>0</v>
      </c>
      <c r="J8" s="718">
        <v>0</v>
      </c>
      <c r="K8" s="718">
        <v>0</v>
      </c>
    </row>
    <row r="9" spans="1:11" x14ac:dyDescent="0.35">
      <c r="A9" s="723" t="s">
        <v>69</v>
      </c>
      <c r="B9" s="716"/>
      <c r="C9" s="717"/>
      <c r="D9" s="717"/>
      <c r="E9" s="716"/>
      <c r="F9" s="716"/>
      <c r="G9" s="716"/>
      <c r="H9" s="719"/>
      <c r="I9" s="718"/>
      <c r="J9" s="718"/>
      <c r="K9" s="718"/>
    </row>
    <row r="10" spans="1:11" x14ac:dyDescent="0.35">
      <c r="A10" s="724" t="s">
        <v>296</v>
      </c>
      <c r="B10" s="716">
        <v>8.8000000000000007</v>
      </c>
      <c r="C10" s="717">
        <v>0</v>
      </c>
      <c r="D10" s="717">
        <v>0</v>
      </c>
      <c r="E10" s="716">
        <v>8.8000000000000007</v>
      </c>
      <c r="F10" s="716">
        <v>0</v>
      </c>
      <c r="G10" s="716">
        <v>8.8000000000000007</v>
      </c>
      <c r="H10" s="719">
        <v>0</v>
      </c>
      <c r="I10" s="718">
        <v>0</v>
      </c>
      <c r="J10" s="718">
        <v>0</v>
      </c>
      <c r="K10" s="718">
        <v>0</v>
      </c>
    </row>
    <row r="11" spans="1:11" x14ac:dyDescent="0.35">
      <c r="A11" s="724" t="s">
        <v>295</v>
      </c>
      <c r="B11" s="716">
        <v>8.8000000000000007</v>
      </c>
      <c r="C11" s="717">
        <v>0</v>
      </c>
      <c r="D11" s="717">
        <v>0</v>
      </c>
      <c r="E11" s="716">
        <v>8.8000000000000007</v>
      </c>
      <c r="F11" s="716">
        <v>0</v>
      </c>
      <c r="G11" s="716">
        <v>8.8000000000000007</v>
      </c>
      <c r="H11" s="719">
        <v>0</v>
      </c>
      <c r="I11" s="718">
        <v>0</v>
      </c>
      <c r="J11" s="718">
        <v>0</v>
      </c>
      <c r="K11" s="718">
        <v>0</v>
      </c>
    </row>
    <row r="12" spans="1:11" x14ac:dyDescent="0.35">
      <c r="A12" s="724" t="s">
        <v>294</v>
      </c>
      <c r="B12" s="716">
        <v>8.8000000000000007</v>
      </c>
      <c r="C12" s="717">
        <v>0</v>
      </c>
      <c r="D12" s="717">
        <v>0</v>
      </c>
      <c r="E12" s="716">
        <v>8.8000000000000007</v>
      </c>
      <c r="F12" s="716">
        <v>0</v>
      </c>
      <c r="G12" s="716">
        <v>8.8000000000000007</v>
      </c>
      <c r="H12" s="719">
        <v>0</v>
      </c>
      <c r="I12" s="718">
        <v>0</v>
      </c>
      <c r="J12" s="718">
        <v>0</v>
      </c>
      <c r="K12" s="718">
        <v>0</v>
      </c>
    </row>
    <row r="13" spans="1:11" x14ac:dyDescent="0.35">
      <c r="A13" s="724" t="s">
        <v>336</v>
      </c>
      <c r="B13" s="716">
        <v>6.6</v>
      </c>
      <c r="C13" s="717">
        <v>0</v>
      </c>
      <c r="D13" s="717">
        <v>0</v>
      </c>
      <c r="E13" s="716">
        <v>6.6</v>
      </c>
      <c r="F13" s="716">
        <v>0</v>
      </c>
      <c r="G13" s="716">
        <v>6.6</v>
      </c>
      <c r="H13" s="719">
        <v>0</v>
      </c>
      <c r="I13" s="718">
        <v>0</v>
      </c>
      <c r="J13" s="718">
        <v>0</v>
      </c>
      <c r="K13" s="718">
        <v>0</v>
      </c>
    </row>
    <row r="14" spans="1:11" x14ac:dyDescent="0.35">
      <c r="A14" s="723" t="s">
        <v>18</v>
      </c>
      <c r="B14" s="716">
        <v>0</v>
      </c>
      <c r="C14" s="717">
        <v>0</v>
      </c>
      <c r="D14" s="717">
        <v>0</v>
      </c>
      <c r="E14" s="716"/>
      <c r="F14" s="716"/>
      <c r="G14" s="716"/>
      <c r="H14" s="719">
        <v>0</v>
      </c>
      <c r="I14" s="718"/>
      <c r="J14" s="718"/>
      <c r="K14" s="718"/>
    </row>
    <row r="15" spans="1:11" x14ac:dyDescent="0.35">
      <c r="A15" s="715" t="s">
        <v>14</v>
      </c>
      <c r="B15" s="716"/>
      <c r="C15" s="717"/>
      <c r="D15" s="717"/>
      <c r="E15" s="716"/>
      <c r="F15" s="716"/>
      <c r="G15" s="716"/>
      <c r="H15" s="719"/>
      <c r="I15" s="718"/>
      <c r="J15" s="718"/>
      <c r="K15" s="718"/>
    </row>
    <row r="16" spans="1:11" x14ac:dyDescent="0.35">
      <c r="A16" s="722" t="s">
        <v>953</v>
      </c>
      <c r="B16" s="716"/>
      <c r="C16" s="717"/>
      <c r="D16" s="717"/>
      <c r="E16" s="716"/>
      <c r="F16" s="716"/>
      <c r="G16" s="716"/>
      <c r="H16" s="719"/>
      <c r="I16" s="718"/>
      <c r="J16" s="718"/>
      <c r="K16" s="718"/>
    </row>
    <row r="17" spans="1:11" x14ac:dyDescent="0.35">
      <c r="A17" s="723" t="s">
        <v>1514</v>
      </c>
      <c r="B17" s="716"/>
      <c r="C17" s="717"/>
      <c r="D17" s="717"/>
      <c r="E17" s="716"/>
      <c r="F17" s="716"/>
      <c r="G17" s="716"/>
      <c r="H17" s="719"/>
      <c r="I17" s="718"/>
      <c r="J17" s="718"/>
      <c r="K17" s="718"/>
    </row>
    <row r="18" spans="1:11" x14ac:dyDescent="0.35">
      <c r="A18" s="724" t="s">
        <v>1193</v>
      </c>
      <c r="B18" s="716"/>
      <c r="C18" s="717"/>
      <c r="D18" s="717"/>
      <c r="E18" s="716"/>
      <c r="F18" s="716"/>
      <c r="G18" s="716"/>
      <c r="H18" s="719"/>
      <c r="I18" s="718"/>
      <c r="J18" s="718"/>
      <c r="K18" s="718"/>
    </row>
    <row r="19" spans="1:11" x14ac:dyDescent="0.35">
      <c r="A19" s="725" t="s">
        <v>1523</v>
      </c>
      <c r="B19" s="716">
        <v>208</v>
      </c>
      <c r="C19" s="717">
        <v>0</v>
      </c>
      <c r="D19" s="717">
        <v>0</v>
      </c>
      <c r="E19" s="716">
        <v>208</v>
      </c>
      <c r="F19" s="716">
        <v>0</v>
      </c>
      <c r="G19" s="716">
        <v>208</v>
      </c>
      <c r="H19" s="719">
        <v>0</v>
      </c>
      <c r="I19" s="718">
        <v>0</v>
      </c>
      <c r="J19" s="718">
        <v>0</v>
      </c>
      <c r="K19" s="718">
        <v>0</v>
      </c>
    </row>
    <row r="20" spans="1:11" x14ac:dyDescent="0.35">
      <c r="A20" s="723" t="s">
        <v>25</v>
      </c>
      <c r="B20" s="716"/>
      <c r="C20" s="717"/>
      <c r="D20" s="717"/>
      <c r="E20" s="716"/>
      <c r="F20" s="716"/>
      <c r="G20" s="716"/>
      <c r="H20" s="719"/>
      <c r="I20" s="718"/>
      <c r="J20" s="718"/>
      <c r="K20" s="718"/>
    </row>
    <row r="21" spans="1:11" x14ac:dyDescent="0.35">
      <c r="A21" s="724" t="s">
        <v>25</v>
      </c>
      <c r="B21" s="716">
        <v>6.95</v>
      </c>
      <c r="C21" s="717">
        <v>0</v>
      </c>
      <c r="D21" s="717">
        <v>0</v>
      </c>
      <c r="E21" s="716">
        <v>6.95</v>
      </c>
      <c r="F21" s="716">
        <v>0</v>
      </c>
      <c r="G21" s="716">
        <v>6.95</v>
      </c>
      <c r="H21" s="719">
        <v>0</v>
      </c>
      <c r="I21" s="718">
        <v>0</v>
      </c>
      <c r="J21" s="718">
        <v>0</v>
      </c>
      <c r="K21" s="718">
        <v>0</v>
      </c>
    </row>
    <row r="22" spans="1:11" x14ac:dyDescent="0.35">
      <c r="A22" s="723" t="s">
        <v>851</v>
      </c>
      <c r="B22" s="716"/>
      <c r="C22" s="717"/>
      <c r="D22" s="717"/>
      <c r="E22" s="716"/>
      <c r="F22" s="716"/>
      <c r="G22" s="716"/>
      <c r="H22" s="719"/>
      <c r="I22" s="718"/>
      <c r="J22" s="718"/>
      <c r="K22" s="718"/>
    </row>
    <row r="23" spans="1:11" x14ac:dyDescent="0.35">
      <c r="A23" s="724" t="s">
        <v>851</v>
      </c>
      <c r="B23" s="716"/>
      <c r="C23" s="717"/>
      <c r="D23" s="717"/>
      <c r="E23" s="716"/>
      <c r="F23" s="716"/>
      <c r="G23" s="716"/>
      <c r="H23" s="719"/>
      <c r="I23" s="718"/>
      <c r="J23" s="718"/>
      <c r="K23" s="718"/>
    </row>
    <row r="24" spans="1:11" x14ac:dyDescent="0.35">
      <c r="A24" s="725" t="s">
        <v>2002</v>
      </c>
      <c r="B24" s="716">
        <v>55</v>
      </c>
      <c r="C24" s="717">
        <v>0</v>
      </c>
      <c r="D24" s="717">
        <v>0</v>
      </c>
      <c r="E24" s="716">
        <v>55</v>
      </c>
      <c r="F24" s="716">
        <v>0</v>
      </c>
      <c r="G24" s="716">
        <v>55</v>
      </c>
      <c r="H24" s="719">
        <v>0</v>
      </c>
      <c r="I24" s="718">
        <v>0</v>
      </c>
      <c r="J24" s="718">
        <v>0</v>
      </c>
      <c r="K24" s="718">
        <v>0</v>
      </c>
    </row>
    <row r="25" spans="1:11" x14ac:dyDescent="0.35">
      <c r="A25" s="723" t="s">
        <v>31</v>
      </c>
      <c r="B25" s="716">
        <v>25.5</v>
      </c>
      <c r="C25" s="717">
        <v>0</v>
      </c>
      <c r="D25" s="717">
        <v>0</v>
      </c>
      <c r="E25" s="716">
        <v>25.5</v>
      </c>
      <c r="F25" s="716">
        <v>0</v>
      </c>
      <c r="G25" s="716">
        <v>25.5</v>
      </c>
      <c r="H25" s="719">
        <v>0</v>
      </c>
      <c r="I25" s="718">
        <v>0</v>
      </c>
      <c r="J25" s="718">
        <v>0</v>
      </c>
      <c r="K25" s="718">
        <v>0</v>
      </c>
    </row>
    <row r="26" spans="1:11" x14ac:dyDescent="0.35">
      <c r="A26" s="723" t="s">
        <v>46</v>
      </c>
      <c r="B26" s="716">
        <v>16</v>
      </c>
      <c r="C26" s="717">
        <v>0</v>
      </c>
      <c r="D26" s="717">
        <v>0</v>
      </c>
      <c r="E26" s="716">
        <v>16</v>
      </c>
      <c r="F26" s="716">
        <v>0</v>
      </c>
      <c r="G26" s="716">
        <v>16</v>
      </c>
      <c r="H26" s="719">
        <v>0</v>
      </c>
      <c r="I26" s="718">
        <v>0</v>
      </c>
      <c r="J26" s="718">
        <v>0</v>
      </c>
      <c r="K26" s="718">
        <v>0</v>
      </c>
    </row>
    <row r="27" spans="1:11" x14ac:dyDescent="0.35">
      <c r="A27" s="723" t="s">
        <v>51</v>
      </c>
      <c r="B27" s="716"/>
      <c r="C27" s="717"/>
      <c r="D27" s="717"/>
      <c r="E27" s="716"/>
      <c r="F27" s="716"/>
      <c r="G27" s="716"/>
      <c r="H27" s="719"/>
      <c r="I27" s="718"/>
      <c r="J27" s="718"/>
      <c r="K27" s="718"/>
    </row>
    <row r="28" spans="1:11" x14ac:dyDescent="0.35">
      <c r="A28" s="724" t="s">
        <v>876</v>
      </c>
      <c r="B28" s="716">
        <v>240</v>
      </c>
      <c r="C28" s="717">
        <v>0</v>
      </c>
      <c r="D28" s="717">
        <v>0</v>
      </c>
      <c r="E28" s="716">
        <v>240</v>
      </c>
      <c r="F28" s="716">
        <v>0</v>
      </c>
      <c r="G28" s="716">
        <v>240</v>
      </c>
      <c r="H28" s="719">
        <v>0</v>
      </c>
      <c r="I28" s="718">
        <v>0</v>
      </c>
      <c r="J28" s="718">
        <v>0</v>
      </c>
      <c r="K28" s="718">
        <v>0</v>
      </c>
    </row>
    <row r="29" spans="1:11" x14ac:dyDescent="0.35">
      <c r="A29" s="724" t="s">
        <v>877</v>
      </c>
      <c r="B29" s="716">
        <v>115</v>
      </c>
      <c r="C29" s="717">
        <v>0</v>
      </c>
      <c r="D29" s="717">
        <v>0</v>
      </c>
      <c r="E29" s="716">
        <v>115</v>
      </c>
      <c r="F29" s="716">
        <v>0</v>
      </c>
      <c r="G29" s="716">
        <v>115</v>
      </c>
      <c r="H29" s="719">
        <v>0</v>
      </c>
      <c r="I29" s="718">
        <v>0</v>
      </c>
      <c r="J29" s="718">
        <v>0</v>
      </c>
      <c r="K29" s="718">
        <v>0</v>
      </c>
    </row>
    <row r="30" spans="1:11" x14ac:dyDescent="0.35">
      <c r="A30" s="724" t="s">
        <v>878</v>
      </c>
      <c r="B30" s="716">
        <v>8.5</v>
      </c>
      <c r="C30" s="717">
        <v>0</v>
      </c>
      <c r="D30" s="717">
        <v>0</v>
      </c>
      <c r="E30" s="716">
        <v>8.5</v>
      </c>
      <c r="F30" s="716">
        <v>0</v>
      </c>
      <c r="G30" s="716">
        <v>8.5</v>
      </c>
      <c r="H30" s="719">
        <v>0</v>
      </c>
      <c r="I30" s="718">
        <v>0</v>
      </c>
      <c r="J30" s="718">
        <v>0</v>
      </c>
      <c r="K30" s="718">
        <v>0</v>
      </c>
    </row>
    <row r="31" spans="1:11" x14ac:dyDescent="0.35">
      <c r="A31" s="723" t="s">
        <v>338</v>
      </c>
      <c r="B31" s="716"/>
      <c r="C31" s="717"/>
      <c r="D31" s="717"/>
      <c r="E31" s="716"/>
      <c r="F31" s="716"/>
      <c r="G31" s="716"/>
      <c r="H31" s="719"/>
      <c r="I31" s="718"/>
      <c r="J31" s="718"/>
      <c r="K31" s="718"/>
    </row>
    <row r="32" spans="1:11" x14ac:dyDescent="0.35">
      <c r="A32" s="724" t="s">
        <v>338</v>
      </c>
      <c r="B32" s="716">
        <v>4</v>
      </c>
      <c r="C32" s="717">
        <v>0</v>
      </c>
      <c r="D32" s="717">
        <v>0</v>
      </c>
      <c r="E32" s="716">
        <v>4</v>
      </c>
      <c r="F32" s="716">
        <v>0</v>
      </c>
      <c r="G32" s="716">
        <v>4</v>
      </c>
      <c r="H32" s="719">
        <v>0</v>
      </c>
      <c r="I32" s="718">
        <v>0</v>
      </c>
      <c r="J32" s="718">
        <v>0</v>
      </c>
      <c r="K32" s="718">
        <v>0</v>
      </c>
    </row>
    <row r="33" spans="1:11" x14ac:dyDescent="0.35">
      <c r="A33" s="723" t="s">
        <v>28</v>
      </c>
      <c r="B33" s="716">
        <v>1.65</v>
      </c>
      <c r="C33" s="717">
        <v>0</v>
      </c>
      <c r="D33" s="717">
        <v>0</v>
      </c>
      <c r="E33" s="716">
        <v>1.65</v>
      </c>
      <c r="F33" s="716">
        <v>0</v>
      </c>
      <c r="G33" s="716">
        <v>1.65</v>
      </c>
      <c r="H33" s="719">
        <v>0</v>
      </c>
      <c r="I33" s="718"/>
      <c r="J33" s="718"/>
      <c r="K33" s="718"/>
    </row>
    <row r="34" spans="1:11" x14ac:dyDescent="0.35">
      <c r="A34" s="723" t="s">
        <v>852</v>
      </c>
      <c r="B34" s="716">
        <v>25.5</v>
      </c>
      <c r="C34" s="717">
        <v>0</v>
      </c>
      <c r="D34" s="717">
        <v>0</v>
      </c>
      <c r="E34" s="716">
        <v>25.5</v>
      </c>
      <c r="F34" s="716">
        <v>0</v>
      </c>
      <c r="G34" s="716">
        <v>25.5</v>
      </c>
      <c r="H34" s="719">
        <v>0</v>
      </c>
      <c r="I34" s="718">
        <v>0</v>
      </c>
      <c r="J34" s="718">
        <v>0</v>
      </c>
      <c r="K34" s="718">
        <v>0</v>
      </c>
    </row>
    <row r="35" spans="1:11" x14ac:dyDescent="0.35">
      <c r="A35" s="723" t="s">
        <v>286</v>
      </c>
      <c r="B35" s="716"/>
      <c r="C35" s="717"/>
      <c r="D35" s="717"/>
      <c r="E35" s="716"/>
      <c r="F35" s="716"/>
      <c r="G35" s="716"/>
      <c r="H35" s="719"/>
      <c r="I35" s="718"/>
      <c r="J35" s="718"/>
      <c r="K35" s="718"/>
    </row>
    <row r="36" spans="1:11" x14ac:dyDescent="0.35">
      <c r="A36" s="724" t="s">
        <v>288</v>
      </c>
      <c r="B36" s="716">
        <v>10</v>
      </c>
      <c r="C36" s="717">
        <v>0</v>
      </c>
      <c r="D36" s="717">
        <v>0</v>
      </c>
      <c r="E36" s="716">
        <v>10</v>
      </c>
      <c r="F36" s="716">
        <v>0</v>
      </c>
      <c r="G36" s="716">
        <v>10</v>
      </c>
      <c r="H36" s="719">
        <v>0</v>
      </c>
      <c r="I36" s="718">
        <v>0</v>
      </c>
      <c r="J36" s="718">
        <v>0</v>
      </c>
      <c r="K36" s="718">
        <v>0</v>
      </c>
    </row>
    <row r="37" spans="1:11" x14ac:dyDescent="0.35">
      <c r="A37" s="724" t="s">
        <v>287</v>
      </c>
      <c r="B37" s="716">
        <v>7.6</v>
      </c>
      <c r="C37" s="717">
        <v>0</v>
      </c>
      <c r="D37" s="717">
        <v>0</v>
      </c>
      <c r="E37" s="716">
        <v>7.6</v>
      </c>
      <c r="F37" s="716">
        <v>0</v>
      </c>
      <c r="G37" s="716">
        <v>7.6</v>
      </c>
      <c r="H37" s="719">
        <v>0</v>
      </c>
      <c r="I37" s="718">
        <v>0</v>
      </c>
      <c r="J37" s="718">
        <v>0</v>
      </c>
      <c r="K37" s="718">
        <v>0</v>
      </c>
    </row>
    <row r="38" spans="1:11" x14ac:dyDescent="0.35">
      <c r="A38" s="724" t="s">
        <v>285</v>
      </c>
      <c r="B38" s="716">
        <v>7.6</v>
      </c>
      <c r="C38" s="717">
        <v>0</v>
      </c>
      <c r="D38" s="717">
        <v>0</v>
      </c>
      <c r="E38" s="716">
        <v>7.6</v>
      </c>
      <c r="F38" s="716">
        <v>0</v>
      </c>
      <c r="G38" s="716">
        <v>7.6</v>
      </c>
      <c r="H38" s="719">
        <v>0</v>
      </c>
      <c r="I38" s="718">
        <v>0</v>
      </c>
      <c r="J38" s="718">
        <v>0</v>
      </c>
      <c r="K38" s="718">
        <v>0</v>
      </c>
    </row>
    <row r="39" spans="1:11" x14ac:dyDescent="0.35">
      <c r="A39" s="723" t="s">
        <v>283</v>
      </c>
      <c r="B39" s="716"/>
      <c r="C39" s="717"/>
      <c r="D39" s="717"/>
      <c r="E39" s="716"/>
      <c r="F39" s="716"/>
      <c r="G39" s="716"/>
      <c r="H39" s="719"/>
      <c r="I39" s="718"/>
      <c r="J39" s="718"/>
      <c r="K39" s="718"/>
    </row>
    <row r="40" spans="1:11" x14ac:dyDescent="0.35">
      <c r="A40" s="724" t="s">
        <v>1005</v>
      </c>
      <c r="B40" s="716">
        <v>1.05</v>
      </c>
      <c r="C40" s="717">
        <v>0</v>
      </c>
      <c r="D40" s="717">
        <v>0</v>
      </c>
      <c r="E40" s="716">
        <v>1.05</v>
      </c>
      <c r="F40" s="716">
        <v>0</v>
      </c>
      <c r="G40" s="716">
        <v>1.05</v>
      </c>
      <c r="H40" s="719">
        <v>0</v>
      </c>
      <c r="I40" s="718">
        <v>0</v>
      </c>
      <c r="J40" s="718">
        <v>0</v>
      </c>
      <c r="K40" s="718">
        <v>0</v>
      </c>
    </row>
    <row r="41" spans="1:11" x14ac:dyDescent="0.35">
      <c r="A41" s="724" t="s">
        <v>1003</v>
      </c>
      <c r="B41" s="716">
        <v>1.05</v>
      </c>
      <c r="C41" s="717">
        <v>0</v>
      </c>
      <c r="D41" s="717">
        <v>0</v>
      </c>
      <c r="E41" s="716">
        <v>1.05</v>
      </c>
      <c r="F41" s="716">
        <v>0</v>
      </c>
      <c r="G41" s="716">
        <v>1.05</v>
      </c>
      <c r="H41" s="719">
        <v>0</v>
      </c>
      <c r="I41" s="718">
        <v>0</v>
      </c>
      <c r="J41" s="718">
        <v>0</v>
      </c>
      <c r="K41" s="718">
        <v>0</v>
      </c>
    </row>
    <row r="42" spans="1:11" x14ac:dyDescent="0.35">
      <c r="A42" s="723" t="s">
        <v>18</v>
      </c>
      <c r="B42" s="716">
        <v>0</v>
      </c>
      <c r="C42" s="717">
        <v>0</v>
      </c>
      <c r="D42" s="717">
        <v>0</v>
      </c>
      <c r="E42" s="716"/>
      <c r="F42" s="716"/>
      <c r="G42" s="716"/>
      <c r="H42" s="719">
        <v>0</v>
      </c>
      <c r="I42" s="718"/>
      <c r="J42" s="718"/>
      <c r="K42" s="718"/>
    </row>
    <row r="43" spans="1:11" x14ac:dyDescent="0.35">
      <c r="A43" s="723" t="s">
        <v>24</v>
      </c>
      <c r="B43" s="716">
        <v>16</v>
      </c>
      <c r="C43" s="717">
        <v>0</v>
      </c>
      <c r="D43" s="717">
        <v>0</v>
      </c>
      <c r="E43" s="716">
        <v>16</v>
      </c>
      <c r="F43" s="716">
        <v>0</v>
      </c>
      <c r="G43" s="716">
        <v>16</v>
      </c>
      <c r="H43" s="719">
        <v>0</v>
      </c>
      <c r="I43" s="718">
        <v>0</v>
      </c>
      <c r="J43" s="718">
        <v>0</v>
      </c>
      <c r="K43" s="718">
        <v>0</v>
      </c>
    </row>
    <row r="44" spans="1:11" x14ac:dyDescent="0.35">
      <c r="A44" s="723" t="s">
        <v>57</v>
      </c>
      <c r="B44" s="716">
        <v>25.5</v>
      </c>
      <c r="C44" s="717">
        <v>0</v>
      </c>
      <c r="D44" s="717">
        <v>0</v>
      </c>
      <c r="E44" s="716">
        <v>25.5</v>
      </c>
      <c r="F44" s="716">
        <v>0</v>
      </c>
      <c r="G44" s="716">
        <v>25.5</v>
      </c>
      <c r="H44" s="719">
        <v>0</v>
      </c>
      <c r="I44" s="718">
        <v>0</v>
      </c>
      <c r="J44" s="718">
        <v>0</v>
      </c>
      <c r="K44" s="718">
        <v>0</v>
      </c>
    </row>
    <row r="45" spans="1:11" x14ac:dyDescent="0.35">
      <c r="A45" s="723" t="s">
        <v>1733</v>
      </c>
      <c r="B45" s="716"/>
      <c r="C45" s="717"/>
      <c r="D45" s="717"/>
      <c r="E45" s="716"/>
      <c r="F45" s="716"/>
      <c r="G45" s="716"/>
      <c r="H45" s="719"/>
      <c r="I45" s="718"/>
      <c r="J45" s="718"/>
      <c r="K45" s="718"/>
    </row>
    <row r="46" spans="1:11" x14ac:dyDescent="0.35">
      <c r="A46" s="724" t="s">
        <v>1733</v>
      </c>
      <c r="B46" s="716"/>
      <c r="C46" s="717"/>
      <c r="D46" s="717"/>
      <c r="E46" s="716"/>
      <c r="F46" s="716"/>
      <c r="G46" s="716"/>
      <c r="H46" s="719"/>
      <c r="I46" s="718"/>
      <c r="J46" s="718"/>
      <c r="K46" s="718"/>
    </row>
    <row r="47" spans="1:11" x14ac:dyDescent="0.35">
      <c r="A47" s="725" t="s">
        <v>1735</v>
      </c>
      <c r="B47" s="716">
        <v>2.65</v>
      </c>
      <c r="C47" s="717">
        <v>0</v>
      </c>
      <c r="D47" s="717">
        <v>0</v>
      </c>
      <c r="E47" s="716">
        <v>2.65</v>
      </c>
      <c r="F47" s="716">
        <v>0</v>
      </c>
      <c r="G47" s="716">
        <v>2.65</v>
      </c>
      <c r="H47" s="719">
        <v>0</v>
      </c>
      <c r="I47" s="718">
        <v>0</v>
      </c>
      <c r="J47" s="718">
        <v>0</v>
      </c>
      <c r="K47" s="718">
        <v>0</v>
      </c>
    </row>
    <row r="48" spans="1:11" x14ac:dyDescent="0.35">
      <c r="A48" s="723" t="s">
        <v>314</v>
      </c>
      <c r="B48" s="716">
        <v>170</v>
      </c>
      <c r="C48" s="717">
        <v>0</v>
      </c>
      <c r="D48" s="717">
        <v>0</v>
      </c>
      <c r="E48" s="716">
        <v>170</v>
      </c>
      <c r="F48" s="716">
        <v>0</v>
      </c>
      <c r="G48" s="716">
        <v>170</v>
      </c>
      <c r="H48" s="719">
        <v>0</v>
      </c>
      <c r="I48" s="718">
        <v>0</v>
      </c>
      <c r="J48" s="718">
        <v>0</v>
      </c>
      <c r="K48" s="718">
        <v>0</v>
      </c>
    </row>
    <row r="49" spans="1:11" x14ac:dyDescent="0.35">
      <c r="A49" s="723" t="s">
        <v>1824</v>
      </c>
      <c r="B49" s="716"/>
      <c r="C49" s="717"/>
      <c r="D49" s="717"/>
      <c r="E49" s="716"/>
      <c r="F49" s="716"/>
      <c r="G49" s="716"/>
      <c r="H49" s="719"/>
      <c r="I49" s="718"/>
      <c r="J49" s="718"/>
      <c r="K49" s="718"/>
    </row>
    <row r="50" spans="1:11" x14ac:dyDescent="0.35">
      <c r="A50" s="724" t="s">
        <v>1827</v>
      </c>
      <c r="B50" s="716"/>
      <c r="C50" s="717"/>
      <c r="D50" s="717"/>
      <c r="E50" s="716"/>
      <c r="F50" s="716"/>
      <c r="G50" s="716"/>
      <c r="H50" s="719"/>
      <c r="I50" s="718"/>
      <c r="J50" s="718"/>
      <c r="K50" s="718"/>
    </row>
    <row r="51" spans="1:11" x14ac:dyDescent="0.35">
      <c r="A51" s="725" t="s">
        <v>1827</v>
      </c>
      <c r="B51" s="716">
        <v>3.5</v>
      </c>
      <c r="C51" s="717">
        <v>0</v>
      </c>
      <c r="D51" s="717">
        <v>0</v>
      </c>
      <c r="E51" s="716">
        <v>3.5</v>
      </c>
      <c r="F51" s="716">
        <v>0</v>
      </c>
      <c r="G51" s="716">
        <v>3.5</v>
      </c>
      <c r="H51" s="719">
        <v>0</v>
      </c>
      <c r="I51" s="718">
        <v>0</v>
      </c>
      <c r="J51" s="718">
        <v>0</v>
      </c>
      <c r="K51" s="718">
        <v>0</v>
      </c>
    </row>
    <row r="52" spans="1:11" x14ac:dyDescent="0.35">
      <c r="A52" s="724" t="s">
        <v>1838</v>
      </c>
      <c r="B52" s="716"/>
      <c r="C52" s="717"/>
      <c r="D52" s="717"/>
      <c r="E52" s="716"/>
      <c r="F52" s="716"/>
      <c r="G52" s="716"/>
      <c r="H52" s="719"/>
      <c r="I52" s="718"/>
      <c r="J52" s="718"/>
      <c r="K52" s="718"/>
    </row>
    <row r="53" spans="1:11" x14ac:dyDescent="0.35">
      <c r="A53" s="725" t="s">
        <v>1838</v>
      </c>
      <c r="B53" s="716">
        <v>150</v>
      </c>
      <c r="C53" s="717">
        <v>0</v>
      </c>
      <c r="D53" s="717">
        <v>0</v>
      </c>
      <c r="E53" s="716">
        <v>150</v>
      </c>
      <c r="F53" s="716">
        <v>0</v>
      </c>
      <c r="G53" s="716">
        <v>150</v>
      </c>
      <c r="H53" s="719">
        <v>0</v>
      </c>
      <c r="I53" s="718">
        <v>0</v>
      </c>
      <c r="J53" s="718">
        <v>0</v>
      </c>
      <c r="K53" s="718">
        <v>0</v>
      </c>
    </row>
    <row r="54" spans="1:11" x14ac:dyDescent="0.35">
      <c r="A54" s="724" t="s">
        <v>1836</v>
      </c>
      <c r="B54" s="716"/>
      <c r="C54" s="717"/>
      <c r="D54" s="717"/>
      <c r="E54" s="716"/>
      <c r="F54" s="716"/>
      <c r="G54" s="716"/>
      <c r="H54" s="719"/>
      <c r="I54" s="718"/>
      <c r="J54" s="718"/>
      <c r="K54" s="718"/>
    </row>
    <row r="55" spans="1:11" x14ac:dyDescent="0.35">
      <c r="A55" s="725" t="s">
        <v>1836</v>
      </c>
      <c r="B55" s="716">
        <v>13.5</v>
      </c>
      <c r="C55" s="717">
        <v>0</v>
      </c>
      <c r="D55" s="717">
        <v>0</v>
      </c>
      <c r="E55" s="716">
        <v>13.5</v>
      </c>
      <c r="F55" s="716">
        <v>0</v>
      </c>
      <c r="G55" s="716">
        <v>13.5</v>
      </c>
      <c r="H55" s="719">
        <v>0</v>
      </c>
      <c r="I55" s="718">
        <v>0</v>
      </c>
      <c r="J55" s="718">
        <v>0</v>
      </c>
      <c r="K55" s="718">
        <v>0</v>
      </c>
    </row>
    <row r="56" spans="1:11" x14ac:dyDescent="0.35">
      <c r="A56" s="724" t="s">
        <v>1828</v>
      </c>
      <c r="B56" s="716"/>
      <c r="C56" s="717"/>
      <c r="D56" s="717"/>
      <c r="E56" s="716"/>
      <c r="F56" s="716"/>
      <c r="G56" s="716"/>
      <c r="H56" s="719"/>
      <c r="I56" s="718"/>
      <c r="J56" s="718"/>
      <c r="K56" s="718"/>
    </row>
    <row r="57" spans="1:11" x14ac:dyDescent="0.35">
      <c r="A57" s="725" t="s">
        <v>1828</v>
      </c>
      <c r="B57" s="716">
        <v>0</v>
      </c>
      <c r="C57" s="717">
        <v>0</v>
      </c>
      <c r="D57" s="717">
        <v>0</v>
      </c>
      <c r="E57" s="716">
        <v>0</v>
      </c>
      <c r="F57" s="716">
        <v>0</v>
      </c>
      <c r="G57" s="716">
        <v>0</v>
      </c>
      <c r="H57" s="719">
        <v>0</v>
      </c>
      <c r="I57" s="718">
        <v>0</v>
      </c>
      <c r="J57" s="718">
        <v>0</v>
      </c>
      <c r="K57" s="718">
        <v>0</v>
      </c>
    </row>
    <row r="58" spans="1:11" x14ac:dyDescent="0.35">
      <c r="A58" s="724" t="s">
        <v>1840</v>
      </c>
      <c r="B58" s="716"/>
      <c r="C58" s="717"/>
      <c r="D58" s="717"/>
      <c r="E58" s="716"/>
      <c r="F58" s="716"/>
      <c r="G58" s="716"/>
      <c r="H58" s="719"/>
      <c r="I58" s="718"/>
      <c r="J58" s="718"/>
      <c r="K58" s="718"/>
    </row>
    <row r="59" spans="1:11" x14ac:dyDescent="0.35">
      <c r="A59" s="725" t="s">
        <v>1840</v>
      </c>
      <c r="B59" s="716">
        <v>0</v>
      </c>
      <c r="C59" s="717">
        <v>0</v>
      </c>
      <c r="D59" s="717">
        <v>0</v>
      </c>
      <c r="E59" s="716">
        <v>0</v>
      </c>
      <c r="F59" s="716">
        <v>0</v>
      </c>
      <c r="G59" s="716">
        <v>0</v>
      </c>
      <c r="H59" s="719">
        <v>0</v>
      </c>
      <c r="I59" s="718">
        <v>0</v>
      </c>
      <c r="J59" s="718">
        <v>0</v>
      </c>
      <c r="K59" s="718">
        <v>0</v>
      </c>
    </row>
    <row r="60" spans="1:11" x14ac:dyDescent="0.35">
      <c r="A60" s="724" t="s">
        <v>1829</v>
      </c>
      <c r="B60" s="716"/>
      <c r="C60" s="717"/>
      <c r="D60" s="717"/>
      <c r="E60" s="716"/>
      <c r="F60" s="716"/>
      <c r="G60" s="716"/>
      <c r="H60" s="719"/>
      <c r="I60" s="718"/>
      <c r="J60" s="718"/>
      <c r="K60" s="718"/>
    </row>
    <row r="61" spans="1:11" x14ac:dyDescent="0.35">
      <c r="A61" s="725" t="s">
        <v>1829</v>
      </c>
      <c r="B61" s="716">
        <v>51</v>
      </c>
      <c r="C61" s="717">
        <v>0</v>
      </c>
      <c r="D61" s="717">
        <v>0</v>
      </c>
      <c r="E61" s="716">
        <v>51</v>
      </c>
      <c r="F61" s="716">
        <v>0</v>
      </c>
      <c r="G61" s="716">
        <v>51</v>
      </c>
      <c r="H61" s="719">
        <v>0</v>
      </c>
      <c r="I61" s="718">
        <v>0</v>
      </c>
      <c r="J61" s="718">
        <v>0</v>
      </c>
      <c r="K61" s="718">
        <v>0</v>
      </c>
    </row>
    <row r="62" spans="1:11" x14ac:dyDescent="0.35">
      <c r="A62" s="724" t="s">
        <v>1835</v>
      </c>
      <c r="B62" s="716"/>
      <c r="C62" s="717"/>
      <c r="D62" s="717"/>
      <c r="E62" s="716"/>
      <c r="F62" s="716"/>
      <c r="G62" s="716"/>
      <c r="H62" s="719"/>
      <c r="I62" s="718"/>
      <c r="J62" s="718"/>
      <c r="K62" s="718"/>
    </row>
    <row r="63" spans="1:11" x14ac:dyDescent="0.35">
      <c r="A63" s="725" t="s">
        <v>1835</v>
      </c>
      <c r="B63" s="716">
        <v>0</v>
      </c>
      <c r="C63" s="717">
        <v>0</v>
      </c>
      <c r="D63" s="717">
        <v>0</v>
      </c>
      <c r="E63" s="716">
        <v>0</v>
      </c>
      <c r="F63" s="716">
        <v>0</v>
      </c>
      <c r="G63" s="716">
        <v>0</v>
      </c>
      <c r="H63" s="719">
        <v>0</v>
      </c>
      <c r="I63" s="718">
        <v>0</v>
      </c>
      <c r="J63" s="718">
        <v>0</v>
      </c>
      <c r="K63" s="718">
        <v>0</v>
      </c>
    </row>
    <row r="64" spans="1:11" x14ac:dyDescent="0.35">
      <c r="A64" s="724" t="s">
        <v>1830</v>
      </c>
      <c r="B64" s="716"/>
      <c r="C64" s="717"/>
      <c r="D64" s="717"/>
      <c r="E64" s="716"/>
      <c r="F64" s="716"/>
      <c r="G64" s="716"/>
      <c r="H64" s="719"/>
      <c r="I64" s="718"/>
      <c r="J64" s="718"/>
      <c r="K64" s="718"/>
    </row>
    <row r="65" spans="1:11" x14ac:dyDescent="0.35">
      <c r="A65" s="725" t="s">
        <v>1830</v>
      </c>
      <c r="B65" s="716">
        <v>90</v>
      </c>
      <c r="C65" s="717">
        <v>0</v>
      </c>
      <c r="D65" s="717">
        <v>0</v>
      </c>
      <c r="E65" s="716">
        <v>90</v>
      </c>
      <c r="F65" s="716">
        <v>0</v>
      </c>
      <c r="G65" s="716">
        <v>90</v>
      </c>
      <c r="H65" s="719">
        <v>0</v>
      </c>
      <c r="I65" s="718">
        <v>0</v>
      </c>
      <c r="J65" s="718">
        <v>0</v>
      </c>
      <c r="K65" s="718">
        <v>0</v>
      </c>
    </row>
    <row r="66" spans="1:11" x14ac:dyDescent="0.35">
      <c r="A66" s="724" t="s">
        <v>1837</v>
      </c>
      <c r="B66" s="716"/>
      <c r="C66" s="717"/>
      <c r="D66" s="717"/>
      <c r="E66" s="716"/>
      <c r="F66" s="716"/>
      <c r="G66" s="716"/>
      <c r="H66" s="719"/>
      <c r="I66" s="718"/>
      <c r="J66" s="718"/>
      <c r="K66" s="718"/>
    </row>
    <row r="67" spans="1:11" x14ac:dyDescent="0.35">
      <c r="A67" s="725" t="s">
        <v>1837</v>
      </c>
      <c r="B67" s="716">
        <v>0</v>
      </c>
      <c r="C67" s="717">
        <v>0</v>
      </c>
      <c r="D67" s="717">
        <v>0</v>
      </c>
      <c r="E67" s="716">
        <v>0</v>
      </c>
      <c r="F67" s="716">
        <v>0</v>
      </c>
      <c r="G67" s="716">
        <v>0</v>
      </c>
      <c r="H67" s="719">
        <v>0</v>
      </c>
      <c r="I67" s="718">
        <v>0</v>
      </c>
      <c r="J67" s="718">
        <v>0</v>
      </c>
      <c r="K67" s="718">
        <v>0</v>
      </c>
    </row>
    <row r="68" spans="1:11" x14ac:dyDescent="0.35">
      <c r="A68" s="724" t="s">
        <v>1831</v>
      </c>
      <c r="B68" s="716"/>
      <c r="C68" s="717"/>
      <c r="D68" s="717"/>
      <c r="E68" s="716"/>
      <c r="F68" s="716"/>
      <c r="G68" s="716"/>
      <c r="H68" s="719"/>
      <c r="I68" s="718"/>
      <c r="J68" s="718"/>
      <c r="K68" s="718"/>
    </row>
    <row r="69" spans="1:11" x14ac:dyDescent="0.35">
      <c r="A69" s="725" t="s">
        <v>1831</v>
      </c>
      <c r="B69" s="716">
        <v>0</v>
      </c>
      <c r="C69" s="717">
        <v>0</v>
      </c>
      <c r="D69" s="717">
        <v>0</v>
      </c>
      <c r="E69" s="716">
        <v>0</v>
      </c>
      <c r="F69" s="716">
        <v>0</v>
      </c>
      <c r="G69" s="716">
        <v>0</v>
      </c>
      <c r="H69" s="719">
        <v>0</v>
      </c>
      <c r="I69" s="718">
        <v>0</v>
      </c>
      <c r="J69" s="718">
        <v>0</v>
      </c>
      <c r="K69" s="718">
        <v>0</v>
      </c>
    </row>
    <row r="70" spans="1:11" x14ac:dyDescent="0.35">
      <c r="A70" s="724" t="s">
        <v>1839</v>
      </c>
      <c r="B70" s="716"/>
      <c r="C70" s="717"/>
      <c r="D70" s="717"/>
      <c r="E70" s="716"/>
      <c r="F70" s="716"/>
      <c r="G70" s="716"/>
      <c r="H70" s="719"/>
      <c r="I70" s="718"/>
      <c r="J70" s="718"/>
      <c r="K70" s="718"/>
    </row>
    <row r="71" spans="1:11" x14ac:dyDescent="0.35">
      <c r="A71" s="725" t="s">
        <v>1839</v>
      </c>
      <c r="B71" s="716">
        <v>74</v>
      </c>
      <c r="C71" s="717">
        <v>0</v>
      </c>
      <c r="D71" s="717">
        <v>0</v>
      </c>
      <c r="E71" s="716">
        <v>74</v>
      </c>
      <c r="F71" s="716">
        <v>0</v>
      </c>
      <c r="G71" s="716">
        <v>74</v>
      </c>
      <c r="H71" s="719">
        <v>0</v>
      </c>
      <c r="I71" s="718">
        <v>0</v>
      </c>
      <c r="J71" s="718">
        <v>0</v>
      </c>
      <c r="K71" s="718">
        <v>0</v>
      </c>
    </row>
    <row r="72" spans="1:11" x14ac:dyDescent="0.35">
      <c r="A72" s="724" t="s">
        <v>1832</v>
      </c>
      <c r="B72" s="716"/>
      <c r="C72" s="717"/>
      <c r="D72" s="717"/>
      <c r="E72" s="716"/>
      <c r="F72" s="716"/>
      <c r="G72" s="716"/>
      <c r="H72" s="719"/>
      <c r="I72" s="718"/>
      <c r="J72" s="718"/>
      <c r="K72" s="718"/>
    </row>
    <row r="73" spans="1:11" x14ac:dyDescent="0.35">
      <c r="A73" s="725" t="s">
        <v>1832</v>
      </c>
      <c r="B73" s="716">
        <v>2.1</v>
      </c>
      <c r="C73" s="717">
        <v>0</v>
      </c>
      <c r="D73" s="717">
        <v>0</v>
      </c>
      <c r="E73" s="716">
        <v>2.1</v>
      </c>
      <c r="F73" s="716">
        <v>0</v>
      </c>
      <c r="G73" s="716">
        <v>2.1</v>
      </c>
      <c r="H73" s="719">
        <v>0</v>
      </c>
      <c r="I73" s="718">
        <v>0</v>
      </c>
      <c r="J73" s="718">
        <v>0</v>
      </c>
      <c r="K73" s="718">
        <v>0</v>
      </c>
    </row>
    <row r="74" spans="1:11" x14ac:dyDescent="0.35">
      <c r="A74" s="724" t="s">
        <v>1841</v>
      </c>
      <c r="B74" s="716"/>
      <c r="C74" s="717"/>
      <c r="D74" s="717"/>
      <c r="E74" s="716"/>
      <c r="F74" s="716"/>
      <c r="G74" s="716"/>
      <c r="H74" s="719"/>
      <c r="I74" s="718"/>
      <c r="J74" s="718"/>
      <c r="K74" s="718"/>
    </row>
    <row r="75" spans="1:11" x14ac:dyDescent="0.35">
      <c r="A75" s="725" t="s">
        <v>1841</v>
      </c>
      <c r="B75" s="716">
        <v>27.5</v>
      </c>
      <c r="C75" s="717">
        <v>0</v>
      </c>
      <c r="D75" s="717">
        <v>0</v>
      </c>
      <c r="E75" s="716">
        <v>27.5</v>
      </c>
      <c r="F75" s="716">
        <v>0</v>
      </c>
      <c r="G75" s="716">
        <v>27.5</v>
      </c>
      <c r="H75" s="719">
        <v>0</v>
      </c>
      <c r="I75" s="718">
        <v>0</v>
      </c>
      <c r="J75" s="718">
        <v>0</v>
      </c>
      <c r="K75" s="718">
        <v>0</v>
      </c>
    </row>
    <row r="76" spans="1:11" x14ac:dyDescent="0.35">
      <c r="A76" s="724" t="s">
        <v>1833</v>
      </c>
      <c r="B76" s="716"/>
      <c r="C76" s="717"/>
      <c r="D76" s="717"/>
      <c r="E76" s="716"/>
      <c r="F76" s="716"/>
      <c r="G76" s="716"/>
      <c r="H76" s="719"/>
      <c r="I76" s="718"/>
      <c r="J76" s="718"/>
      <c r="K76" s="718"/>
    </row>
    <row r="77" spans="1:11" x14ac:dyDescent="0.35">
      <c r="A77" s="725" t="s">
        <v>1833</v>
      </c>
      <c r="B77" s="716">
        <v>53</v>
      </c>
      <c r="C77" s="717">
        <v>0</v>
      </c>
      <c r="D77" s="717">
        <v>0</v>
      </c>
      <c r="E77" s="716">
        <v>53</v>
      </c>
      <c r="F77" s="716">
        <v>0</v>
      </c>
      <c r="G77" s="716">
        <v>53</v>
      </c>
      <c r="H77" s="719">
        <v>0</v>
      </c>
      <c r="I77" s="718">
        <v>0</v>
      </c>
      <c r="J77" s="718">
        <v>0</v>
      </c>
      <c r="K77" s="718">
        <v>0</v>
      </c>
    </row>
    <row r="78" spans="1:11" x14ac:dyDescent="0.35">
      <c r="A78" s="724" t="s">
        <v>1834</v>
      </c>
      <c r="B78" s="716"/>
      <c r="C78" s="717"/>
      <c r="D78" s="717"/>
      <c r="E78" s="716"/>
      <c r="F78" s="716"/>
      <c r="G78" s="716"/>
      <c r="H78" s="719"/>
      <c r="I78" s="718"/>
      <c r="J78" s="718"/>
      <c r="K78" s="718"/>
    </row>
    <row r="79" spans="1:11" x14ac:dyDescent="0.35">
      <c r="A79" s="725" t="s">
        <v>1834</v>
      </c>
      <c r="B79" s="716">
        <v>27</v>
      </c>
      <c r="C79" s="717">
        <v>0</v>
      </c>
      <c r="D79" s="717">
        <v>0</v>
      </c>
      <c r="E79" s="716">
        <v>27</v>
      </c>
      <c r="F79" s="716">
        <v>0</v>
      </c>
      <c r="G79" s="716">
        <v>27</v>
      </c>
      <c r="H79" s="719">
        <v>0</v>
      </c>
      <c r="I79" s="718">
        <v>0</v>
      </c>
      <c r="J79" s="718">
        <v>0</v>
      </c>
      <c r="K79" s="718">
        <v>0</v>
      </c>
    </row>
    <row r="80" spans="1:11" x14ac:dyDescent="0.35">
      <c r="A80" s="723" t="s">
        <v>955</v>
      </c>
      <c r="B80" s="716"/>
      <c r="C80" s="717"/>
      <c r="D80" s="717"/>
      <c r="E80" s="716"/>
      <c r="F80" s="716"/>
      <c r="G80" s="716"/>
      <c r="H80" s="719"/>
      <c r="I80" s="718"/>
      <c r="J80" s="718"/>
      <c r="K80" s="718"/>
    </row>
    <row r="81" spans="1:11" x14ac:dyDescent="0.35">
      <c r="A81" s="724" t="s">
        <v>956</v>
      </c>
      <c r="B81" s="716">
        <v>4.45</v>
      </c>
      <c r="C81" s="717">
        <v>0</v>
      </c>
      <c r="D81" s="717">
        <v>0</v>
      </c>
      <c r="E81" s="716">
        <v>4.45</v>
      </c>
      <c r="F81" s="716">
        <v>0</v>
      </c>
      <c r="G81" s="716">
        <v>4.45</v>
      </c>
      <c r="H81" s="719">
        <v>0</v>
      </c>
      <c r="I81" s="718">
        <v>0</v>
      </c>
      <c r="J81" s="718">
        <v>0</v>
      </c>
      <c r="K81" s="718">
        <v>0</v>
      </c>
    </row>
    <row r="82" spans="1:11" x14ac:dyDescent="0.35">
      <c r="A82" s="724" t="s">
        <v>958</v>
      </c>
      <c r="B82" s="716">
        <v>68</v>
      </c>
      <c r="C82" s="717">
        <v>0</v>
      </c>
      <c r="D82" s="717">
        <v>0</v>
      </c>
      <c r="E82" s="716">
        <v>68</v>
      </c>
      <c r="F82" s="716">
        <v>0</v>
      </c>
      <c r="G82" s="716">
        <v>68</v>
      </c>
      <c r="H82" s="719">
        <v>0</v>
      </c>
      <c r="I82" s="718">
        <v>0</v>
      </c>
      <c r="J82" s="718">
        <v>0</v>
      </c>
      <c r="K82" s="718">
        <v>0</v>
      </c>
    </row>
    <row r="83" spans="1:11" x14ac:dyDescent="0.35">
      <c r="A83" s="724" t="s">
        <v>957</v>
      </c>
      <c r="B83" s="716">
        <v>49</v>
      </c>
      <c r="C83" s="717">
        <v>0</v>
      </c>
      <c r="D83" s="717">
        <v>0</v>
      </c>
      <c r="E83" s="716">
        <v>49</v>
      </c>
      <c r="F83" s="716">
        <v>0</v>
      </c>
      <c r="G83" s="716">
        <v>49</v>
      </c>
      <c r="H83" s="719">
        <v>0</v>
      </c>
      <c r="I83" s="718">
        <v>0</v>
      </c>
      <c r="J83" s="718">
        <v>0</v>
      </c>
      <c r="K83" s="718">
        <v>0</v>
      </c>
    </row>
    <row r="84" spans="1:11" x14ac:dyDescent="0.35">
      <c r="A84" s="723" t="s">
        <v>66</v>
      </c>
      <c r="B84" s="716"/>
      <c r="C84" s="717"/>
      <c r="D84" s="717"/>
      <c r="E84" s="716"/>
      <c r="F84" s="716"/>
      <c r="G84" s="716"/>
      <c r="H84" s="719"/>
      <c r="I84" s="718"/>
      <c r="J84" s="718"/>
      <c r="K84" s="718"/>
    </row>
    <row r="85" spans="1:11" x14ac:dyDescent="0.35">
      <c r="A85" s="724" t="s">
        <v>290</v>
      </c>
      <c r="B85" s="716">
        <v>29.5</v>
      </c>
      <c r="C85" s="717">
        <v>0</v>
      </c>
      <c r="D85" s="717">
        <v>0</v>
      </c>
      <c r="E85" s="716">
        <v>29.5</v>
      </c>
      <c r="F85" s="716">
        <v>0</v>
      </c>
      <c r="G85" s="716">
        <v>29.5</v>
      </c>
      <c r="H85" s="719">
        <v>0</v>
      </c>
      <c r="I85" s="718">
        <v>0</v>
      </c>
      <c r="J85" s="718">
        <v>0</v>
      </c>
      <c r="K85" s="718">
        <v>0</v>
      </c>
    </row>
    <row r="86" spans="1:11" x14ac:dyDescent="0.35">
      <c r="A86" s="724" t="s">
        <v>67</v>
      </c>
      <c r="B86" s="716">
        <v>40</v>
      </c>
      <c r="C86" s="717">
        <v>0</v>
      </c>
      <c r="D86" s="717">
        <v>0</v>
      </c>
      <c r="E86" s="716">
        <v>40</v>
      </c>
      <c r="F86" s="716">
        <v>0</v>
      </c>
      <c r="G86" s="716">
        <v>40</v>
      </c>
      <c r="H86" s="719">
        <v>0</v>
      </c>
      <c r="I86" s="718">
        <v>0</v>
      </c>
      <c r="J86" s="718">
        <v>0</v>
      </c>
      <c r="K86" s="718">
        <v>0</v>
      </c>
    </row>
    <row r="87" spans="1:11" x14ac:dyDescent="0.35">
      <c r="A87" s="724" t="s">
        <v>68</v>
      </c>
      <c r="B87" s="716">
        <v>29.5</v>
      </c>
      <c r="C87" s="717">
        <v>0</v>
      </c>
      <c r="D87" s="717">
        <v>0</v>
      </c>
      <c r="E87" s="716">
        <v>29.5</v>
      </c>
      <c r="F87" s="716">
        <v>0</v>
      </c>
      <c r="G87" s="716">
        <v>29.5</v>
      </c>
      <c r="H87" s="719">
        <v>0</v>
      </c>
      <c r="I87" s="718">
        <v>0</v>
      </c>
      <c r="J87" s="718">
        <v>0</v>
      </c>
      <c r="K87" s="718">
        <v>0</v>
      </c>
    </row>
    <row r="88" spans="1:11" x14ac:dyDescent="0.35">
      <c r="A88" s="723" t="s">
        <v>959</v>
      </c>
      <c r="B88" s="716"/>
      <c r="C88" s="717"/>
      <c r="D88" s="717"/>
      <c r="E88" s="716"/>
      <c r="F88" s="716"/>
      <c r="G88" s="716"/>
      <c r="H88" s="719"/>
      <c r="I88" s="718"/>
      <c r="J88" s="718"/>
      <c r="K88" s="718"/>
    </row>
    <row r="89" spans="1:11" x14ac:dyDescent="0.35">
      <c r="A89" s="724" t="s">
        <v>960</v>
      </c>
      <c r="B89" s="716">
        <v>4.45</v>
      </c>
      <c r="C89" s="717">
        <v>0</v>
      </c>
      <c r="D89" s="717">
        <v>0</v>
      </c>
      <c r="E89" s="716">
        <v>4.45</v>
      </c>
      <c r="F89" s="716">
        <v>0</v>
      </c>
      <c r="G89" s="716">
        <v>4.45</v>
      </c>
      <c r="H89" s="719">
        <v>0</v>
      </c>
      <c r="I89" s="718">
        <v>0</v>
      </c>
      <c r="J89" s="718">
        <v>0</v>
      </c>
      <c r="K89" s="718">
        <v>0</v>
      </c>
    </row>
    <row r="90" spans="1:11" x14ac:dyDescent="0.35">
      <c r="A90" s="724" t="s">
        <v>962</v>
      </c>
      <c r="B90" s="716">
        <v>68</v>
      </c>
      <c r="C90" s="717">
        <v>0</v>
      </c>
      <c r="D90" s="717">
        <v>0</v>
      </c>
      <c r="E90" s="716">
        <v>68</v>
      </c>
      <c r="F90" s="716">
        <v>0</v>
      </c>
      <c r="G90" s="716">
        <v>68</v>
      </c>
      <c r="H90" s="719">
        <v>0</v>
      </c>
      <c r="I90" s="718">
        <v>0</v>
      </c>
      <c r="J90" s="718">
        <v>0</v>
      </c>
      <c r="K90" s="718">
        <v>0</v>
      </c>
    </row>
    <row r="91" spans="1:11" x14ac:dyDescent="0.35">
      <c r="A91" s="724" t="s">
        <v>961</v>
      </c>
      <c r="B91" s="716">
        <v>49</v>
      </c>
      <c r="C91" s="717">
        <v>0</v>
      </c>
      <c r="D91" s="717">
        <v>0</v>
      </c>
      <c r="E91" s="716">
        <v>49</v>
      </c>
      <c r="F91" s="716">
        <v>0</v>
      </c>
      <c r="G91" s="716">
        <v>49</v>
      </c>
      <c r="H91" s="719">
        <v>0</v>
      </c>
      <c r="I91" s="718">
        <v>0</v>
      </c>
      <c r="J91" s="718">
        <v>0</v>
      </c>
      <c r="K91" s="718">
        <v>0</v>
      </c>
    </row>
    <row r="92" spans="1:11" x14ac:dyDescent="0.35">
      <c r="A92" s="722" t="s">
        <v>946</v>
      </c>
      <c r="B92" s="716"/>
      <c r="C92" s="717"/>
      <c r="D92" s="717"/>
      <c r="E92" s="716"/>
      <c r="F92" s="716"/>
      <c r="G92" s="716"/>
      <c r="H92" s="719"/>
      <c r="I92" s="718"/>
      <c r="J92" s="718"/>
      <c r="K92" s="718"/>
    </row>
    <row r="93" spans="1:11" x14ac:dyDescent="0.35">
      <c r="A93" s="723" t="s">
        <v>25</v>
      </c>
      <c r="B93" s="716"/>
      <c r="C93" s="717"/>
      <c r="D93" s="717"/>
      <c r="E93" s="716"/>
      <c r="F93" s="716"/>
      <c r="G93" s="716"/>
      <c r="H93" s="719"/>
      <c r="I93" s="718"/>
      <c r="J93" s="718"/>
      <c r="K93" s="718"/>
    </row>
    <row r="94" spans="1:11" x14ac:dyDescent="0.35">
      <c r="A94" s="724" t="s">
        <v>1517</v>
      </c>
      <c r="B94" s="716">
        <v>6.95</v>
      </c>
      <c r="C94" s="717">
        <v>0</v>
      </c>
      <c r="D94" s="717">
        <v>0</v>
      </c>
      <c r="E94" s="716">
        <v>6.95</v>
      </c>
      <c r="F94" s="716">
        <v>0</v>
      </c>
      <c r="G94" s="716">
        <v>6.95</v>
      </c>
      <c r="H94" s="719">
        <v>0</v>
      </c>
      <c r="I94" s="718">
        <v>0</v>
      </c>
      <c r="J94" s="718">
        <v>0</v>
      </c>
      <c r="K94" s="718">
        <v>0</v>
      </c>
    </row>
    <row r="95" spans="1:11" x14ac:dyDescent="0.35">
      <c r="A95" s="723" t="s">
        <v>57</v>
      </c>
      <c r="B95" s="716">
        <v>25.5</v>
      </c>
      <c r="C95" s="717">
        <v>0</v>
      </c>
      <c r="D95" s="717">
        <v>0</v>
      </c>
      <c r="E95" s="716">
        <v>25.5</v>
      </c>
      <c r="F95" s="716">
        <v>0</v>
      </c>
      <c r="G95" s="716">
        <v>25.5</v>
      </c>
      <c r="H95" s="719">
        <v>0</v>
      </c>
      <c r="I95" s="718">
        <v>0</v>
      </c>
      <c r="J95" s="718">
        <v>0</v>
      </c>
      <c r="K95" s="718">
        <v>0</v>
      </c>
    </row>
    <row r="96" spans="1:11" x14ac:dyDescent="0.35">
      <c r="A96" s="723" t="s">
        <v>24</v>
      </c>
      <c r="B96" s="716">
        <v>16</v>
      </c>
      <c r="C96" s="717">
        <v>0</v>
      </c>
      <c r="D96" s="717">
        <v>0</v>
      </c>
      <c r="E96" s="716">
        <v>16</v>
      </c>
      <c r="F96" s="716">
        <v>0</v>
      </c>
      <c r="G96" s="716">
        <v>16</v>
      </c>
      <c r="H96" s="719">
        <v>0</v>
      </c>
      <c r="I96" s="718">
        <v>0</v>
      </c>
      <c r="J96" s="718">
        <v>0</v>
      </c>
      <c r="K96" s="718">
        <v>0</v>
      </c>
    </row>
    <row r="97" spans="1:11" x14ac:dyDescent="0.35">
      <c r="A97" s="723" t="s">
        <v>31</v>
      </c>
      <c r="B97" s="716">
        <v>25.5</v>
      </c>
      <c r="C97" s="717">
        <v>0</v>
      </c>
      <c r="D97" s="717">
        <v>0</v>
      </c>
      <c r="E97" s="716">
        <v>25.5</v>
      </c>
      <c r="F97" s="716">
        <v>0</v>
      </c>
      <c r="G97" s="716">
        <v>25.5</v>
      </c>
      <c r="H97" s="719">
        <v>0</v>
      </c>
      <c r="I97" s="718">
        <v>0</v>
      </c>
      <c r="J97" s="718">
        <v>0</v>
      </c>
      <c r="K97" s="718">
        <v>0</v>
      </c>
    </row>
    <row r="98" spans="1:11" x14ac:dyDescent="0.35">
      <c r="A98" s="723" t="s">
        <v>852</v>
      </c>
      <c r="B98" s="716">
        <v>25.5</v>
      </c>
      <c r="C98" s="717">
        <v>0</v>
      </c>
      <c r="D98" s="717">
        <v>0</v>
      </c>
      <c r="E98" s="716">
        <v>25.5</v>
      </c>
      <c r="F98" s="716">
        <v>0</v>
      </c>
      <c r="G98" s="716">
        <v>25.5</v>
      </c>
      <c r="H98" s="719">
        <v>0</v>
      </c>
      <c r="I98" s="718">
        <v>0</v>
      </c>
      <c r="J98" s="718">
        <v>0</v>
      </c>
      <c r="K98" s="718">
        <v>0</v>
      </c>
    </row>
    <row r="99" spans="1:11" x14ac:dyDescent="0.35">
      <c r="A99" s="723" t="s">
        <v>332</v>
      </c>
      <c r="B99" s="716">
        <v>19</v>
      </c>
      <c r="C99" s="717">
        <v>0</v>
      </c>
      <c r="D99" s="717">
        <v>0</v>
      </c>
      <c r="E99" s="716">
        <v>19</v>
      </c>
      <c r="F99" s="716">
        <v>0</v>
      </c>
      <c r="G99" s="716">
        <v>19</v>
      </c>
      <c r="H99" s="719">
        <v>0</v>
      </c>
      <c r="I99" s="718">
        <v>0</v>
      </c>
      <c r="J99" s="718">
        <v>0</v>
      </c>
      <c r="K99" s="718">
        <v>0</v>
      </c>
    </row>
    <row r="100" spans="1:11" x14ac:dyDescent="0.35">
      <c r="A100" s="723" t="s">
        <v>327</v>
      </c>
      <c r="B100" s="716">
        <v>4.25</v>
      </c>
      <c r="C100" s="717">
        <v>0</v>
      </c>
      <c r="D100" s="717">
        <v>0</v>
      </c>
      <c r="E100" s="716">
        <v>4.25</v>
      </c>
      <c r="F100" s="716">
        <v>0</v>
      </c>
      <c r="G100" s="716">
        <v>4.25</v>
      </c>
      <c r="H100" s="719">
        <v>0</v>
      </c>
      <c r="I100" s="718">
        <v>0</v>
      </c>
      <c r="J100" s="718">
        <v>0</v>
      </c>
      <c r="K100" s="718">
        <v>0</v>
      </c>
    </row>
    <row r="101" spans="1:11" x14ac:dyDescent="0.35">
      <c r="A101" s="723" t="s">
        <v>51</v>
      </c>
      <c r="B101" s="716"/>
      <c r="C101" s="717"/>
      <c r="D101" s="717"/>
      <c r="E101" s="716"/>
      <c r="F101" s="716"/>
      <c r="G101" s="716"/>
      <c r="H101" s="719"/>
      <c r="I101" s="718"/>
      <c r="J101" s="718"/>
      <c r="K101" s="718"/>
    </row>
    <row r="102" spans="1:11" x14ac:dyDescent="0.35">
      <c r="A102" s="724" t="s">
        <v>977</v>
      </c>
      <c r="B102" s="716">
        <v>85</v>
      </c>
      <c r="C102" s="717">
        <v>0</v>
      </c>
      <c r="D102" s="717">
        <v>0</v>
      </c>
      <c r="E102" s="716">
        <v>85</v>
      </c>
      <c r="F102" s="716">
        <v>0</v>
      </c>
      <c r="G102" s="716">
        <v>85</v>
      </c>
      <c r="H102" s="719">
        <v>0</v>
      </c>
      <c r="I102" s="718">
        <v>0</v>
      </c>
      <c r="J102" s="718">
        <v>0</v>
      </c>
      <c r="K102" s="718">
        <v>0</v>
      </c>
    </row>
    <row r="103" spans="1:11" x14ac:dyDescent="0.35">
      <c r="A103" s="724" t="s">
        <v>62</v>
      </c>
      <c r="B103" s="716">
        <v>185</v>
      </c>
      <c r="C103" s="717">
        <v>0</v>
      </c>
      <c r="D103" s="717">
        <v>0</v>
      </c>
      <c r="E103" s="716">
        <v>185</v>
      </c>
      <c r="F103" s="716">
        <v>0</v>
      </c>
      <c r="G103" s="716">
        <v>185</v>
      </c>
      <c r="H103" s="719">
        <v>0</v>
      </c>
      <c r="I103" s="718">
        <v>0</v>
      </c>
      <c r="J103" s="718">
        <v>0</v>
      </c>
      <c r="K103" s="718">
        <v>0</v>
      </c>
    </row>
    <row r="104" spans="1:11" x14ac:dyDescent="0.35">
      <c r="A104" s="723" t="s">
        <v>66</v>
      </c>
      <c r="B104" s="716"/>
      <c r="C104" s="717"/>
      <c r="D104" s="717"/>
      <c r="E104" s="716"/>
      <c r="F104" s="716"/>
      <c r="G104" s="716"/>
      <c r="H104" s="719"/>
      <c r="I104" s="718"/>
      <c r="J104" s="718"/>
      <c r="K104" s="718"/>
    </row>
    <row r="105" spans="1:11" x14ac:dyDescent="0.35">
      <c r="A105" s="724" t="s">
        <v>922</v>
      </c>
      <c r="B105" s="716"/>
      <c r="C105" s="717"/>
      <c r="D105" s="717"/>
      <c r="E105" s="716"/>
      <c r="F105" s="716"/>
      <c r="G105" s="716"/>
      <c r="H105" s="719"/>
      <c r="I105" s="718"/>
      <c r="J105" s="718"/>
      <c r="K105" s="718"/>
    </row>
    <row r="106" spans="1:11" x14ac:dyDescent="0.35">
      <c r="A106" s="725" t="s">
        <v>1525</v>
      </c>
      <c r="B106" s="716">
        <v>29.5</v>
      </c>
      <c r="C106" s="717">
        <v>0</v>
      </c>
      <c r="D106" s="717">
        <v>0</v>
      </c>
      <c r="E106" s="716">
        <v>29.5</v>
      </c>
      <c r="F106" s="716">
        <v>0</v>
      </c>
      <c r="G106" s="716">
        <v>29.5</v>
      </c>
      <c r="H106" s="719">
        <v>0</v>
      </c>
      <c r="I106" s="718">
        <v>0</v>
      </c>
      <c r="J106" s="718">
        <v>0</v>
      </c>
      <c r="K106" s="718">
        <v>0</v>
      </c>
    </row>
    <row r="107" spans="1:11" x14ac:dyDescent="0.35">
      <c r="A107" s="725" t="s">
        <v>1526</v>
      </c>
      <c r="B107" s="716">
        <v>32.75</v>
      </c>
      <c r="C107" s="717">
        <v>0</v>
      </c>
      <c r="D107" s="717">
        <v>0</v>
      </c>
      <c r="E107" s="716">
        <v>32.75</v>
      </c>
      <c r="F107" s="716">
        <v>0</v>
      </c>
      <c r="G107" s="716">
        <v>32.75</v>
      </c>
      <c r="H107" s="719">
        <v>0</v>
      </c>
      <c r="I107" s="718">
        <v>0</v>
      </c>
      <c r="J107" s="718">
        <v>0</v>
      </c>
      <c r="K107" s="718">
        <v>0</v>
      </c>
    </row>
    <row r="108" spans="1:11" x14ac:dyDescent="0.35">
      <c r="A108" s="725" t="s">
        <v>1527</v>
      </c>
      <c r="B108" s="716">
        <v>38.5</v>
      </c>
      <c r="C108" s="717">
        <v>0</v>
      </c>
      <c r="D108" s="717">
        <v>0</v>
      </c>
      <c r="E108" s="716">
        <v>38.5</v>
      </c>
      <c r="F108" s="716">
        <v>0</v>
      </c>
      <c r="G108" s="716">
        <v>38.5</v>
      </c>
      <c r="H108" s="719">
        <v>0</v>
      </c>
      <c r="I108" s="718">
        <v>0</v>
      </c>
      <c r="J108" s="718">
        <v>0</v>
      </c>
      <c r="K108" s="718">
        <v>0</v>
      </c>
    </row>
    <row r="109" spans="1:11" x14ac:dyDescent="0.35">
      <c r="A109" s="725" t="s">
        <v>1528</v>
      </c>
      <c r="B109" s="716">
        <v>40.75</v>
      </c>
      <c r="C109" s="717">
        <v>0</v>
      </c>
      <c r="D109" s="717">
        <v>0</v>
      </c>
      <c r="E109" s="716">
        <v>40.75</v>
      </c>
      <c r="F109" s="716">
        <v>0</v>
      </c>
      <c r="G109" s="716">
        <v>40.75</v>
      </c>
      <c r="H109" s="719">
        <v>0</v>
      </c>
      <c r="I109" s="718">
        <v>0</v>
      </c>
      <c r="J109" s="718">
        <v>0</v>
      </c>
      <c r="K109" s="718">
        <v>0</v>
      </c>
    </row>
    <row r="110" spans="1:11" x14ac:dyDescent="0.35">
      <c r="A110" s="724" t="s">
        <v>925</v>
      </c>
      <c r="B110" s="716"/>
      <c r="C110" s="717"/>
      <c r="D110" s="717"/>
      <c r="E110" s="716"/>
      <c r="F110" s="716"/>
      <c r="G110" s="716"/>
      <c r="H110" s="719"/>
      <c r="I110" s="718"/>
      <c r="J110" s="718"/>
      <c r="K110" s="718"/>
    </row>
    <row r="111" spans="1:11" x14ac:dyDescent="0.35">
      <c r="A111" s="725" t="s">
        <v>1529</v>
      </c>
      <c r="B111" s="716">
        <v>46</v>
      </c>
      <c r="C111" s="717">
        <v>0</v>
      </c>
      <c r="D111" s="717">
        <v>0</v>
      </c>
      <c r="E111" s="716">
        <v>46</v>
      </c>
      <c r="F111" s="716">
        <v>0</v>
      </c>
      <c r="G111" s="716">
        <v>46</v>
      </c>
      <c r="H111" s="719">
        <v>0</v>
      </c>
      <c r="I111" s="718">
        <v>0</v>
      </c>
      <c r="J111" s="718">
        <v>0</v>
      </c>
      <c r="K111" s="718">
        <v>0</v>
      </c>
    </row>
    <row r="112" spans="1:11" x14ac:dyDescent="0.35">
      <c r="A112" s="725" t="s">
        <v>1530</v>
      </c>
      <c r="B112" s="716">
        <v>50.25</v>
      </c>
      <c r="C112" s="717">
        <v>0</v>
      </c>
      <c r="D112" s="717">
        <v>0</v>
      </c>
      <c r="E112" s="716">
        <v>50.25</v>
      </c>
      <c r="F112" s="716">
        <v>0</v>
      </c>
      <c r="G112" s="716">
        <v>50.25</v>
      </c>
      <c r="H112" s="719">
        <v>0</v>
      </c>
      <c r="I112" s="718">
        <v>0</v>
      </c>
      <c r="J112" s="718">
        <v>0</v>
      </c>
      <c r="K112" s="718">
        <v>0</v>
      </c>
    </row>
    <row r="113" spans="1:11" x14ac:dyDescent="0.35">
      <c r="A113" s="725" t="s">
        <v>1531</v>
      </c>
      <c r="B113" s="716">
        <v>56.25</v>
      </c>
      <c r="C113" s="717">
        <v>0</v>
      </c>
      <c r="D113" s="717">
        <v>0</v>
      </c>
      <c r="E113" s="716">
        <v>56.25</v>
      </c>
      <c r="F113" s="716">
        <v>0</v>
      </c>
      <c r="G113" s="716">
        <v>56.25</v>
      </c>
      <c r="H113" s="719">
        <v>0</v>
      </c>
      <c r="I113" s="718">
        <v>0</v>
      </c>
      <c r="J113" s="718">
        <v>0</v>
      </c>
      <c r="K113" s="718">
        <v>0</v>
      </c>
    </row>
    <row r="114" spans="1:11" x14ac:dyDescent="0.35">
      <c r="A114" s="725" t="s">
        <v>1532</v>
      </c>
      <c r="B114" s="716">
        <v>58.75</v>
      </c>
      <c r="C114" s="717">
        <v>0</v>
      </c>
      <c r="D114" s="717">
        <v>0</v>
      </c>
      <c r="E114" s="716">
        <v>58.75</v>
      </c>
      <c r="F114" s="716">
        <v>0</v>
      </c>
      <c r="G114" s="716">
        <v>58.75</v>
      </c>
      <c r="H114" s="719">
        <v>0</v>
      </c>
      <c r="I114" s="718">
        <v>0</v>
      </c>
      <c r="J114" s="718">
        <v>0</v>
      </c>
      <c r="K114" s="718">
        <v>0</v>
      </c>
    </row>
    <row r="115" spans="1:11" x14ac:dyDescent="0.35">
      <c r="A115" s="724" t="s">
        <v>926</v>
      </c>
      <c r="B115" s="716"/>
      <c r="C115" s="717"/>
      <c r="D115" s="717"/>
      <c r="E115" s="716"/>
      <c r="F115" s="716"/>
      <c r="G115" s="716"/>
      <c r="H115" s="719"/>
      <c r="I115" s="718"/>
      <c r="J115" s="718"/>
      <c r="K115" s="718"/>
    </row>
    <row r="116" spans="1:11" x14ac:dyDescent="0.35">
      <c r="A116" s="725" t="s">
        <v>1533</v>
      </c>
      <c r="B116" s="716">
        <v>26.5</v>
      </c>
      <c r="C116" s="717">
        <v>0</v>
      </c>
      <c r="D116" s="717">
        <v>0</v>
      </c>
      <c r="E116" s="716">
        <v>26.5</v>
      </c>
      <c r="F116" s="716">
        <v>0</v>
      </c>
      <c r="G116" s="716">
        <v>26.5</v>
      </c>
      <c r="H116" s="719">
        <v>0</v>
      </c>
      <c r="I116" s="718">
        <v>0</v>
      </c>
      <c r="J116" s="718">
        <v>0</v>
      </c>
      <c r="K116" s="718">
        <v>0</v>
      </c>
    </row>
    <row r="117" spans="1:11" x14ac:dyDescent="0.35">
      <c r="A117" s="725" t="s">
        <v>1534</v>
      </c>
      <c r="B117" s="716">
        <v>30.75</v>
      </c>
      <c r="C117" s="717">
        <v>0</v>
      </c>
      <c r="D117" s="717">
        <v>0</v>
      </c>
      <c r="E117" s="716">
        <v>30.75</v>
      </c>
      <c r="F117" s="716">
        <v>0</v>
      </c>
      <c r="G117" s="716">
        <v>30.75</v>
      </c>
      <c r="H117" s="719">
        <v>0</v>
      </c>
      <c r="I117" s="718">
        <v>0</v>
      </c>
      <c r="J117" s="718">
        <v>0</v>
      </c>
      <c r="K117" s="718">
        <v>0</v>
      </c>
    </row>
    <row r="118" spans="1:11" x14ac:dyDescent="0.35">
      <c r="A118" s="725" t="s">
        <v>1535</v>
      </c>
      <c r="B118" s="716">
        <v>33</v>
      </c>
      <c r="C118" s="717">
        <v>0</v>
      </c>
      <c r="D118" s="717">
        <v>0</v>
      </c>
      <c r="E118" s="716">
        <v>33</v>
      </c>
      <c r="F118" s="716">
        <v>0</v>
      </c>
      <c r="G118" s="716">
        <v>33</v>
      </c>
      <c r="H118" s="719">
        <v>0</v>
      </c>
      <c r="I118" s="718">
        <v>0</v>
      </c>
      <c r="J118" s="718">
        <v>0</v>
      </c>
      <c r="K118" s="718">
        <v>0</v>
      </c>
    </row>
    <row r="119" spans="1:11" x14ac:dyDescent="0.35">
      <c r="A119" s="725" t="s">
        <v>1536</v>
      </c>
      <c r="B119" s="716">
        <v>33.75</v>
      </c>
      <c r="C119" s="717">
        <v>0</v>
      </c>
      <c r="D119" s="717">
        <v>0</v>
      </c>
      <c r="E119" s="716">
        <v>33.75</v>
      </c>
      <c r="F119" s="716">
        <v>0</v>
      </c>
      <c r="G119" s="716">
        <v>33.75</v>
      </c>
      <c r="H119" s="719">
        <v>0</v>
      </c>
      <c r="I119" s="718">
        <v>0</v>
      </c>
      <c r="J119" s="718">
        <v>0</v>
      </c>
      <c r="K119" s="718">
        <v>0</v>
      </c>
    </row>
    <row r="120" spans="1:11" x14ac:dyDescent="0.35">
      <c r="A120" s="723" t="s">
        <v>28</v>
      </c>
      <c r="B120" s="716">
        <v>1.65</v>
      </c>
      <c r="C120" s="717">
        <v>0</v>
      </c>
      <c r="D120" s="717">
        <v>0</v>
      </c>
      <c r="E120" s="716">
        <v>1.65</v>
      </c>
      <c r="F120" s="716">
        <v>0</v>
      </c>
      <c r="G120" s="716">
        <v>1.65</v>
      </c>
      <c r="H120" s="719">
        <v>0</v>
      </c>
      <c r="I120" s="718"/>
      <c r="J120" s="718"/>
      <c r="K120" s="718"/>
    </row>
    <row r="121" spans="1:11" x14ac:dyDescent="0.35">
      <c r="A121" s="723" t="s">
        <v>314</v>
      </c>
      <c r="B121" s="716">
        <v>100</v>
      </c>
      <c r="C121" s="717">
        <v>0</v>
      </c>
      <c r="D121" s="717">
        <v>0</v>
      </c>
      <c r="E121" s="716">
        <v>100</v>
      </c>
      <c r="F121" s="716">
        <v>0</v>
      </c>
      <c r="G121" s="716">
        <v>100</v>
      </c>
      <c r="H121" s="719">
        <v>0</v>
      </c>
      <c r="I121" s="718">
        <v>0</v>
      </c>
      <c r="J121" s="718">
        <v>0</v>
      </c>
      <c r="K121" s="718">
        <v>0</v>
      </c>
    </row>
    <row r="122" spans="1:11" x14ac:dyDescent="0.35">
      <c r="A122" s="723" t="s">
        <v>69</v>
      </c>
      <c r="B122" s="716"/>
      <c r="C122" s="717"/>
      <c r="D122" s="717"/>
      <c r="E122" s="716"/>
      <c r="F122" s="716"/>
      <c r="G122" s="716"/>
      <c r="H122" s="719"/>
      <c r="I122" s="718"/>
      <c r="J122" s="718"/>
      <c r="K122" s="718"/>
    </row>
    <row r="123" spans="1:11" x14ac:dyDescent="0.35">
      <c r="A123" s="724" t="s">
        <v>951</v>
      </c>
      <c r="B123" s="716">
        <v>16.75</v>
      </c>
      <c r="C123" s="717">
        <v>0</v>
      </c>
      <c r="D123" s="717">
        <v>0</v>
      </c>
      <c r="E123" s="716">
        <v>16.75</v>
      </c>
      <c r="F123" s="716">
        <v>0</v>
      </c>
      <c r="G123" s="716">
        <v>16.75</v>
      </c>
      <c r="H123" s="719">
        <v>0</v>
      </c>
      <c r="I123" s="718">
        <v>0</v>
      </c>
      <c r="J123" s="718">
        <v>0</v>
      </c>
      <c r="K123" s="718">
        <v>0</v>
      </c>
    </row>
    <row r="124" spans="1:11" x14ac:dyDescent="0.35">
      <c r="A124" s="724" t="s">
        <v>308</v>
      </c>
      <c r="B124" s="716">
        <v>16.25</v>
      </c>
      <c r="C124" s="717">
        <v>0</v>
      </c>
      <c r="D124" s="717">
        <v>0</v>
      </c>
      <c r="E124" s="716">
        <v>16.25</v>
      </c>
      <c r="F124" s="716">
        <v>0</v>
      </c>
      <c r="G124" s="716">
        <v>16.25</v>
      </c>
      <c r="H124" s="719">
        <v>0</v>
      </c>
      <c r="I124" s="718">
        <v>0</v>
      </c>
      <c r="J124" s="718">
        <v>0</v>
      </c>
      <c r="K124" s="718">
        <v>0</v>
      </c>
    </row>
    <row r="125" spans="1:11" x14ac:dyDescent="0.35">
      <c r="A125" s="724" t="s">
        <v>282</v>
      </c>
      <c r="B125" s="716">
        <v>6.6</v>
      </c>
      <c r="C125" s="717">
        <v>0</v>
      </c>
      <c r="D125" s="717">
        <v>0</v>
      </c>
      <c r="E125" s="716">
        <v>6.6</v>
      </c>
      <c r="F125" s="716">
        <v>0</v>
      </c>
      <c r="G125" s="716">
        <v>6.6</v>
      </c>
      <c r="H125" s="719">
        <v>0</v>
      </c>
      <c r="I125" s="718">
        <v>0</v>
      </c>
      <c r="J125" s="718">
        <v>0</v>
      </c>
      <c r="K125" s="718">
        <v>0</v>
      </c>
    </row>
    <row r="126" spans="1:11" x14ac:dyDescent="0.35">
      <c r="A126" s="724" t="s">
        <v>305</v>
      </c>
      <c r="B126" s="716">
        <v>46</v>
      </c>
      <c r="C126" s="717">
        <v>0</v>
      </c>
      <c r="D126" s="717">
        <v>0</v>
      </c>
      <c r="E126" s="716">
        <v>46</v>
      </c>
      <c r="F126" s="716">
        <v>0</v>
      </c>
      <c r="G126" s="716">
        <v>46</v>
      </c>
      <c r="H126" s="719">
        <v>0</v>
      </c>
      <c r="I126" s="718">
        <v>0</v>
      </c>
      <c r="J126" s="718">
        <v>0</v>
      </c>
      <c r="K126" s="718">
        <v>0</v>
      </c>
    </row>
    <row r="127" spans="1:11" x14ac:dyDescent="0.35">
      <c r="A127" s="724" t="s">
        <v>309</v>
      </c>
      <c r="B127" s="716">
        <v>16.25</v>
      </c>
      <c r="C127" s="717">
        <v>0</v>
      </c>
      <c r="D127" s="717">
        <v>0</v>
      </c>
      <c r="E127" s="716">
        <v>16.25</v>
      </c>
      <c r="F127" s="716">
        <v>0</v>
      </c>
      <c r="G127" s="716">
        <v>16.25</v>
      </c>
      <c r="H127" s="719">
        <v>0</v>
      </c>
      <c r="I127" s="718">
        <v>0</v>
      </c>
      <c r="J127" s="718">
        <v>0</v>
      </c>
      <c r="K127" s="718">
        <v>0</v>
      </c>
    </row>
    <row r="128" spans="1:11" x14ac:dyDescent="0.35">
      <c r="A128" s="724" t="s">
        <v>281</v>
      </c>
      <c r="B128" s="716">
        <v>4.45</v>
      </c>
      <c r="C128" s="717">
        <v>0</v>
      </c>
      <c r="D128" s="717">
        <v>0</v>
      </c>
      <c r="E128" s="716">
        <v>4.45</v>
      </c>
      <c r="F128" s="716">
        <v>0</v>
      </c>
      <c r="G128" s="716">
        <v>4.45</v>
      </c>
      <c r="H128" s="719">
        <v>0</v>
      </c>
      <c r="I128" s="718">
        <v>0</v>
      </c>
      <c r="J128" s="718">
        <v>0</v>
      </c>
      <c r="K128" s="718">
        <v>0</v>
      </c>
    </row>
    <row r="129" spans="1:11" x14ac:dyDescent="0.35">
      <c r="A129" s="724" t="s">
        <v>952</v>
      </c>
      <c r="B129" s="716">
        <v>16.75</v>
      </c>
      <c r="C129" s="717">
        <v>0</v>
      </c>
      <c r="D129" s="717">
        <v>0</v>
      </c>
      <c r="E129" s="716">
        <v>16.75</v>
      </c>
      <c r="F129" s="716">
        <v>0</v>
      </c>
      <c r="G129" s="716">
        <v>16.75</v>
      </c>
      <c r="H129" s="719">
        <v>0</v>
      </c>
      <c r="I129" s="718">
        <v>0</v>
      </c>
      <c r="J129" s="718">
        <v>0</v>
      </c>
      <c r="K129" s="718">
        <v>0</v>
      </c>
    </row>
    <row r="130" spans="1:11" x14ac:dyDescent="0.35">
      <c r="A130" s="724" t="s">
        <v>306</v>
      </c>
      <c r="B130" s="716">
        <v>5.55</v>
      </c>
      <c r="C130" s="717">
        <v>0</v>
      </c>
      <c r="D130" s="717">
        <v>0</v>
      </c>
      <c r="E130" s="716">
        <v>5.55</v>
      </c>
      <c r="F130" s="716">
        <v>0</v>
      </c>
      <c r="G130" s="716">
        <v>5.55</v>
      </c>
      <c r="H130" s="719">
        <v>0</v>
      </c>
      <c r="I130" s="718">
        <v>0</v>
      </c>
      <c r="J130" s="718">
        <v>0</v>
      </c>
      <c r="K130" s="718">
        <v>0</v>
      </c>
    </row>
    <row r="131" spans="1:11" x14ac:dyDescent="0.35">
      <c r="A131" s="724" t="s">
        <v>304</v>
      </c>
      <c r="B131" s="716">
        <v>46</v>
      </c>
      <c r="C131" s="717">
        <v>0</v>
      </c>
      <c r="D131" s="717">
        <v>0</v>
      </c>
      <c r="E131" s="716">
        <v>46</v>
      </c>
      <c r="F131" s="716">
        <v>0</v>
      </c>
      <c r="G131" s="716">
        <v>46</v>
      </c>
      <c r="H131" s="719">
        <v>0</v>
      </c>
      <c r="I131" s="718">
        <v>0</v>
      </c>
      <c r="J131" s="718">
        <v>0</v>
      </c>
      <c r="K131" s="718">
        <v>0</v>
      </c>
    </row>
    <row r="132" spans="1:11" x14ac:dyDescent="0.35">
      <c r="A132" s="724" t="s">
        <v>307</v>
      </c>
      <c r="B132" s="716">
        <v>8.8000000000000007</v>
      </c>
      <c r="C132" s="717">
        <v>0</v>
      </c>
      <c r="D132" s="717">
        <v>0</v>
      </c>
      <c r="E132" s="716">
        <v>8.8000000000000007</v>
      </c>
      <c r="F132" s="716">
        <v>0</v>
      </c>
      <c r="G132" s="716">
        <v>8.8000000000000007</v>
      </c>
      <c r="H132" s="719">
        <v>0</v>
      </c>
      <c r="I132" s="718">
        <v>0</v>
      </c>
      <c r="J132" s="718">
        <v>0</v>
      </c>
      <c r="K132" s="718">
        <v>0</v>
      </c>
    </row>
    <row r="133" spans="1:11" x14ac:dyDescent="0.35">
      <c r="A133" s="723" t="s">
        <v>933</v>
      </c>
      <c r="B133" s="716">
        <v>25.5</v>
      </c>
      <c r="C133" s="717">
        <v>0</v>
      </c>
      <c r="D133" s="717">
        <v>0</v>
      </c>
      <c r="E133" s="716">
        <v>25.5</v>
      </c>
      <c r="F133" s="716">
        <v>0</v>
      </c>
      <c r="G133" s="716">
        <v>25.5</v>
      </c>
      <c r="H133" s="719">
        <v>0</v>
      </c>
      <c r="I133" s="718">
        <v>0</v>
      </c>
      <c r="J133" s="718">
        <v>0</v>
      </c>
      <c r="K133" s="718">
        <v>0</v>
      </c>
    </row>
    <row r="134" spans="1:11" x14ac:dyDescent="0.35">
      <c r="A134" s="723" t="s">
        <v>286</v>
      </c>
      <c r="B134" s="716"/>
      <c r="C134" s="717"/>
      <c r="D134" s="717"/>
      <c r="E134" s="716"/>
      <c r="F134" s="716"/>
      <c r="G134" s="716"/>
      <c r="H134" s="719"/>
      <c r="I134" s="718"/>
      <c r="J134" s="718"/>
      <c r="K134" s="718"/>
    </row>
    <row r="135" spans="1:11" x14ac:dyDescent="0.35">
      <c r="A135" s="724" t="s">
        <v>288</v>
      </c>
      <c r="B135" s="716">
        <v>10</v>
      </c>
      <c r="C135" s="717">
        <v>0</v>
      </c>
      <c r="D135" s="717">
        <v>0</v>
      </c>
      <c r="E135" s="716">
        <v>10</v>
      </c>
      <c r="F135" s="716">
        <v>0</v>
      </c>
      <c r="G135" s="716">
        <v>10</v>
      </c>
      <c r="H135" s="719">
        <v>0</v>
      </c>
      <c r="I135" s="718">
        <v>0</v>
      </c>
      <c r="J135" s="718">
        <v>0</v>
      </c>
      <c r="K135" s="718">
        <v>0</v>
      </c>
    </row>
    <row r="136" spans="1:11" x14ac:dyDescent="0.35">
      <c r="A136" s="724" t="s">
        <v>287</v>
      </c>
      <c r="B136" s="716">
        <v>7.6</v>
      </c>
      <c r="C136" s="717">
        <v>0</v>
      </c>
      <c r="D136" s="717">
        <v>0</v>
      </c>
      <c r="E136" s="716">
        <v>7.6</v>
      </c>
      <c r="F136" s="716">
        <v>0</v>
      </c>
      <c r="G136" s="716">
        <v>7.6</v>
      </c>
      <c r="H136" s="719">
        <v>0</v>
      </c>
      <c r="I136" s="718">
        <v>0</v>
      </c>
      <c r="J136" s="718">
        <v>0</v>
      </c>
      <c r="K136" s="718">
        <v>0</v>
      </c>
    </row>
    <row r="137" spans="1:11" x14ac:dyDescent="0.35">
      <c r="A137" s="724" t="s">
        <v>285</v>
      </c>
      <c r="B137" s="716">
        <v>7.6</v>
      </c>
      <c r="C137" s="717">
        <v>0</v>
      </c>
      <c r="D137" s="717">
        <v>0</v>
      </c>
      <c r="E137" s="716">
        <v>7.6</v>
      </c>
      <c r="F137" s="716">
        <v>0</v>
      </c>
      <c r="G137" s="716">
        <v>7.6</v>
      </c>
      <c r="H137" s="719">
        <v>0</v>
      </c>
      <c r="I137" s="718">
        <v>0</v>
      </c>
      <c r="J137" s="718">
        <v>0</v>
      </c>
      <c r="K137" s="718">
        <v>0</v>
      </c>
    </row>
    <row r="138" spans="1:11" x14ac:dyDescent="0.35">
      <c r="A138" s="723" t="s">
        <v>283</v>
      </c>
      <c r="B138" s="716"/>
      <c r="C138" s="717"/>
      <c r="D138" s="717"/>
      <c r="E138" s="716"/>
      <c r="F138" s="716"/>
      <c r="G138" s="716"/>
      <c r="H138" s="719"/>
      <c r="I138" s="718"/>
      <c r="J138" s="718"/>
      <c r="K138" s="718"/>
    </row>
    <row r="139" spans="1:11" x14ac:dyDescent="0.35">
      <c r="A139" s="724" t="s">
        <v>1005</v>
      </c>
      <c r="B139" s="716">
        <v>1.05</v>
      </c>
      <c r="C139" s="717">
        <v>0</v>
      </c>
      <c r="D139" s="717">
        <v>0</v>
      </c>
      <c r="E139" s="716">
        <v>1.05</v>
      </c>
      <c r="F139" s="716">
        <v>0</v>
      </c>
      <c r="G139" s="716">
        <v>1.05</v>
      </c>
      <c r="H139" s="719">
        <v>0</v>
      </c>
      <c r="I139" s="718">
        <v>0</v>
      </c>
      <c r="J139" s="718">
        <v>0</v>
      </c>
      <c r="K139" s="718">
        <v>0</v>
      </c>
    </row>
    <row r="140" spans="1:11" x14ac:dyDescent="0.35">
      <c r="A140" s="724" t="s">
        <v>1003</v>
      </c>
      <c r="B140" s="716">
        <v>1.05</v>
      </c>
      <c r="C140" s="717">
        <v>0</v>
      </c>
      <c r="D140" s="717">
        <v>0</v>
      </c>
      <c r="E140" s="716">
        <v>1.05</v>
      </c>
      <c r="F140" s="716">
        <v>0</v>
      </c>
      <c r="G140" s="716">
        <v>1.05</v>
      </c>
      <c r="H140" s="719">
        <v>0</v>
      </c>
      <c r="I140" s="718">
        <v>0</v>
      </c>
      <c r="J140" s="718">
        <v>0</v>
      </c>
      <c r="K140" s="718">
        <v>0</v>
      </c>
    </row>
    <row r="141" spans="1:11" x14ac:dyDescent="0.35">
      <c r="A141" s="723" t="s">
        <v>52</v>
      </c>
      <c r="B141" s="716">
        <v>8.5</v>
      </c>
      <c r="C141" s="717">
        <v>0</v>
      </c>
      <c r="D141" s="717">
        <v>0</v>
      </c>
      <c r="E141" s="716">
        <v>8.5</v>
      </c>
      <c r="F141" s="716">
        <v>0</v>
      </c>
      <c r="G141" s="716">
        <v>8.5</v>
      </c>
      <c r="H141" s="719">
        <v>0</v>
      </c>
      <c r="I141" s="718">
        <v>0</v>
      </c>
      <c r="J141" s="718">
        <v>0</v>
      </c>
      <c r="K141" s="718">
        <v>0</v>
      </c>
    </row>
    <row r="142" spans="1:11" x14ac:dyDescent="0.35">
      <c r="A142" s="723" t="s">
        <v>46</v>
      </c>
      <c r="B142" s="716">
        <v>16</v>
      </c>
      <c r="C142" s="717">
        <v>0</v>
      </c>
      <c r="D142" s="717">
        <v>0</v>
      </c>
      <c r="E142" s="716">
        <v>16</v>
      </c>
      <c r="F142" s="716">
        <v>0</v>
      </c>
      <c r="G142" s="716">
        <v>16</v>
      </c>
      <c r="H142" s="719">
        <v>0</v>
      </c>
      <c r="I142" s="718">
        <v>0</v>
      </c>
      <c r="J142" s="718">
        <v>0</v>
      </c>
      <c r="K142" s="718">
        <v>0</v>
      </c>
    </row>
    <row r="143" spans="1:11" x14ac:dyDescent="0.35">
      <c r="A143" s="723" t="s">
        <v>53</v>
      </c>
      <c r="B143" s="716">
        <v>13</v>
      </c>
      <c r="C143" s="717">
        <v>0</v>
      </c>
      <c r="D143" s="717">
        <v>0</v>
      </c>
      <c r="E143" s="716">
        <v>13</v>
      </c>
      <c r="F143" s="716">
        <v>0</v>
      </c>
      <c r="G143" s="716">
        <v>13</v>
      </c>
      <c r="H143" s="719">
        <v>0</v>
      </c>
      <c r="I143" s="718">
        <v>0</v>
      </c>
      <c r="J143" s="718">
        <v>0</v>
      </c>
      <c r="K143" s="718">
        <v>0</v>
      </c>
    </row>
    <row r="144" spans="1:11" x14ac:dyDescent="0.35">
      <c r="A144" s="723" t="s">
        <v>1514</v>
      </c>
      <c r="B144" s="716"/>
      <c r="C144" s="717"/>
      <c r="D144" s="717"/>
      <c r="E144" s="716"/>
      <c r="F144" s="716"/>
      <c r="G144" s="716"/>
      <c r="H144" s="719"/>
      <c r="I144" s="718"/>
      <c r="J144" s="718"/>
      <c r="K144" s="718"/>
    </row>
    <row r="145" spans="1:11" x14ac:dyDescent="0.35">
      <c r="A145" s="724" t="s">
        <v>1513</v>
      </c>
      <c r="B145" s="716"/>
      <c r="C145" s="717"/>
      <c r="D145" s="717"/>
      <c r="E145" s="716"/>
      <c r="F145" s="716"/>
      <c r="G145" s="716"/>
      <c r="H145" s="719"/>
      <c r="I145" s="718"/>
      <c r="J145" s="718"/>
      <c r="K145" s="718"/>
    </row>
    <row r="146" spans="1:11" x14ac:dyDescent="0.35">
      <c r="A146" s="725" t="s">
        <v>1537</v>
      </c>
      <c r="B146" s="716">
        <v>255</v>
      </c>
      <c r="C146" s="717">
        <v>0</v>
      </c>
      <c r="D146" s="717">
        <v>0</v>
      </c>
      <c r="E146" s="716">
        <v>255</v>
      </c>
      <c r="F146" s="716">
        <v>0</v>
      </c>
      <c r="G146" s="716">
        <v>255</v>
      </c>
      <c r="H146" s="719">
        <v>0</v>
      </c>
      <c r="I146" s="718">
        <v>0</v>
      </c>
      <c r="J146" s="718">
        <v>0</v>
      </c>
      <c r="K146" s="718">
        <v>0</v>
      </c>
    </row>
    <row r="147" spans="1:11" x14ac:dyDescent="0.35">
      <c r="A147" s="725" t="s">
        <v>1538</v>
      </c>
      <c r="B147" s="716">
        <v>275</v>
      </c>
      <c r="C147" s="717">
        <v>0</v>
      </c>
      <c r="D147" s="717">
        <v>0</v>
      </c>
      <c r="E147" s="716">
        <v>275</v>
      </c>
      <c r="F147" s="716">
        <v>0</v>
      </c>
      <c r="G147" s="716">
        <v>275</v>
      </c>
      <c r="H147" s="719">
        <v>0</v>
      </c>
      <c r="I147" s="718">
        <v>0</v>
      </c>
      <c r="J147" s="718">
        <v>0</v>
      </c>
      <c r="K147" s="718">
        <v>0</v>
      </c>
    </row>
    <row r="148" spans="1:11" x14ac:dyDescent="0.35">
      <c r="A148" s="725" t="s">
        <v>1539</v>
      </c>
      <c r="B148" s="716">
        <v>320</v>
      </c>
      <c r="C148" s="717">
        <v>0</v>
      </c>
      <c r="D148" s="717">
        <v>0</v>
      </c>
      <c r="E148" s="716">
        <v>320</v>
      </c>
      <c r="F148" s="716">
        <v>0</v>
      </c>
      <c r="G148" s="716">
        <v>320</v>
      </c>
      <c r="H148" s="719">
        <v>0</v>
      </c>
      <c r="I148" s="718">
        <v>0</v>
      </c>
      <c r="J148" s="718">
        <v>0</v>
      </c>
      <c r="K148" s="718">
        <v>0</v>
      </c>
    </row>
    <row r="149" spans="1:11" x14ac:dyDescent="0.35">
      <c r="A149" s="725" t="s">
        <v>1540</v>
      </c>
      <c r="B149" s="716">
        <v>330</v>
      </c>
      <c r="C149" s="717">
        <v>0</v>
      </c>
      <c r="D149" s="717">
        <v>0</v>
      </c>
      <c r="E149" s="716">
        <v>330</v>
      </c>
      <c r="F149" s="716">
        <v>0</v>
      </c>
      <c r="G149" s="716">
        <v>330</v>
      </c>
      <c r="H149" s="719">
        <v>0</v>
      </c>
      <c r="I149" s="718">
        <v>0</v>
      </c>
      <c r="J149" s="718">
        <v>0</v>
      </c>
      <c r="K149" s="718">
        <v>0</v>
      </c>
    </row>
    <row r="150" spans="1:11" x14ac:dyDescent="0.35">
      <c r="A150" s="723" t="s">
        <v>334</v>
      </c>
      <c r="B150" s="716">
        <v>8.8000000000000007</v>
      </c>
      <c r="C150" s="717">
        <v>0</v>
      </c>
      <c r="D150" s="717">
        <v>0</v>
      </c>
      <c r="E150" s="716">
        <v>8.8000000000000007</v>
      </c>
      <c r="F150" s="716">
        <v>0</v>
      </c>
      <c r="G150" s="716">
        <v>8.8000000000000007</v>
      </c>
      <c r="H150" s="719">
        <v>0</v>
      </c>
      <c r="I150" s="718">
        <v>0</v>
      </c>
      <c r="J150" s="718">
        <v>0</v>
      </c>
      <c r="K150" s="718">
        <v>0</v>
      </c>
    </row>
    <row r="151" spans="1:11" x14ac:dyDescent="0.35">
      <c r="A151" s="723" t="s">
        <v>18</v>
      </c>
      <c r="B151" s="716">
        <v>0</v>
      </c>
      <c r="C151" s="717">
        <v>0</v>
      </c>
      <c r="D151" s="717">
        <v>0</v>
      </c>
      <c r="E151" s="716"/>
      <c r="F151" s="716"/>
      <c r="G151" s="716"/>
      <c r="H151" s="719">
        <v>0</v>
      </c>
      <c r="I151" s="718"/>
      <c r="J151" s="718"/>
      <c r="K151" s="718"/>
    </row>
    <row r="152" spans="1:11" x14ac:dyDescent="0.35">
      <c r="A152" s="715" t="s">
        <v>1788</v>
      </c>
      <c r="B152" s="716"/>
      <c r="C152" s="717"/>
      <c r="D152" s="717"/>
      <c r="E152" s="716"/>
      <c r="F152" s="716"/>
      <c r="G152" s="716"/>
      <c r="H152" s="719"/>
      <c r="I152" s="718"/>
      <c r="J152" s="718"/>
      <c r="K152" s="718"/>
    </row>
    <row r="153" spans="1:11" x14ac:dyDescent="0.35">
      <c r="A153" s="722" t="s">
        <v>946</v>
      </c>
      <c r="B153" s="716"/>
      <c r="C153" s="717"/>
      <c r="D153" s="717"/>
      <c r="E153" s="716"/>
      <c r="F153" s="716"/>
      <c r="G153" s="716"/>
      <c r="H153" s="719"/>
      <c r="I153" s="718"/>
      <c r="J153" s="718"/>
      <c r="K153" s="718"/>
    </row>
    <row r="154" spans="1:11" x14ac:dyDescent="0.35">
      <c r="A154" s="723" t="s">
        <v>1811</v>
      </c>
      <c r="B154" s="716"/>
      <c r="C154" s="717"/>
      <c r="D154" s="717"/>
      <c r="E154" s="716"/>
      <c r="F154" s="716"/>
      <c r="G154" s="716"/>
      <c r="H154" s="719"/>
      <c r="I154" s="718"/>
      <c r="J154" s="718"/>
      <c r="K154" s="718"/>
    </row>
    <row r="155" spans="1:11" x14ac:dyDescent="0.35">
      <c r="A155" s="724" t="s">
        <v>1774</v>
      </c>
      <c r="B155" s="716"/>
      <c r="C155" s="717"/>
      <c r="D155" s="717"/>
      <c r="E155" s="716"/>
      <c r="F155" s="716"/>
      <c r="G155" s="716"/>
      <c r="H155" s="719"/>
      <c r="I155" s="718"/>
      <c r="J155" s="718"/>
      <c r="K155" s="718"/>
    </row>
    <row r="156" spans="1:11" x14ac:dyDescent="0.35">
      <c r="A156" s="725" t="s">
        <v>1774</v>
      </c>
      <c r="B156" s="716">
        <v>8.3000000000000007</v>
      </c>
      <c r="C156" s="717">
        <v>0</v>
      </c>
      <c r="D156" s="717">
        <v>0</v>
      </c>
      <c r="E156" s="716">
        <v>8.3000000000000007</v>
      </c>
      <c r="F156" s="716">
        <v>0</v>
      </c>
      <c r="G156" s="716">
        <v>8.3000000000000007</v>
      </c>
      <c r="H156" s="719">
        <v>0</v>
      </c>
      <c r="I156" s="718">
        <v>0</v>
      </c>
      <c r="J156" s="718">
        <v>0</v>
      </c>
      <c r="K156" s="718">
        <v>0</v>
      </c>
    </row>
    <row r="157" spans="1:11" x14ac:dyDescent="0.35">
      <c r="A157" s="724" t="s">
        <v>1769</v>
      </c>
      <c r="B157" s="716"/>
      <c r="C157" s="717"/>
      <c r="D157" s="717"/>
      <c r="E157" s="716"/>
      <c r="F157" s="716"/>
      <c r="G157" s="716"/>
      <c r="H157" s="719"/>
      <c r="I157" s="718"/>
      <c r="J157" s="718"/>
      <c r="K157" s="718"/>
    </row>
    <row r="158" spans="1:11" x14ac:dyDescent="0.35">
      <c r="A158" s="725" t="s">
        <v>1769</v>
      </c>
      <c r="B158" s="716">
        <v>22.75</v>
      </c>
      <c r="C158" s="717">
        <v>0</v>
      </c>
      <c r="D158" s="717">
        <v>0</v>
      </c>
      <c r="E158" s="716">
        <v>22.75</v>
      </c>
      <c r="F158" s="716">
        <v>0</v>
      </c>
      <c r="G158" s="716">
        <v>22.75</v>
      </c>
      <c r="H158" s="719">
        <v>0</v>
      </c>
      <c r="I158" s="718">
        <v>0</v>
      </c>
      <c r="J158" s="718">
        <v>0</v>
      </c>
      <c r="K158" s="718">
        <v>0</v>
      </c>
    </row>
    <row r="159" spans="1:11" x14ac:dyDescent="0.35">
      <c r="A159" s="724" t="s">
        <v>1779</v>
      </c>
      <c r="B159" s="716"/>
      <c r="C159" s="717"/>
      <c r="D159" s="717"/>
      <c r="E159" s="716"/>
      <c r="F159" s="716"/>
      <c r="G159" s="716"/>
      <c r="H159" s="719"/>
      <c r="I159" s="718"/>
      <c r="J159" s="718"/>
      <c r="K159" s="718"/>
    </row>
    <row r="160" spans="1:11" x14ac:dyDescent="0.35">
      <c r="A160" s="725" t="s">
        <v>1779</v>
      </c>
      <c r="B160" s="716">
        <v>7.95</v>
      </c>
      <c r="C160" s="717">
        <v>0</v>
      </c>
      <c r="D160" s="717">
        <v>0</v>
      </c>
      <c r="E160" s="716">
        <v>7.95</v>
      </c>
      <c r="F160" s="716">
        <v>0</v>
      </c>
      <c r="G160" s="716">
        <v>7.95</v>
      </c>
      <c r="H160" s="719">
        <v>0</v>
      </c>
      <c r="I160" s="718">
        <v>0</v>
      </c>
      <c r="J160" s="718">
        <v>0</v>
      </c>
      <c r="K160" s="718">
        <v>0</v>
      </c>
    </row>
    <row r="161" spans="1:11" x14ac:dyDescent="0.35">
      <c r="A161" s="724" t="s">
        <v>1758</v>
      </c>
      <c r="B161" s="716"/>
      <c r="C161" s="717"/>
      <c r="D161" s="717"/>
      <c r="E161" s="716"/>
      <c r="F161" s="716"/>
      <c r="G161" s="716"/>
      <c r="H161" s="719"/>
      <c r="I161" s="718"/>
      <c r="J161" s="718"/>
      <c r="K161" s="718"/>
    </row>
    <row r="162" spans="1:11" x14ac:dyDescent="0.35">
      <c r="A162" s="725" t="s">
        <v>1758</v>
      </c>
      <c r="B162" s="716">
        <v>9</v>
      </c>
      <c r="C162" s="717">
        <v>0</v>
      </c>
      <c r="D162" s="717">
        <v>0</v>
      </c>
      <c r="E162" s="716">
        <v>9</v>
      </c>
      <c r="F162" s="716">
        <v>0</v>
      </c>
      <c r="G162" s="716">
        <v>9</v>
      </c>
      <c r="H162" s="719">
        <v>0</v>
      </c>
      <c r="I162" s="718">
        <v>0</v>
      </c>
      <c r="J162" s="718">
        <v>0</v>
      </c>
      <c r="K162" s="718">
        <v>0</v>
      </c>
    </row>
    <row r="163" spans="1:11" x14ac:dyDescent="0.35">
      <c r="A163" s="724" t="s">
        <v>1772</v>
      </c>
      <c r="B163" s="716"/>
      <c r="C163" s="717"/>
      <c r="D163" s="717"/>
      <c r="E163" s="716"/>
      <c r="F163" s="716"/>
      <c r="G163" s="716"/>
      <c r="H163" s="719"/>
      <c r="I163" s="718"/>
      <c r="J163" s="718"/>
      <c r="K163" s="718"/>
    </row>
    <row r="164" spans="1:11" x14ac:dyDescent="0.35">
      <c r="A164" s="725" t="s">
        <v>1772</v>
      </c>
      <c r="B164" s="716">
        <v>5.95</v>
      </c>
      <c r="C164" s="717">
        <v>0</v>
      </c>
      <c r="D164" s="717">
        <v>0</v>
      </c>
      <c r="E164" s="716">
        <v>5.95</v>
      </c>
      <c r="F164" s="716">
        <v>0</v>
      </c>
      <c r="G164" s="716">
        <v>5.95</v>
      </c>
      <c r="H164" s="719">
        <v>0</v>
      </c>
      <c r="I164" s="718">
        <v>0</v>
      </c>
      <c r="J164" s="718">
        <v>0</v>
      </c>
      <c r="K164" s="718">
        <v>0</v>
      </c>
    </row>
    <row r="165" spans="1:11" x14ac:dyDescent="0.35">
      <c r="A165" s="724" t="s">
        <v>1759</v>
      </c>
      <c r="B165" s="716"/>
      <c r="C165" s="717"/>
      <c r="D165" s="717"/>
      <c r="E165" s="716"/>
      <c r="F165" s="716"/>
      <c r="G165" s="716"/>
      <c r="H165" s="719"/>
      <c r="I165" s="718"/>
      <c r="J165" s="718"/>
      <c r="K165" s="718"/>
    </row>
    <row r="166" spans="1:11" x14ac:dyDescent="0.35">
      <c r="A166" s="725" t="s">
        <v>1759</v>
      </c>
      <c r="B166" s="716">
        <v>15.5</v>
      </c>
      <c r="C166" s="717">
        <v>0</v>
      </c>
      <c r="D166" s="717">
        <v>0</v>
      </c>
      <c r="E166" s="716">
        <v>15.5</v>
      </c>
      <c r="F166" s="716">
        <v>0</v>
      </c>
      <c r="G166" s="716">
        <v>10.5</v>
      </c>
      <c r="H166" s="719">
        <v>0</v>
      </c>
      <c r="I166" s="718">
        <v>0</v>
      </c>
      <c r="J166" s="718">
        <v>0</v>
      </c>
      <c r="K166" s="718">
        <v>0</v>
      </c>
    </row>
    <row r="167" spans="1:11" x14ac:dyDescent="0.35">
      <c r="A167" s="724" t="s">
        <v>1777</v>
      </c>
      <c r="B167" s="716"/>
      <c r="C167" s="717"/>
      <c r="D167" s="717"/>
      <c r="E167" s="716"/>
      <c r="F167" s="716"/>
      <c r="G167" s="716"/>
      <c r="H167" s="719"/>
      <c r="I167" s="718"/>
      <c r="J167" s="718"/>
      <c r="K167" s="718"/>
    </row>
    <row r="168" spans="1:11" x14ac:dyDescent="0.35">
      <c r="A168" s="725" t="s">
        <v>1777</v>
      </c>
      <c r="B168" s="716">
        <v>12</v>
      </c>
      <c r="C168" s="717">
        <v>0</v>
      </c>
      <c r="D168" s="717">
        <v>0</v>
      </c>
      <c r="E168" s="716">
        <v>12</v>
      </c>
      <c r="F168" s="716">
        <v>0</v>
      </c>
      <c r="G168" s="716">
        <v>12</v>
      </c>
      <c r="H168" s="719">
        <v>0</v>
      </c>
      <c r="I168" s="718">
        <v>0</v>
      </c>
      <c r="J168" s="718">
        <v>0</v>
      </c>
      <c r="K168" s="718">
        <v>0</v>
      </c>
    </row>
    <row r="169" spans="1:11" x14ac:dyDescent="0.35">
      <c r="A169" s="724" t="s">
        <v>1760</v>
      </c>
      <c r="B169" s="716"/>
      <c r="C169" s="717"/>
      <c r="D169" s="717"/>
      <c r="E169" s="716"/>
      <c r="F169" s="716"/>
      <c r="G169" s="716"/>
      <c r="H169" s="719"/>
      <c r="I169" s="718"/>
      <c r="J169" s="718"/>
      <c r="K169" s="718"/>
    </row>
    <row r="170" spans="1:11" x14ac:dyDescent="0.35">
      <c r="A170" s="725" t="s">
        <v>1760</v>
      </c>
      <c r="B170" s="716">
        <v>15.5</v>
      </c>
      <c r="C170" s="717">
        <v>0</v>
      </c>
      <c r="D170" s="717">
        <v>0</v>
      </c>
      <c r="E170" s="716">
        <v>15.5</v>
      </c>
      <c r="F170" s="716">
        <v>0</v>
      </c>
      <c r="G170" s="716">
        <v>15.5</v>
      </c>
      <c r="H170" s="719">
        <v>0</v>
      </c>
      <c r="I170" s="718">
        <v>0</v>
      </c>
      <c r="J170" s="718">
        <v>0</v>
      </c>
      <c r="K170" s="718">
        <v>0</v>
      </c>
    </row>
    <row r="171" spans="1:11" x14ac:dyDescent="0.35">
      <c r="A171" s="724" t="s">
        <v>1781</v>
      </c>
      <c r="B171" s="716"/>
      <c r="C171" s="717"/>
      <c r="D171" s="717"/>
      <c r="E171" s="716"/>
      <c r="F171" s="716"/>
      <c r="G171" s="716"/>
      <c r="H171" s="719"/>
      <c r="I171" s="718"/>
      <c r="J171" s="718"/>
      <c r="K171" s="718"/>
    </row>
    <row r="172" spans="1:11" x14ac:dyDescent="0.35">
      <c r="A172" s="725" t="s">
        <v>1781</v>
      </c>
      <c r="B172" s="716">
        <v>0</v>
      </c>
      <c r="C172" s="717">
        <v>0</v>
      </c>
      <c r="D172" s="717">
        <v>0</v>
      </c>
      <c r="E172" s="716">
        <v>0</v>
      </c>
      <c r="F172" s="716">
        <v>0</v>
      </c>
      <c r="G172" s="716">
        <v>0</v>
      </c>
      <c r="H172" s="719">
        <v>0</v>
      </c>
      <c r="I172" s="718">
        <v>0</v>
      </c>
      <c r="J172" s="718">
        <v>0</v>
      </c>
      <c r="K172" s="718">
        <v>0</v>
      </c>
    </row>
    <row r="173" spans="1:11" x14ac:dyDescent="0.35">
      <c r="A173" s="724" t="s">
        <v>1761</v>
      </c>
      <c r="B173" s="716"/>
      <c r="C173" s="717"/>
      <c r="D173" s="717"/>
      <c r="E173" s="716"/>
      <c r="F173" s="716"/>
      <c r="G173" s="716"/>
      <c r="H173" s="719"/>
      <c r="I173" s="718"/>
      <c r="J173" s="718"/>
      <c r="K173" s="718"/>
    </row>
    <row r="174" spans="1:11" x14ac:dyDescent="0.35">
      <c r="A174" s="725" t="s">
        <v>1761</v>
      </c>
      <c r="B174" s="716">
        <v>10.5</v>
      </c>
      <c r="C174" s="717">
        <v>0</v>
      </c>
      <c r="D174" s="717">
        <v>0</v>
      </c>
      <c r="E174" s="716">
        <v>10.5</v>
      </c>
      <c r="F174" s="716">
        <v>0</v>
      </c>
      <c r="G174" s="716">
        <v>10.5</v>
      </c>
      <c r="H174" s="719">
        <v>0</v>
      </c>
      <c r="I174" s="718">
        <v>0</v>
      </c>
      <c r="J174" s="718">
        <v>0</v>
      </c>
      <c r="K174" s="718">
        <v>0</v>
      </c>
    </row>
    <row r="175" spans="1:11" x14ac:dyDescent="0.35">
      <c r="A175" s="724" t="s">
        <v>1770</v>
      </c>
      <c r="B175" s="716"/>
      <c r="C175" s="717"/>
      <c r="D175" s="717"/>
      <c r="E175" s="716"/>
      <c r="F175" s="716"/>
      <c r="G175" s="716"/>
      <c r="H175" s="719"/>
      <c r="I175" s="718"/>
      <c r="J175" s="718"/>
      <c r="K175" s="718"/>
    </row>
    <row r="176" spans="1:11" x14ac:dyDescent="0.35">
      <c r="A176" s="725" t="s">
        <v>1770</v>
      </c>
      <c r="B176" s="716">
        <v>22.75</v>
      </c>
      <c r="C176" s="717">
        <v>0</v>
      </c>
      <c r="D176" s="717">
        <v>0</v>
      </c>
      <c r="E176" s="716">
        <v>22.75</v>
      </c>
      <c r="F176" s="716">
        <v>0</v>
      </c>
      <c r="G176" s="716">
        <v>22.75</v>
      </c>
      <c r="H176" s="719">
        <v>0</v>
      </c>
      <c r="I176" s="718">
        <v>0</v>
      </c>
      <c r="J176" s="718">
        <v>0</v>
      </c>
      <c r="K176" s="718">
        <v>0</v>
      </c>
    </row>
    <row r="177" spans="1:11" x14ac:dyDescent="0.35">
      <c r="A177" s="724" t="s">
        <v>1762</v>
      </c>
      <c r="B177" s="716"/>
      <c r="C177" s="717"/>
      <c r="D177" s="717"/>
      <c r="E177" s="716"/>
      <c r="F177" s="716"/>
      <c r="G177" s="716"/>
      <c r="H177" s="719"/>
      <c r="I177" s="718"/>
      <c r="J177" s="718"/>
      <c r="K177" s="718"/>
    </row>
    <row r="178" spans="1:11" x14ac:dyDescent="0.35">
      <c r="A178" s="725" t="s">
        <v>1762</v>
      </c>
      <c r="B178" s="716">
        <v>17</v>
      </c>
      <c r="C178" s="717">
        <v>0</v>
      </c>
      <c r="D178" s="717">
        <v>0</v>
      </c>
      <c r="E178" s="716">
        <v>17</v>
      </c>
      <c r="F178" s="716">
        <v>0</v>
      </c>
      <c r="G178" s="716">
        <v>17</v>
      </c>
      <c r="H178" s="719">
        <v>0</v>
      </c>
      <c r="I178" s="718">
        <v>0</v>
      </c>
      <c r="J178" s="718">
        <v>0</v>
      </c>
      <c r="K178" s="718">
        <v>0</v>
      </c>
    </row>
    <row r="179" spans="1:11" x14ac:dyDescent="0.35">
      <c r="A179" s="724" t="s">
        <v>1773</v>
      </c>
      <c r="B179" s="716"/>
      <c r="C179" s="717"/>
      <c r="D179" s="717"/>
      <c r="E179" s="716"/>
      <c r="F179" s="716"/>
      <c r="G179" s="716"/>
      <c r="H179" s="719"/>
      <c r="I179" s="718"/>
      <c r="J179" s="718"/>
      <c r="K179" s="718"/>
    </row>
    <row r="180" spans="1:11" x14ac:dyDescent="0.35">
      <c r="A180" s="725" t="s">
        <v>1773</v>
      </c>
      <c r="B180" s="716">
        <v>6.2</v>
      </c>
      <c r="C180" s="717">
        <v>0</v>
      </c>
      <c r="D180" s="717">
        <v>0</v>
      </c>
      <c r="E180" s="716">
        <v>6.2</v>
      </c>
      <c r="F180" s="716">
        <v>0</v>
      </c>
      <c r="G180" s="716">
        <v>6.2</v>
      </c>
      <c r="H180" s="719">
        <v>0</v>
      </c>
      <c r="I180" s="718">
        <v>0</v>
      </c>
      <c r="J180" s="718">
        <v>0</v>
      </c>
      <c r="K180" s="718">
        <v>0</v>
      </c>
    </row>
    <row r="181" spans="1:11" x14ac:dyDescent="0.35">
      <c r="A181" s="724" t="s">
        <v>1763</v>
      </c>
      <c r="B181" s="716"/>
      <c r="C181" s="717"/>
      <c r="D181" s="717"/>
      <c r="E181" s="716"/>
      <c r="F181" s="716"/>
      <c r="G181" s="716"/>
      <c r="H181" s="719"/>
      <c r="I181" s="718"/>
      <c r="J181" s="718"/>
      <c r="K181" s="718"/>
    </row>
    <row r="182" spans="1:11" x14ac:dyDescent="0.35">
      <c r="A182" s="725" t="s">
        <v>1763</v>
      </c>
      <c r="B182" s="716">
        <v>17</v>
      </c>
      <c r="C182" s="717">
        <v>0</v>
      </c>
      <c r="D182" s="717">
        <v>0</v>
      </c>
      <c r="E182" s="716">
        <v>17</v>
      </c>
      <c r="F182" s="716">
        <v>0</v>
      </c>
      <c r="G182" s="716">
        <v>17</v>
      </c>
      <c r="H182" s="719">
        <v>0</v>
      </c>
      <c r="I182" s="718">
        <v>0</v>
      </c>
      <c r="J182" s="718">
        <v>0</v>
      </c>
      <c r="K182" s="718">
        <v>0</v>
      </c>
    </row>
    <row r="183" spans="1:11" x14ac:dyDescent="0.35">
      <c r="A183" s="724" t="s">
        <v>1775</v>
      </c>
      <c r="B183" s="716"/>
      <c r="C183" s="717"/>
      <c r="D183" s="717"/>
      <c r="E183" s="716"/>
      <c r="F183" s="716"/>
      <c r="G183" s="716"/>
      <c r="H183" s="719"/>
      <c r="I183" s="718"/>
      <c r="J183" s="718"/>
      <c r="K183" s="718"/>
    </row>
    <row r="184" spans="1:11" x14ac:dyDescent="0.35">
      <c r="A184" s="725" t="s">
        <v>1775</v>
      </c>
      <c r="B184" s="716">
        <v>15.5</v>
      </c>
      <c r="C184" s="717">
        <v>0</v>
      </c>
      <c r="D184" s="717">
        <v>0</v>
      </c>
      <c r="E184" s="716">
        <v>15.5</v>
      </c>
      <c r="F184" s="716">
        <v>0</v>
      </c>
      <c r="G184" s="716">
        <v>15.5</v>
      </c>
      <c r="H184" s="719">
        <v>0</v>
      </c>
      <c r="I184" s="718">
        <v>0</v>
      </c>
      <c r="J184" s="718">
        <v>0</v>
      </c>
      <c r="K184" s="718">
        <v>0</v>
      </c>
    </row>
    <row r="185" spans="1:11" x14ac:dyDescent="0.35">
      <c r="A185" s="724" t="s">
        <v>1765</v>
      </c>
      <c r="B185" s="716"/>
      <c r="C185" s="717"/>
      <c r="D185" s="717"/>
      <c r="E185" s="716"/>
      <c r="F185" s="716"/>
      <c r="G185" s="716"/>
      <c r="H185" s="719"/>
      <c r="I185" s="718"/>
      <c r="J185" s="718"/>
      <c r="K185" s="718"/>
    </row>
    <row r="186" spans="1:11" x14ac:dyDescent="0.35">
      <c r="A186" s="725" t="s">
        <v>1765</v>
      </c>
      <c r="B186" s="716">
        <v>14.75</v>
      </c>
      <c r="C186" s="717">
        <v>0</v>
      </c>
      <c r="D186" s="717">
        <v>0</v>
      </c>
      <c r="E186" s="716">
        <v>14.75</v>
      </c>
      <c r="F186" s="716">
        <v>0</v>
      </c>
      <c r="G186" s="716">
        <v>14.75</v>
      </c>
      <c r="H186" s="719">
        <v>0</v>
      </c>
      <c r="I186" s="718">
        <v>0</v>
      </c>
      <c r="J186" s="718">
        <v>0</v>
      </c>
      <c r="K186" s="718">
        <v>0</v>
      </c>
    </row>
    <row r="187" spans="1:11" x14ac:dyDescent="0.35">
      <c r="A187" s="724" t="s">
        <v>1778</v>
      </c>
      <c r="B187" s="716"/>
      <c r="C187" s="717"/>
      <c r="D187" s="717"/>
      <c r="E187" s="716"/>
      <c r="F187" s="716"/>
      <c r="G187" s="716"/>
      <c r="H187" s="719"/>
      <c r="I187" s="718"/>
      <c r="J187" s="718"/>
      <c r="K187" s="718"/>
    </row>
    <row r="188" spans="1:11" x14ac:dyDescent="0.35">
      <c r="A188" s="725" t="s">
        <v>1778</v>
      </c>
      <c r="B188" s="716">
        <v>12</v>
      </c>
      <c r="C188" s="717">
        <v>0</v>
      </c>
      <c r="D188" s="717">
        <v>0</v>
      </c>
      <c r="E188" s="716">
        <v>12</v>
      </c>
      <c r="F188" s="716">
        <v>0</v>
      </c>
      <c r="G188" s="716">
        <v>12</v>
      </c>
      <c r="H188" s="719">
        <v>0</v>
      </c>
      <c r="I188" s="718">
        <v>0</v>
      </c>
      <c r="J188" s="718">
        <v>0</v>
      </c>
      <c r="K188" s="718">
        <v>0</v>
      </c>
    </row>
    <row r="189" spans="1:11" x14ac:dyDescent="0.35">
      <c r="A189" s="724" t="s">
        <v>1766</v>
      </c>
      <c r="B189" s="716"/>
      <c r="C189" s="717"/>
      <c r="D189" s="717"/>
      <c r="E189" s="716"/>
      <c r="F189" s="716"/>
      <c r="G189" s="716"/>
      <c r="H189" s="719"/>
      <c r="I189" s="718"/>
      <c r="J189" s="718"/>
      <c r="K189" s="718"/>
    </row>
    <row r="190" spans="1:11" x14ac:dyDescent="0.35">
      <c r="A190" s="725" t="s">
        <v>1766</v>
      </c>
      <c r="B190" s="716">
        <v>21.25</v>
      </c>
      <c r="C190" s="717">
        <v>0</v>
      </c>
      <c r="D190" s="717">
        <v>0</v>
      </c>
      <c r="E190" s="716">
        <v>21.25</v>
      </c>
      <c r="F190" s="716">
        <v>0</v>
      </c>
      <c r="G190" s="716">
        <v>21.25</v>
      </c>
      <c r="H190" s="719">
        <v>0</v>
      </c>
      <c r="I190" s="718">
        <v>0</v>
      </c>
      <c r="J190" s="718">
        <v>0</v>
      </c>
      <c r="K190" s="718">
        <v>0</v>
      </c>
    </row>
    <row r="191" spans="1:11" x14ac:dyDescent="0.35">
      <c r="A191" s="724" t="s">
        <v>1780</v>
      </c>
      <c r="B191" s="716"/>
      <c r="C191" s="717"/>
      <c r="D191" s="717"/>
      <c r="E191" s="716"/>
      <c r="F191" s="716"/>
      <c r="G191" s="716"/>
      <c r="H191" s="719"/>
      <c r="I191" s="718"/>
      <c r="J191" s="718"/>
      <c r="K191" s="718"/>
    </row>
    <row r="192" spans="1:11" x14ac:dyDescent="0.35">
      <c r="A192" s="725" t="s">
        <v>1780</v>
      </c>
      <c r="B192" s="716">
        <v>7.95</v>
      </c>
      <c r="C192" s="717">
        <v>0</v>
      </c>
      <c r="D192" s="717">
        <v>0</v>
      </c>
      <c r="E192" s="716">
        <v>7.95</v>
      </c>
      <c r="F192" s="716">
        <v>0</v>
      </c>
      <c r="G192" s="716">
        <v>7.95</v>
      </c>
      <c r="H192" s="719">
        <v>0</v>
      </c>
      <c r="I192" s="718">
        <v>0</v>
      </c>
      <c r="J192" s="718">
        <v>0</v>
      </c>
      <c r="K192" s="718">
        <v>0</v>
      </c>
    </row>
    <row r="193" spans="1:11" x14ac:dyDescent="0.35">
      <c r="A193" s="724" t="s">
        <v>1767</v>
      </c>
      <c r="B193" s="716"/>
      <c r="C193" s="717"/>
      <c r="D193" s="717"/>
      <c r="E193" s="716"/>
      <c r="F193" s="716"/>
      <c r="G193" s="716"/>
      <c r="H193" s="719"/>
      <c r="I193" s="718"/>
      <c r="J193" s="718"/>
      <c r="K193" s="718"/>
    </row>
    <row r="194" spans="1:11" x14ac:dyDescent="0.35">
      <c r="A194" s="725" t="s">
        <v>1767</v>
      </c>
      <c r="B194" s="716">
        <v>21.25</v>
      </c>
      <c r="C194" s="717">
        <v>0</v>
      </c>
      <c r="D194" s="717">
        <v>0</v>
      </c>
      <c r="E194" s="716">
        <v>21.25</v>
      </c>
      <c r="F194" s="716">
        <v>0</v>
      </c>
      <c r="G194" s="716">
        <v>21.25</v>
      </c>
      <c r="H194" s="719">
        <v>0</v>
      </c>
      <c r="I194" s="718">
        <v>0</v>
      </c>
      <c r="J194" s="718">
        <v>0</v>
      </c>
      <c r="K194" s="718">
        <v>0</v>
      </c>
    </row>
    <row r="195" spans="1:11" x14ac:dyDescent="0.35">
      <c r="A195" s="724" t="s">
        <v>1756</v>
      </c>
      <c r="B195" s="716"/>
      <c r="C195" s="717"/>
      <c r="D195" s="717"/>
      <c r="E195" s="716"/>
      <c r="F195" s="716"/>
      <c r="G195" s="716"/>
      <c r="H195" s="719"/>
      <c r="I195" s="718"/>
      <c r="J195" s="718"/>
      <c r="K195" s="718"/>
    </row>
    <row r="196" spans="1:11" x14ac:dyDescent="0.35">
      <c r="A196" s="725" t="s">
        <v>1756</v>
      </c>
      <c r="B196" s="716">
        <v>19</v>
      </c>
      <c r="C196" s="717">
        <v>0</v>
      </c>
      <c r="D196" s="717">
        <v>0</v>
      </c>
      <c r="E196" s="716">
        <v>19</v>
      </c>
      <c r="F196" s="716">
        <v>0</v>
      </c>
      <c r="G196" s="716">
        <v>19</v>
      </c>
      <c r="H196" s="719">
        <v>0</v>
      </c>
      <c r="I196" s="718">
        <v>0</v>
      </c>
      <c r="J196" s="718">
        <v>0</v>
      </c>
      <c r="K196" s="718">
        <v>0</v>
      </c>
    </row>
    <row r="197" spans="1:11" x14ac:dyDescent="0.35">
      <c r="A197" s="724" t="s">
        <v>1768</v>
      </c>
      <c r="B197" s="716"/>
      <c r="C197" s="717"/>
      <c r="D197" s="717"/>
      <c r="E197" s="716"/>
      <c r="F197" s="716"/>
      <c r="G197" s="716"/>
      <c r="H197" s="719"/>
      <c r="I197" s="718"/>
      <c r="J197" s="718"/>
      <c r="K197" s="718"/>
    </row>
    <row r="198" spans="1:11" x14ac:dyDescent="0.35">
      <c r="A198" s="725" t="s">
        <v>1768</v>
      </c>
      <c r="B198" s="716">
        <v>16.25</v>
      </c>
      <c r="C198" s="717">
        <v>0</v>
      </c>
      <c r="D198" s="717">
        <v>0</v>
      </c>
      <c r="E198" s="716">
        <v>16.25</v>
      </c>
      <c r="F198" s="716">
        <v>0</v>
      </c>
      <c r="G198" s="716">
        <v>16.25</v>
      </c>
      <c r="H198" s="719">
        <v>0</v>
      </c>
      <c r="I198" s="718">
        <v>0</v>
      </c>
      <c r="J198" s="718">
        <v>0</v>
      </c>
      <c r="K198" s="718">
        <v>0</v>
      </c>
    </row>
    <row r="199" spans="1:11" x14ac:dyDescent="0.35">
      <c r="A199" s="715" t="s">
        <v>335</v>
      </c>
      <c r="B199" s="716"/>
      <c r="C199" s="717"/>
      <c r="D199" s="717"/>
      <c r="E199" s="716"/>
      <c r="F199" s="716"/>
      <c r="G199" s="716"/>
      <c r="H199" s="719"/>
      <c r="I199" s="718"/>
      <c r="J199" s="718"/>
      <c r="K199" s="718"/>
    </row>
    <row r="200" spans="1:11" x14ac:dyDescent="0.35">
      <c r="A200" s="722" t="s">
        <v>953</v>
      </c>
      <c r="B200" s="716"/>
      <c r="C200" s="717"/>
      <c r="D200" s="717"/>
      <c r="E200" s="716"/>
      <c r="F200" s="716"/>
      <c r="G200" s="716"/>
      <c r="H200" s="719"/>
      <c r="I200" s="718"/>
      <c r="J200" s="718"/>
      <c r="K200" s="718"/>
    </row>
    <row r="201" spans="1:11" x14ac:dyDescent="0.35">
      <c r="A201" s="723" t="s">
        <v>66</v>
      </c>
      <c r="B201" s="716"/>
      <c r="C201" s="717"/>
      <c r="D201" s="717"/>
      <c r="E201" s="716"/>
      <c r="F201" s="716"/>
      <c r="G201" s="716"/>
      <c r="H201" s="719"/>
      <c r="I201" s="718"/>
      <c r="J201" s="718"/>
      <c r="K201" s="718"/>
    </row>
    <row r="202" spans="1:11" x14ac:dyDescent="0.35">
      <c r="A202" s="724" t="s">
        <v>291</v>
      </c>
      <c r="B202" s="716">
        <v>350</v>
      </c>
      <c r="C202" s="717">
        <v>0</v>
      </c>
      <c r="D202" s="717">
        <v>0</v>
      </c>
      <c r="E202" s="716">
        <v>350</v>
      </c>
      <c r="F202" s="716">
        <v>0</v>
      </c>
      <c r="G202" s="716">
        <v>350</v>
      </c>
      <c r="H202" s="719">
        <v>0</v>
      </c>
      <c r="I202" s="718">
        <v>0</v>
      </c>
      <c r="J202" s="718">
        <v>0</v>
      </c>
      <c r="K202" s="718">
        <v>0</v>
      </c>
    </row>
    <row r="203" spans="1:11" x14ac:dyDescent="0.35">
      <c r="A203" s="724" t="s">
        <v>293</v>
      </c>
      <c r="B203" s="716">
        <v>275</v>
      </c>
      <c r="C203" s="717">
        <v>0</v>
      </c>
      <c r="D203" s="717">
        <v>0</v>
      </c>
      <c r="E203" s="716">
        <v>275</v>
      </c>
      <c r="F203" s="716">
        <v>0</v>
      </c>
      <c r="G203" s="716">
        <v>275</v>
      </c>
      <c r="H203" s="719">
        <v>0</v>
      </c>
      <c r="I203" s="718">
        <v>0</v>
      </c>
      <c r="J203" s="718">
        <v>0</v>
      </c>
      <c r="K203" s="718">
        <v>0</v>
      </c>
    </row>
    <row r="204" spans="1:11" x14ac:dyDescent="0.35">
      <c r="A204" s="723" t="s">
        <v>283</v>
      </c>
      <c r="B204" s="716"/>
      <c r="C204" s="717"/>
      <c r="D204" s="717"/>
      <c r="E204" s="716"/>
      <c r="F204" s="716"/>
      <c r="G204" s="716"/>
      <c r="H204" s="719"/>
      <c r="I204" s="718"/>
      <c r="J204" s="718"/>
      <c r="K204" s="718"/>
    </row>
    <row r="205" spans="1:11" x14ac:dyDescent="0.35">
      <c r="A205" s="724" t="s">
        <v>1005</v>
      </c>
      <c r="B205" s="716">
        <v>1.05</v>
      </c>
      <c r="C205" s="717">
        <v>0</v>
      </c>
      <c r="D205" s="717">
        <v>0</v>
      </c>
      <c r="E205" s="716">
        <v>1.05</v>
      </c>
      <c r="F205" s="716">
        <v>0</v>
      </c>
      <c r="G205" s="716">
        <v>1.05</v>
      </c>
      <c r="H205" s="719">
        <v>0</v>
      </c>
      <c r="I205" s="718">
        <v>0</v>
      </c>
      <c r="J205" s="718">
        <v>0</v>
      </c>
      <c r="K205" s="718">
        <v>0</v>
      </c>
    </row>
    <row r="206" spans="1:11" x14ac:dyDescent="0.35">
      <c r="A206" s="724" t="s">
        <v>1003</v>
      </c>
      <c r="B206" s="716">
        <v>1.05</v>
      </c>
      <c r="C206" s="717">
        <v>0</v>
      </c>
      <c r="D206" s="717">
        <v>0</v>
      </c>
      <c r="E206" s="716">
        <v>1.05</v>
      </c>
      <c r="F206" s="716">
        <v>0</v>
      </c>
      <c r="G206" s="716">
        <v>1.05</v>
      </c>
      <c r="H206" s="719">
        <v>0</v>
      </c>
      <c r="I206" s="718">
        <v>0</v>
      </c>
      <c r="J206" s="718">
        <v>0</v>
      </c>
      <c r="K206" s="718">
        <v>0</v>
      </c>
    </row>
    <row r="207" spans="1:11" x14ac:dyDescent="0.35">
      <c r="A207" s="723" t="s">
        <v>852</v>
      </c>
      <c r="B207" s="716">
        <v>25.5</v>
      </c>
      <c r="C207" s="717">
        <v>0</v>
      </c>
      <c r="D207" s="717">
        <v>0</v>
      </c>
      <c r="E207" s="716">
        <v>25.5</v>
      </c>
      <c r="F207" s="716">
        <v>0</v>
      </c>
      <c r="G207" s="716">
        <v>25.5</v>
      </c>
      <c r="H207" s="719">
        <v>0</v>
      </c>
      <c r="I207" s="718">
        <v>0</v>
      </c>
      <c r="J207" s="718">
        <v>0</v>
      </c>
      <c r="K207" s="718">
        <v>0</v>
      </c>
    </row>
    <row r="208" spans="1:11" x14ac:dyDescent="0.35">
      <c r="A208" s="723" t="s">
        <v>31</v>
      </c>
      <c r="B208" s="716">
        <v>25.5</v>
      </c>
      <c r="C208" s="717">
        <v>0</v>
      </c>
      <c r="D208" s="717">
        <v>0</v>
      </c>
      <c r="E208" s="716">
        <v>25.5</v>
      </c>
      <c r="F208" s="716">
        <v>0</v>
      </c>
      <c r="G208" s="716">
        <v>25.5</v>
      </c>
      <c r="H208" s="719">
        <v>0</v>
      </c>
      <c r="I208" s="718">
        <v>0</v>
      </c>
      <c r="J208" s="718">
        <v>0</v>
      </c>
      <c r="K208" s="718">
        <v>0</v>
      </c>
    </row>
    <row r="209" spans="1:11" x14ac:dyDescent="0.35">
      <c r="A209" s="723" t="s">
        <v>24</v>
      </c>
      <c r="B209" s="716">
        <v>210</v>
      </c>
      <c r="C209" s="717">
        <v>0</v>
      </c>
      <c r="D209" s="717">
        <v>0</v>
      </c>
      <c r="E209" s="716">
        <v>210</v>
      </c>
      <c r="F209" s="716">
        <v>0</v>
      </c>
      <c r="G209" s="716">
        <v>210</v>
      </c>
      <c r="H209" s="719">
        <v>0</v>
      </c>
      <c r="I209" s="718">
        <v>0</v>
      </c>
      <c r="J209" s="718">
        <v>0</v>
      </c>
      <c r="K209" s="718">
        <v>0</v>
      </c>
    </row>
    <row r="210" spans="1:11" x14ac:dyDescent="0.35">
      <c r="A210" s="723" t="s">
        <v>51</v>
      </c>
      <c r="B210" s="716"/>
      <c r="C210" s="717"/>
      <c r="D210" s="717"/>
      <c r="E210" s="716"/>
      <c r="F210" s="716"/>
      <c r="G210" s="716"/>
      <c r="H210" s="719"/>
      <c r="I210" s="718"/>
      <c r="J210" s="718"/>
      <c r="K210" s="718"/>
    </row>
    <row r="211" spans="1:11" x14ac:dyDescent="0.35">
      <c r="A211" s="724" t="s">
        <v>877</v>
      </c>
      <c r="B211" s="716">
        <v>153.5</v>
      </c>
      <c r="C211" s="717">
        <v>0</v>
      </c>
      <c r="D211" s="717">
        <v>0</v>
      </c>
      <c r="E211" s="716">
        <v>153.5</v>
      </c>
      <c r="F211" s="716">
        <v>0</v>
      </c>
      <c r="G211" s="716">
        <v>153.5</v>
      </c>
      <c r="H211" s="719">
        <v>0</v>
      </c>
      <c r="I211" s="718">
        <v>0</v>
      </c>
      <c r="J211" s="718">
        <v>0</v>
      </c>
      <c r="K211" s="718">
        <v>0</v>
      </c>
    </row>
    <row r="212" spans="1:11" x14ac:dyDescent="0.35">
      <c r="A212" s="724" t="s">
        <v>876</v>
      </c>
      <c r="B212" s="716">
        <v>270</v>
      </c>
      <c r="C212" s="717">
        <v>0</v>
      </c>
      <c r="D212" s="717">
        <v>0</v>
      </c>
      <c r="E212" s="716">
        <v>270</v>
      </c>
      <c r="F212" s="716">
        <v>0</v>
      </c>
      <c r="G212" s="716">
        <v>270</v>
      </c>
      <c r="H212" s="719">
        <v>0</v>
      </c>
      <c r="I212" s="718">
        <v>0</v>
      </c>
      <c r="J212" s="718">
        <v>0</v>
      </c>
      <c r="K212" s="718">
        <v>0</v>
      </c>
    </row>
    <row r="213" spans="1:11" x14ac:dyDescent="0.35">
      <c r="A213" s="723" t="s">
        <v>959</v>
      </c>
      <c r="B213" s="716"/>
      <c r="C213" s="717"/>
      <c r="D213" s="717"/>
      <c r="E213" s="716"/>
      <c r="F213" s="716"/>
      <c r="G213" s="716"/>
      <c r="H213" s="719"/>
      <c r="I213" s="718"/>
      <c r="J213" s="718"/>
      <c r="K213" s="718"/>
    </row>
    <row r="214" spans="1:11" x14ac:dyDescent="0.35">
      <c r="A214" s="724" t="s">
        <v>962</v>
      </c>
      <c r="B214" s="716">
        <v>340</v>
      </c>
      <c r="C214" s="717">
        <v>0</v>
      </c>
      <c r="D214" s="717">
        <v>0</v>
      </c>
      <c r="E214" s="716">
        <v>340</v>
      </c>
      <c r="F214" s="716">
        <v>0</v>
      </c>
      <c r="G214" s="716">
        <v>340</v>
      </c>
      <c r="H214" s="719">
        <v>0</v>
      </c>
      <c r="I214" s="718">
        <v>0</v>
      </c>
      <c r="J214" s="718">
        <v>0</v>
      </c>
      <c r="K214" s="718">
        <v>0</v>
      </c>
    </row>
    <row r="215" spans="1:11" x14ac:dyDescent="0.35">
      <c r="A215" s="724" t="s">
        <v>961</v>
      </c>
      <c r="B215" s="716">
        <v>260</v>
      </c>
      <c r="C215" s="717">
        <v>0</v>
      </c>
      <c r="D215" s="717">
        <v>0</v>
      </c>
      <c r="E215" s="716">
        <v>260</v>
      </c>
      <c r="F215" s="716">
        <v>0</v>
      </c>
      <c r="G215" s="716">
        <v>260</v>
      </c>
      <c r="H215" s="719">
        <v>0</v>
      </c>
      <c r="I215" s="718">
        <v>0</v>
      </c>
      <c r="J215" s="718">
        <v>0</v>
      </c>
      <c r="K215" s="718">
        <v>0</v>
      </c>
    </row>
    <row r="216" spans="1:11" x14ac:dyDescent="0.35">
      <c r="A216" s="723" t="s">
        <v>28</v>
      </c>
      <c r="B216" s="716">
        <v>1.65</v>
      </c>
      <c r="C216" s="717">
        <v>0</v>
      </c>
      <c r="D216" s="717">
        <v>0</v>
      </c>
      <c r="E216" s="716">
        <v>1.65</v>
      </c>
      <c r="F216" s="716">
        <v>0</v>
      </c>
      <c r="G216" s="716">
        <v>1.65</v>
      </c>
      <c r="H216" s="719">
        <v>0</v>
      </c>
      <c r="I216" s="718"/>
      <c r="J216" s="718"/>
      <c r="K216" s="718"/>
    </row>
    <row r="217" spans="1:11" x14ac:dyDescent="0.35">
      <c r="A217" s="723" t="s">
        <v>25</v>
      </c>
      <c r="B217" s="716"/>
      <c r="C217" s="717"/>
      <c r="D217" s="717"/>
      <c r="E217" s="716"/>
      <c r="F217" s="716"/>
      <c r="G217" s="716"/>
      <c r="H217" s="719"/>
      <c r="I217" s="718"/>
      <c r="J217" s="718"/>
      <c r="K217" s="718"/>
    </row>
    <row r="218" spans="1:11" x14ac:dyDescent="0.35">
      <c r="A218" s="724" t="s">
        <v>25</v>
      </c>
      <c r="B218" s="716">
        <v>230</v>
      </c>
      <c r="C218" s="717">
        <v>0</v>
      </c>
      <c r="D218" s="717">
        <v>0</v>
      </c>
      <c r="E218" s="716">
        <v>230</v>
      </c>
      <c r="F218" s="716">
        <v>0</v>
      </c>
      <c r="G218" s="716">
        <v>230</v>
      </c>
      <c r="H218" s="719">
        <v>0</v>
      </c>
      <c r="I218" s="718">
        <v>0</v>
      </c>
      <c r="J218" s="718">
        <v>0</v>
      </c>
      <c r="K218" s="718">
        <v>0</v>
      </c>
    </row>
    <row r="219" spans="1:11" x14ac:dyDescent="0.35">
      <c r="A219" s="723" t="s">
        <v>18</v>
      </c>
      <c r="B219" s="716">
        <v>0</v>
      </c>
      <c r="C219" s="717">
        <v>0</v>
      </c>
      <c r="D219" s="717">
        <v>0</v>
      </c>
      <c r="E219" s="716"/>
      <c r="F219" s="716"/>
      <c r="G219" s="716"/>
      <c r="H219" s="719">
        <v>0</v>
      </c>
      <c r="I219" s="718"/>
      <c r="J219" s="718"/>
      <c r="K219" s="718"/>
    </row>
    <row r="220" spans="1:11" x14ac:dyDescent="0.35">
      <c r="A220" s="723" t="s">
        <v>46</v>
      </c>
      <c r="B220" s="716">
        <v>210</v>
      </c>
      <c r="C220" s="717">
        <v>0</v>
      </c>
      <c r="D220" s="717">
        <v>0</v>
      </c>
      <c r="E220" s="716">
        <v>210</v>
      </c>
      <c r="F220" s="716">
        <v>0</v>
      </c>
      <c r="G220" s="716">
        <v>210</v>
      </c>
      <c r="H220" s="719">
        <v>0</v>
      </c>
      <c r="I220" s="718">
        <v>0</v>
      </c>
      <c r="J220" s="718">
        <v>0</v>
      </c>
      <c r="K220" s="718">
        <v>0</v>
      </c>
    </row>
    <row r="221" spans="1:11" x14ac:dyDescent="0.35">
      <c r="A221" s="723" t="s">
        <v>57</v>
      </c>
      <c r="B221" s="716">
        <v>25.5</v>
      </c>
      <c r="C221" s="717">
        <v>0</v>
      </c>
      <c r="D221" s="717">
        <v>0</v>
      </c>
      <c r="E221" s="716">
        <v>25.5</v>
      </c>
      <c r="F221" s="716">
        <v>0</v>
      </c>
      <c r="G221" s="716">
        <v>25.5</v>
      </c>
      <c r="H221" s="719">
        <v>0</v>
      </c>
      <c r="I221" s="718">
        <v>0</v>
      </c>
      <c r="J221" s="718">
        <v>0</v>
      </c>
      <c r="K221" s="718">
        <v>0</v>
      </c>
    </row>
    <row r="222" spans="1:11" x14ac:dyDescent="0.35">
      <c r="A222" s="723" t="s">
        <v>1733</v>
      </c>
      <c r="B222" s="716"/>
      <c r="C222" s="717"/>
      <c r="D222" s="717"/>
      <c r="E222" s="716"/>
      <c r="F222" s="716"/>
      <c r="G222" s="716"/>
      <c r="H222" s="719"/>
      <c r="I222" s="718"/>
      <c r="J222" s="718"/>
      <c r="K222" s="718"/>
    </row>
    <row r="223" spans="1:11" x14ac:dyDescent="0.35">
      <c r="A223" s="724" t="s">
        <v>1733</v>
      </c>
      <c r="B223" s="716"/>
      <c r="C223" s="717"/>
      <c r="D223" s="717"/>
      <c r="E223" s="716"/>
      <c r="F223" s="716"/>
      <c r="G223" s="716"/>
      <c r="H223" s="719"/>
      <c r="I223" s="718"/>
      <c r="J223" s="718"/>
      <c r="K223" s="718"/>
    </row>
    <row r="224" spans="1:11" x14ac:dyDescent="0.35">
      <c r="A224" s="725" t="s">
        <v>1734</v>
      </c>
      <c r="B224" s="716">
        <v>2.65</v>
      </c>
      <c r="C224" s="717">
        <v>0</v>
      </c>
      <c r="D224" s="717">
        <v>0</v>
      </c>
      <c r="E224" s="716">
        <v>2.65</v>
      </c>
      <c r="F224" s="716">
        <v>0</v>
      </c>
      <c r="G224" s="716">
        <v>2.65</v>
      </c>
      <c r="H224" s="719">
        <v>0</v>
      </c>
      <c r="I224" s="718">
        <v>0</v>
      </c>
      <c r="J224" s="718">
        <v>0</v>
      </c>
      <c r="K224" s="718">
        <v>0</v>
      </c>
    </row>
    <row r="225" spans="1:11" x14ac:dyDescent="0.35">
      <c r="A225" s="723" t="s">
        <v>314</v>
      </c>
      <c r="B225" s="716">
        <v>690</v>
      </c>
      <c r="C225" s="717">
        <v>0</v>
      </c>
      <c r="D225" s="717">
        <v>0</v>
      </c>
      <c r="E225" s="716">
        <v>690</v>
      </c>
      <c r="F225" s="716">
        <v>0</v>
      </c>
      <c r="G225" s="716">
        <v>690</v>
      </c>
      <c r="H225" s="719">
        <v>0</v>
      </c>
      <c r="I225" s="718">
        <v>0</v>
      </c>
      <c r="J225" s="718">
        <v>0</v>
      </c>
      <c r="K225" s="718">
        <v>0</v>
      </c>
    </row>
    <row r="226" spans="1:11" x14ac:dyDescent="0.35">
      <c r="A226" s="723" t="s">
        <v>955</v>
      </c>
      <c r="B226" s="716"/>
      <c r="C226" s="717"/>
      <c r="D226" s="717"/>
      <c r="E226" s="716"/>
      <c r="F226" s="716"/>
      <c r="G226" s="716"/>
      <c r="H226" s="719"/>
      <c r="I226" s="718"/>
      <c r="J226" s="718"/>
      <c r="K226" s="718"/>
    </row>
    <row r="227" spans="1:11" x14ac:dyDescent="0.35">
      <c r="A227" s="724" t="s">
        <v>958</v>
      </c>
      <c r="B227" s="716">
        <v>340</v>
      </c>
      <c r="C227" s="717">
        <v>0</v>
      </c>
      <c r="D227" s="717">
        <v>0</v>
      </c>
      <c r="E227" s="716">
        <v>340</v>
      </c>
      <c r="F227" s="716">
        <v>0</v>
      </c>
      <c r="G227" s="716">
        <v>340</v>
      </c>
      <c r="H227" s="719">
        <v>0</v>
      </c>
      <c r="I227" s="718">
        <v>0</v>
      </c>
      <c r="J227" s="718">
        <v>0</v>
      </c>
      <c r="K227" s="718">
        <v>0</v>
      </c>
    </row>
    <row r="228" spans="1:11" x14ac:dyDescent="0.35">
      <c r="A228" s="724" t="s">
        <v>957</v>
      </c>
      <c r="B228" s="716">
        <v>260</v>
      </c>
      <c r="C228" s="717">
        <v>0</v>
      </c>
      <c r="D228" s="717">
        <v>0</v>
      </c>
      <c r="E228" s="716">
        <v>260</v>
      </c>
      <c r="F228" s="716">
        <v>0</v>
      </c>
      <c r="G228" s="716">
        <v>260</v>
      </c>
      <c r="H228" s="719">
        <v>0</v>
      </c>
      <c r="I228" s="718">
        <v>0</v>
      </c>
      <c r="J228" s="718">
        <v>0</v>
      </c>
      <c r="K228" s="718">
        <v>0</v>
      </c>
    </row>
    <row r="229" spans="1:11" x14ac:dyDescent="0.35">
      <c r="A229" s="722" t="s">
        <v>946</v>
      </c>
      <c r="B229" s="716"/>
      <c r="C229" s="717"/>
      <c r="D229" s="717"/>
      <c r="E229" s="716"/>
      <c r="F229" s="716"/>
      <c r="G229" s="716"/>
      <c r="H229" s="719"/>
      <c r="I229" s="718"/>
      <c r="J229" s="718"/>
      <c r="K229" s="718"/>
    </row>
    <row r="230" spans="1:11" x14ac:dyDescent="0.35">
      <c r="A230" s="723" t="s">
        <v>314</v>
      </c>
      <c r="B230" s="716">
        <v>540</v>
      </c>
      <c r="C230" s="717">
        <v>0</v>
      </c>
      <c r="D230" s="717">
        <v>0</v>
      </c>
      <c r="E230" s="716">
        <v>540</v>
      </c>
      <c r="F230" s="716">
        <v>0</v>
      </c>
      <c r="G230" s="716">
        <v>540</v>
      </c>
      <c r="H230" s="719">
        <v>0</v>
      </c>
      <c r="I230" s="718">
        <v>0</v>
      </c>
      <c r="J230" s="718">
        <v>0</v>
      </c>
      <c r="K230" s="718">
        <v>0</v>
      </c>
    </row>
    <row r="231" spans="1:11" x14ac:dyDescent="0.35">
      <c r="A231" s="723" t="s">
        <v>66</v>
      </c>
      <c r="B231" s="716"/>
      <c r="C231" s="717"/>
      <c r="D231" s="717"/>
      <c r="E231" s="716"/>
      <c r="F231" s="716"/>
      <c r="G231" s="716"/>
      <c r="H231" s="719"/>
      <c r="I231" s="718"/>
      <c r="J231" s="718"/>
      <c r="K231" s="718"/>
    </row>
    <row r="232" spans="1:11" x14ac:dyDescent="0.35">
      <c r="A232" s="724" t="s">
        <v>291</v>
      </c>
      <c r="B232" s="716">
        <v>360</v>
      </c>
      <c r="C232" s="717">
        <v>0</v>
      </c>
      <c r="D232" s="717">
        <v>0</v>
      </c>
      <c r="E232" s="716">
        <v>360</v>
      </c>
      <c r="F232" s="716">
        <v>0</v>
      </c>
      <c r="G232" s="716">
        <v>360</v>
      </c>
      <c r="H232" s="719">
        <v>0</v>
      </c>
      <c r="I232" s="718">
        <v>0</v>
      </c>
      <c r="J232" s="718">
        <v>0</v>
      </c>
      <c r="K232" s="718">
        <v>0</v>
      </c>
    </row>
    <row r="233" spans="1:11" x14ac:dyDescent="0.35">
      <c r="A233" s="724" t="s">
        <v>293</v>
      </c>
      <c r="B233" s="716">
        <v>285</v>
      </c>
      <c r="C233" s="717">
        <v>0</v>
      </c>
      <c r="D233" s="717">
        <v>0</v>
      </c>
      <c r="E233" s="716">
        <v>285</v>
      </c>
      <c r="F233" s="716">
        <v>0</v>
      </c>
      <c r="G233" s="716">
        <v>285</v>
      </c>
      <c r="H233" s="719">
        <v>0</v>
      </c>
      <c r="I233" s="718">
        <v>0</v>
      </c>
      <c r="J233" s="718">
        <v>0</v>
      </c>
      <c r="K233" s="718">
        <v>0</v>
      </c>
    </row>
    <row r="234" spans="1:11" x14ac:dyDescent="0.35">
      <c r="A234" s="723" t="s">
        <v>895</v>
      </c>
      <c r="B234" s="716">
        <v>230</v>
      </c>
      <c r="C234" s="717">
        <v>0</v>
      </c>
      <c r="D234" s="717">
        <v>0</v>
      </c>
      <c r="E234" s="716">
        <v>230</v>
      </c>
      <c r="F234" s="716">
        <v>0</v>
      </c>
      <c r="G234" s="716">
        <v>230</v>
      </c>
      <c r="H234" s="719">
        <v>0</v>
      </c>
      <c r="I234" s="718">
        <v>0</v>
      </c>
      <c r="J234" s="718">
        <v>0</v>
      </c>
      <c r="K234" s="718">
        <v>0</v>
      </c>
    </row>
    <row r="235" spans="1:11" x14ac:dyDescent="0.35">
      <c r="A235" s="723" t="s">
        <v>31</v>
      </c>
      <c r="B235" s="716">
        <v>130</v>
      </c>
      <c r="C235" s="717">
        <v>0</v>
      </c>
      <c r="D235" s="717">
        <v>0</v>
      </c>
      <c r="E235" s="716">
        <v>130</v>
      </c>
      <c r="F235" s="716">
        <v>0</v>
      </c>
      <c r="G235" s="716">
        <v>130</v>
      </c>
      <c r="H235" s="719">
        <v>0</v>
      </c>
      <c r="I235" s="718">
        <v>0</v>
      </c>
      <c r="J235" s="718">
        <v>0</v>
      </c>
      <c r="K235" s="718">
        <v>0</v>
      </c>
    </row>
    <row r="236" spans="1:11" x14ac:dyDescent="0.35">
      <c r="A236" s="723" t="s">
        <v>894</v>
      </c>
      <c r="B236" s="716">
        <v>260</v>
      </c>
      <c r="C236" s="717">
        <v>0</v>
      </c>
      <c r="D236" s="717">
        <v>0</v>
      </c>
      <c r="E236" s="716">
        <v>260</v>
      </c>
      <c r="F236" s="716">
        <v>0</v>
      </c>
      <c r="G236" s="716">
        <v>260</v>
      </c>
      <c r="H236" s="719">
        <v>0</v>
      </c>
      <c r="I236" s="718">
        <v>0</v>
      </c>
      <c r="J236" s="718">
        <v>0</v>
      </c>
      <c r="K236" s="718">
        <v>0</v>
      </c>
    </row>
    <row r="237" spans="1:11" x14ac:dyDescent="0.35">
      <c r="A237" s="723" t="s">
        <v>332</v>
      </c>
      <c r="B237" s="716">
        <v>99.5</v>
      </c>
      <c r="C237" s="717">
        <v>0</v>
      </c>
      <c r="D237" s="717">
        <v>0</v>
      </c>
      <c r="E237" s="716">
        <v>99.5</v>
      </c>
      <c r="F237" s="716">
        <v>0</v>
      </c>
      <c r="G237" s="716">
        <v>99.5</v>
      </c>
      <c r="H237" s="719">
        <v>0</v>
      </c>
      <c r="I237" s="718">
        <v>0</v>
      </c>
      <c r="J237" s="718">
        <v>0</v>
      </c>
      <c r="K237" s="718">
        <v>0</v>
      </c>
    </row>
    <row r="238" spans="1:11" x14ac:dyDescent="0.35">
      <c r="A238" s="723" t="s">
        <v>933</v>
      </c>
      <c r="B238" s="716">
        <v>130</v>
      </c>
      <c r="C238" s="717">
        <v>0</v>
      </c>
      <c r="D238" s="717">
        <v>0</v>
      </c>
      <c r="E238" s="716">
        <v>130</v>
      </c>
      <c r="F238" s="716">
        <v>0</v>
      </c>
      <c r="G238" s="716">
        <v>130</v>
      </c>
      <c r="H238" s="719">
        <v>0</v>
      </c>
      <c r="I238" s="718">
        <v>0</v>
      </c>
      <c r="J238" s="718">
        <v>0</v>
      </c>
      <c r="K238" s="718">
        <v>0</v>
      </c>
    </row>
    <row r="239" spans="1:11" x14ac:dyDescent="0.35">
      <c r="A239" s="723" t="s">
        <v>51</v>
      </c>
      <c r="B239" s="716"/>
      <c r="C239" s="717"/>
      <c r="D239" s="717"/>
      <c r="E239" s="716"/>
      <c r="F239" s="716"/>
      <c r="G239" s="716"/>
      <c r="H239" s="719"/>
      <c r="I239" s="718"/>
      <c r="J239" s="718"/>
      <c r="K239" s="718"/>
    </row>
    <row r="240" spans="1:11" x14ac:dyDescent="0.35">
      <c r="A240" s="724" t="s">
        <v>977</v>
      </c>
      <c r="B240" s="716">
        <v>153.5</v>
      </c>
      <c r="C240" s="717">
        <v>0</v>
      </c>
      <c r="D240" s="717">
        <v>0</v>
      </c>
      <c r="E240" s="716">
        <v>153.5</v>
      </c>
      <c r="F240" s="716">
        <v>0</v>
      </c>
      <c r="G240" s="716">
        <v>153.5</v>
      </c>
      <c r="H240" s="719">
        <v>0</v>
      </c>
      <c r="I240" s="718">
        <v>0</v>
      </c>
      <c r="J240" s="718">
        <v>0</v>
      </c>
      <c r="K240" s="718">
        <v>0</v>
      </c>
    </row>
    <row r="241" spans="1:11" x14ac:dyDescent="0.35">
      <c r="A241" s="724" t="s">
        <v>62</v>
      </c>
      <c r="B241" s="716">
        <v>185</v>
      </c>
      <c r="C241" s="717">
        <v>0</v>
      </c>
      <c r="D241" s="717">
        <v>0</v>
      </c>
      <c r="E241" s="716">
        <v>185</v>
      </c>
      <c r="F241" s="716">
        <v>0</v>
      </c>
      <c r="G241" s="716">
        <v>185</v>
      </c>
      <c r="H241" s="719">
        <v>0</v>
      </c>
      <c r="I241" s="718">
        <v>0</v>
      </c>
      <c r="J241" s="718">
        <v>0</v>
      </c>
      <c r="K241" s="718">
        <v>0</v>
      </c>
    </row>
    <row r="242" spans="1:11" x14ac:dyDescent="0.35">
      <c r="A242" s="723" t="s">
        <v>46</v>
      </c>
      <c r="B242" s="716">
        <v>210</v>
      </c>
      <c r="C242" s="717">
        <v>0</v>
      </c>
      <c r="D242" s="717">
        <v>0</v>
      </c>
      <c r="E242" s="716">
        <v>210</v>
      </c>
      <c r="F242" s="716">
        <v>0</v>
      </c>
      <c r="G242" s="716">
        <v>210</v>
      </c>
      <c r="H242" s="719">
        <v>0</v>
      </c>
      <c r="I242" s="718">
        <v>0</v>
      </c>
      <c r="J242" s="718">
        <v>0</v>
      </c>
      <c r="K242" s="718">
        <v>0</v>
      </c>
    </row>
    <row r="243" spans="1:11" x14ac:dyDescent="0.35">
      <c r="A243" s="723" t="s">
        <v>28</v>
      </c>
      <c r="B243" s="716">
        <v>1.65</v>
      </c>
      <c r="C243" s="717">
        <v>0</v>
      </c>
      <c r="D243" s="717">
        <v>0</v>
      </c>
      <c r="E243" s="716">
        <v>1.65</v>
      </c>
      <c r="F243" s="716">
        <v>0</v>
      </c>
      <c r="G243" s="716">
        <v>1.65</v>
      </c>
      <c r="H243" s="719">
        <v>0</v>
      </c>
      <c r="I243" s="718"/>
      <c r="J243" s="718"/>
      <c r="K243" s="718"/>
    </row>
    <row r="244" spans="1:11" x14ac:dyDescent="0.35">
      <c r="A244" s="723" t="s">
        <v>893</v>
      </c>
      <c r="B244" s="716">
        <v>260</v>
      </c>
      <c r="C244" s="717">
        <v>0</v>
      </c>
      <c r="D244" s="717">
        <v>0</v>
      </c>
      <c r="E244" s="716">
        <v>260</v>
      </c>
      <c r="F244" s="716">
        <v>0</v>
      </c>
      <c r="G244" s="716">
        <v>260</v>
      </c>
      <c r="H244" s="719">
        <v>0</v>
      </c>
      <c r="I244" s="718">
        <v>0</v>
      </c>
      <c r="J244" s="718">
        <v>0</v>
      </c>
      <c r="K244" s="718">
        <v>0</v>
      </c>
    </row>
    <row r="245" spans="1:11" x14ac:dyDescent="0.35">
      <c r="A245" s="723" t="s">
        <v>273</v>
      </c>
      <c r="B245" s="716">
        <v>97</v>
      </c>
      <c r="C245" s="717">
        <v>0</v>
      </c>
      <c r="D245" s="717">
        <v>0</v>
      </c>
      <c r="E245" s="716">
        <v>97</v>
      </c>
      <c r="F245" s="716">
        <v>0</v>
      </c>
      <c r="G245" s="716">
        <v>97</v>
      </c>
      <c r="H245" s="719">
        <v>0</v>
      </c>
      <c r="I245" s="718">
        <v>0</v>
      </c>
      <c r="J245" s="718">
        <v>0</v>
      </c>
      <c r="K245" s="718">
        <v>0</v>
      </c>
    </row>
    <row r="246" spans="1:11" x14ac:dyDescent="0.35">
      <c r="A246" s="723" t="s">
        <v>57</v>
      </c>
      <c r="B246" s="716">
        <v>25.5</v>
      </c>
      <c r="C246" s="717">
        <v>0</v>
      </c>
      <c r="D246" s="717">
        <v>0</v>
      </c>
      <c r="E246" s="716">
        <v>25.5</v>
      </c>
      <c r="F246" s="716">
        <v>0</v>
      </c>
      <c r="G246" s="716">
        <v>25.5</v>
      </c>
      <c r="H246" s="719">
        <v>0</v>
      </c>
      <c r="I246" s="718">
        <v>0</v>
      </c>
      <c r="J246" s="718">
        <v>0</v>
      </c>
      <c r="K246" s="718">
        <v>0</v>
      </c>
    </row>
    <row r="247" spans="1:11" x14ac:dyDescent="0.35">
      <c r="A247" s="723" t="s">
        <v>890</v>
      </c>
      <c r="B247" s="716">
        <v>260</v>
      </c>
      <c r="C247" s="717">
        <v>0</v>
      </c>
      <c r="D247" s="717">
        <v>0</v>
      </c>
      <c r="E247" s="716">
        <v>260</v>
      </c>
      <c r="F247" s="716">
        <v>0</v>
      </c>
      <c r="G247" s="716">
        <v>260</v>
      </c>
      <c r="H247" s="719">
        <v>0</v>
      </c>
      <c r="I247" s="718">
        <v>0</v>
      </c>
      <c r="J247" s="718">
        <v>0</v>
      </c>
      <c r="K247" s="718">
        <v>0</v>
      </c>
    </row>
    <row r="248" spans="1:11" x14ac:dyDescent="0.35">
      <c r="A248" s="723" t="s">
        <v>852</v>
      </c>
      <c r="B248" s="716">
        <v>25.5</v>
      </c>
      <c r="C248" s="717">
        <v>0</v>
      </c>
      <c r="D248" s="717">
        <v>0</v>
      </c>
      <c r="E248" s="716">
        <v>25.5</v>
      </c>
      <c r="F248" s="716">
        <v>0</v>
      </c>
      <c r="G248" s="716">
        <v>25.5</v>
      </c>
      <c r="H248" s="719">
        <v>0</v>
      </c>
      <c r="I248" s="718">
        <v>0</v>
      </c>
      <c r="J248" s="718">
        <v>0</v>
      </c>
      <c r="K248" s="718">
        <v>0</v>
      </c>
    </row>
    <row r="249" spans="1:11" x14ac:dyDescent="0.35">
      <c r="A249" s="723" t="s">
        <v>892</v>
      </c>
      <c r="B249" s="716">
        <v>260</v>
      </c>
      <c r="C249" s="717">
        <v>0</v>
      </c>
      <c r="D249" s="717">
        <v>0</v>
      </c>
      <c r="E249" s="716">
        <v>260</v>
      </c>
      <c r="F249" s="716">
        <v>0</v>
      </c>
      <c r="G249" s="716">
        <v>260</v>
      </c>
      <c r="H249" s="719">
        <v>0</v>
      </c>
      <c r="I249" s="718">
        <v>0</v>
      </c>
      <c r="J249" s="718">
        <v>0</v>
      </c>
      <c r="K249" s="718">
        <v>0</v>
      </c>
    </row>
    <row r="250" spans="1:11" x14ac:dyDescent="0.35">
      <c r="A250" s="723" t="s">
        <v>25</v>
      </c>
      <c r="B250" s="716"/>
      <c r="C250" s="717"/>
      <c r="D250" s="717"/>
      <c r="E250" s="716"/>
      <c r="F250" s="716"/>
      <c r="G250" s="716"/>
      <c r="H250" s="719"/>
      <c r="I250" s="718"/>
      <c r="J250" s="718"/>
      <c r="K250" s="718"/>
    </row>
    <row r="251" spans="1:11" x14ac:dyDescent="0.35">
      <c r="A251" s="724" t="s">
        <v>25</v>
      </c>
      <c r="B251" s="716">
        <v>230</v>
      </c>
      <c r="C251" s="717">
        <v>0</v>
      </c>
      <c r="D251" s="717">
        <v>0</v>
      </c>
      <c r="E251" s="716">
        <v>230</v>
      </c>
      <c r="F251" s="716">
        <v>0</v>
      </c>
      <c r="G251" s="716">
        <v>230</v>
      </c>
      <c r="H251" s="719">
        <v>0</v>
      </c>
      <c r="I251" s="718">
        <v>0</v>
      </c>
      <c r="J251" s="718">
        <v>0</v>
      </c>
      <c r="K251" s="718">
        <v>0</v>
      </c>
    </row>
    <row r="252" spans="1:11" x14ac:dyDescent="0.35">
      <c r="A252" s="723" t="s">
        <v>891</v>
      </c>
      <c r="B252" s="716">
        <v>145</v>
      </c>
      <c r="C252" s="717">
        <v>0</v>
      </c>
      <c r="D252" s="717">
        <v>0</v>
      </c>
      <c r="E252" s="716">
        <v>145</v>
      </c>
      <c r="F252" s="716">
        <v>0</v>
      </c>
      <c r="G252" s="716">
        <v>145</v>
      </c>
      <c r="H252" s="719">
        <v>0</v>
      </c>
      <c r="I252" s="718">
        <v>0</v>
      </c>
      <c r="J252" s="718">
        <v>0</v>
      </c>
      <c r="K252" s="718">
        <v>0</v>
      </c>
    </row>
    <row r="253" spans="1:11" x14ac:dyDescent="0.35">
      <c r="A253" s="723" t="s">
        <v>283</v>
      </c>
      <c r="B253" s="716"/>
      <c r="C253" s="717"/>
      <c r="D253" s="717"/>
      <c r="E253" s="716"/>
      <c r="F253" s="716"/>
      <c r="G253" s="716"/>
      <c r="H253" s="719"/>
      <c r="I253" s="718"/>
      <c r="J253" s="718"/>
      <c r="K253" s="718"/>
    </row>
    <row r="254" spans="1:11" x14ac:dyDescent="0.35">
      <c r="A254" s="724" t="s">
        <v>1005</v>
      </c>
      <c r="B254" s="716">
        <v>1.05</v>
      </c>
      <c r="C254" s="717">
        <v>0</v>
      </c>
      <c r="D254" s="717">
        <v>0</v>
      </c>
      <c r="E254" s="716">
        <v>1.05</v>
      </c>
      <c r="F254" s="716">
        <v>0</v>
      </c>
      <c r="G254" s="716">
        <v>1.05</v>
      </c>
      <c r="H254" s="719">
        <v>0</v>
      </c>
      <c r="I254" s="718">
        <v>0</v>
      </c>
      <c r="J254" s="718">
        <v>0</v>
      </c>
      <c r="K254" s="718">
        <v>0</v>
      </c>
    </row>
    <row r="255" spans="1:11" x14ac:dyDescent="0.35">
      <c r="A255" s="724" t="s">
        <v>1003</v>
      </c>
      <c r="B255" s="716">
        <v>1.05</v>
      </c>
      <c r="C255" s="717">
        <v>0</v>
      </c>
      <c r="D255" s="717">
        <v>0</v>
      </c>
      <c r="E255" s="716">
        <v>1.05</v>
      </c>
      <c r="F255" s="716">
        <v>0</v>
      </c>
      <c r="G255" s="716">
        <v>1.05</v>
      </c>
      <c r="H255" s="719">
        <v>0</v>
      </c>
      <c r="I255" s="718">
        <v>0</v>
      </c>
      <c r="J255" s="718">
        <v>0</v>
      </c>
      <c r="K255" s="718">
        <v>0</v>
      </c>
    </row>
    <row r="256" spans="1:11" x14ac:dyDescent="0.35">
      <c r="A256" s="723" t="s">
        <v>18</v>
      </c>
      <c r="B256" s="716">
        <v>0</v>
      </c>
      <c r="C256" s="717">
        <v>0</v>
      </c>
      <c r="D256" s="717">
        <v>0</v>
      </c>
      <c r="E256" s="716"/>
      <c r="F256" s="716"/>
      <c r="G256" s="716"/>
      <c r="H256" s="719">
        <v>0</v>
      </c>
      <c r="I256" s="718"/>
      <c r="J256" s="718"/>
      <c r="K256" s="718"/>
    </row>
    <row r="257" spans="1:11" x14ac:dyDescent="0.35">
      <c r="A257" s="723" t="s">
        <v>24</v>
      </c>
      <c r="B257" s="716">
        <v>210</v>
      </c>
      <c r="C257" s="717">
        <v>0</v>
      </c>
      <c r="D257" s="717">
        <v>0</v>
      </c>
      <c r="E257" s="716">
        <v>210</v>
      </c>
      <c r="F257" s="716">
        <v>0</v>
      </c>
      <c r="G257" s="716">
        <v>210</v>
      </c>
      <c r="H257" s="719">
        <v>0</v>
      </c>
      <c r="I257" s="718">
        <v>0</v>
      </c>
      <c r="J257" s="718">
        <v>0</v>
      </c>
      <c r="K257" s="718">
        <v>0</v>
      </c>
    </row>
    <row r="258" spans="1:11" x14ac:dyDescent="0.35">
      <c r="A258" s="723" t="s">
        <v>278</v>
      </c>
      <c r="B258" s="716">
        <v>160</v>
      </c>
      <c r="C258" s="717">
        <v>0</v>
      </c>
      <c r="D258" s="717">
        <v>0</v>
      </c>
      <c r="E258" s="716">
        <v>160</v>
      </c>
      <c r="F258" s="716">
        <v>0</v>
      </c>
      <c r="G258" s="716">
        <v>160</v>
      </c>
      <c r="H258" s="719">
        <v>0</v>
      </c>
      <c r="I258" s="718">
        <v>0</v>
      </c>
      <c r="J258" s="718">
        <v>0</v>
      </c>
      <c r="K258" s="718">
        <v>0</v>
      </c>
    </row>
    <row r="259" spans="1:11" x14ac:dyDescent="0.35">
      <c r="A259" s="723" t="s">
        <v>277</v>
      </c>
      <c r="B259" s="716">
        <v>160</v>
      </c>
      <c r="C259" s="717">
        <v>0</v>
      </c>
      <c r="D259" s="717">
        <v>0</v>
      </c>
      <c r="E259" s="716">
        <v>160</v>
      </c>
      <c r="F259" s="716">
        <v>0</v>
      </c>
      <c r="G259" s="716">
        <v>160</v>
      </c>
      <c r="H259" s="719">
        <v>0</v>
      </c>
      <c r="I259" s="718">
        <v>0</v>
      </c>
      <c r="J259" s="718">
        <v>0</v>
      </c>
      <c r="K259" s="718">
        <v>0</v>
      </c>
    </row>
    <row r="260" spans="1:11" x14ac:dyDescent="0.35">
      <c r="A260" s="715" t="s">
        <v>15</v>
      </c>
      <c r="B260" s="716"/>
      <c r="C260" s="717"/>
      <c r="D260" s="717"/>
      <c r="E260" s="716"/>
      <c r="F260" s="716"/>
      <c r="G260" s="716"/>
      <c r="H260" s="719"/>
      <c r="I260" s="718"/>
      <c r="J260" s="718"/>
      <c r="K260" s="718"/>
    </row>
    <row r="261" spans="1:11" x14ac:dyDescent="0.35">
      <c r="A261" s="722" t="s">
        <v>953</v>
      </c>
      <c r="B261" s="716"/>
      <c r="C261" s="717"/>
      <c r="D261" s="717"/>
      <c r="E261" s="716"/>
      <c r="F261" s="716"/>
      <c r="G261" s="716"/>
      <c r="H261" s="719"/>
      <c r="I261" s="718"/>
      <c r="J261" s="718"/>
      <c r="K261" s="718"/>
    </row>
    <row r="262" spans="1:11" x14ac:dyDescent="0.35">
      <c r="A262" s="723" t="s">
        <v>1824</v>
      </c>
      <c r="B262" s="716"/>
      <c r="C262" s="717"/>
      <c r="D262" s="717"/>
      <c r="E262" s="716"/>
      <c r="F262" s="716"/>
      <c r="G262" s="716"/>
      <c r="H262" s="719"/>
      <c r="I262" s="718"/>
      <c r="J262" s="718"/>
      <c r="K262" s="718"/>
    </row>
    <row r="263" spans="1:11" x14ac:dyDescent="0.35">
      <c r="A263" s="724" t="s">
        <v>1859</v>
      </c>
      <c r="B263" s="716"/>
      <c r="C263" s="717"/>
      <c r="D263" s="717"/>
      <c r="E263" s="716"/>
      <c r="F263" s="716"/>
      <c r="G263" s="716"/>
      <c r="H263" s="719"/>
      <c r="I263" s="718"/>
      <c r="J263" s="718"/>
      <c r="K263" s="718"/>
    </row>
    <row r="264" spans="1:11" x14ac:dyDescent="0.35">
      <c r="A264" s="725" t="s">
        <v>1859</v>
      </c>
      <c r="B264" s="716">
        <v>0</v>
      </c>
      <c r="C264" s="717">
        <v>0</v>
      </c>
      <c r="D264" s="717">
        <v>0</v>
      </c>
      <c r="E264" s="716">
        <v>0</v>
      </c>
      <c r="F264" s="716">
        <v>0</v>
      </c>
      <c r="G264" s="716">
        <v>0</v>
      </c>
      <c r="H264" s="719">
        <v>0</v>
      </c>
      <c r="I264" s="718">
        <v>0</v>
      </c>
      <c r="J264" s="718">
        <v>0</v>
      </c>
      <c r="K264" s="718">
        <v>0</v>
      </c>
    </row>
    <row r="265" spans="1:11" x14ac:dyDescent="0.35">
      <c r="A265" s="724" t="s">
        <v>1855</v>
      </c>
      <c r="B265" s="716"/>
      <c r="C265" s="717"/>
      <c r="D265" s="717"/>
      <c r="E265" s="716"/>
      <c r="F265" s="716"/>
      <c r="G265" s="716"/>
      <c r="H265" s="719"/>
      <c r="I265" s="718"/>
      <c r="J265" s="718"/>
      <c r="K265" s="718"/>
    </row>
    <row r="266" spans="1:11" x14ac:dyDescent="0.35">
      <c r="A266" s="725" t="s">
        <v>1855</v>
      </c>
      <c r="B266" s="716">
        <v>0</v>
      </c>
      <c r="C266" s="717">
        <v>0</v>
      </c>
      <c r="D266" s="717">
        <v>0</v>
      </c>
      <c r="E266" s="716">
        <v>0</v>
      </c>
      <c r="F266" s="716">
        <v>0</v>
      </c>
      <c r="G266" s="716">
        <v>0</v>
      </c>
      <c r="H266" s="719">
        <v>0</v>
      </c>
      <c r="I266" s="718">
        <v>0</v>
      </c>
      <c r="J266" s="718">
        <v>0</v>
      </c>
      <c r="K266" s="718">
        <v>0</v>
      </c>
    </row>
    <row r="267" spans="1:11" x14ac:dyDescent="0.35">
      <c r="A267" s="724" t="s">
        <v>1852</v>
      </c>
      <c r="B267" s="716"/>
      <c r="C267" s="717"/>
      <c r="D267" s="717"/>
      <c r="E267" s="716"/>
      <c r="F267" s="716"/>
      <c r="G267" s="716"/>
      <c r="H267" s="719"/>
      <c r="I267" s="718"/>
      <c r="J267" s="718"/>
      <c r="K267" s="718"/>
    </row>
    <row r="268" spans="1:11" x14ac:dyDescent="0.35">
      <c r="A268" s="725" t="s">
        <v>1852</v>
      </c>
      <c r="B268" s="716">
        <v>0</v>
      </c>
      <c r="C268" s="717">
        <v>0</v>
      </c>
      <c r="D268" s="717">
        <v>0</v>
      </c>
      <c r="E268" s="716">
        <v>0</v>
      </c>
      <c r="F268" s="716">
        <v>0</v>
      </c>
      <c r="G268" s="716">
        <v>0</v>
      </c>
      <c r="H268" s="719">
        <v>0</v>
      </c>
      <c r="I268" s="718">
        <v>0</v>
      </c>
      <c r="J268" s="718">
        <v>0</v>
      </c>
      <c r="K268" s="718">
        <v>0</v>
      </c>
    </row>
    <row r="269" spans="1:11" x14ac:dyDescent="0.35">
      <c r="A269" s="724" t="s">
        <v>1844</v>
      </c>
      <c r="B269" s="716"/>
      <c r="C269" s="717"/>
      <c r="D269" s="717"/>
      <c r="E269" s="716"/>
      <c r="F269" s="716"/>
      <c r="G269" s="716"/>
      <c r="H269" s="719"/>
      <c r="I269" s="718"/>
      <c r="J269" s="718"/>
      <c r="K269" s="718"/>
    </row>
    <row r="270" spans="1:11" x14ac:dyDescent="0.35">
      <c r="A270" s="725" t="s">
        <v>1844</v>
      </c>
      <c r="B270" s="716">
        <v>0</v>
      </c>
      <c r="C270" s="717">
        <v>0</v>
      </c>
      <c r="D270" s="717">
        <v>0</v>
      </c>
      <c r="E270" s="716">
        <v>0</v>
      </c>
      <c r="F270" s="716">
        <v>0</v>
      </c>
      <c r="G270" s="716">
        <v>0</v>
      </c>
      <c r="H270" s="719">
        <v>0</v>
      </c>
      <c r="I270" s="718">
        <v>0</v>
      </c>
      <c r="J270" s="718">
        <v>0</v>
      </c>
      <c r="K270" s="718">
        <v>0</v>
      </c>
    </row>
    <row r="271" spans="1:11" x14ac:dyDescent="0.35">
      <c r="A271" s="724" t="s">
        <v>1857</v>
      </c>
      <c r="B271" s="716"/>
      <c r="C271" s="717"/>
      <c r="D271" s="717"/>
      <c r="E271" s="716"/>
      <c r="F271" s="716"/>
      <c r="G271" s="716"/>
      <c r="H271" s="719"/>
      <c r="I271" s="718"/>
      <c r="J271" s="718"/>
      <c r="K271" s="718"/>
    </row>
    <row r="272" spans="1:11" x14ac:dyDescent="0.35">
      <c r="A272" s="725" t="s">
        <v>1857</v>
      </c>
      <c r="B272" s="716">
        <v>120</v>
      </c>
      <c r="C272" s="717">
        <v>0</v>
      </c>
      <c r="D272" s="717">
        <v>0</v>
      </c>
      <c r="E272" s="716">
        <v>120</v>
      </c>
      <c r="F272" s="716">
        <v>0</v>
      </c>
      <c r="G272" s="716">
        <v>120</v>
      </c>
      <c r="H272" s="719">
        <v>0</v>
      </c>
      <c r="I272" s="718">
        <v>0</v>
      </c>
      <c r="J272" s="718">
        <v>0</v>
      </c>
      <c r="K272" s="718">
        <v>0</v>
      </c>
    </row>
    <row r="273" spans="1:11" x14ac:dyDescent="0.35">
      <c r="A273" s="724" t="s">
        <v>1845</v>
      </c>
      <c r="B273" s="716"/>
      <c r="C273" s="717"/>
      <c r="D273" s="717"/>
      <c r="E273" s="716"/>
      <c r="F273" s="716"/>
      <c r="G273" s="716"/>
      <c r="H273" s="719"/>
      <c r="I273" s="718"/>
      <c r="J273" s="718"/>
      <c r="K273" s="718"/>
    </row>
    <row r="274" spans="1:11" x14ac:dyDescent="0.35">
      <c r="A274" s="725" t="s">
        <v>1845</v>
      </c>
      <c r="B274" s="716">
        <v>0</v>
      </c>
      <c r="C274" s="717">
        <v>0</v>
      </c>
      <c r="D274" s="717">
        <v>0</v>
      </c>
      <c r="E274" s="716">
        <v>0</v>
      </c>
      <c r="F274" s="716">
        <v>0</v>
      </c>
      <c r="G274" s="716">
        <v>0</v>
      </c>
      <c r="H274" s="719">
        <v>0</v>
      </c>
      <c r="I274" s="718">
        <v>0</v>
      </c>
      <c r="J274" s="718">
        <v>0</v>
      </c>
      <c r="K274" s="718">
        <v>0</v>
      </c>
    </row>
    <row r="275" spans="1:11" x14ac:dyDescent="0.35">
      <c r="A275" s="724" t="s">
        <v>1851</v>
      </c>
      <c r="B275" s="716"/>
      <c r="C275" s="717"/>
      <c r="D275" s="717"/>
      <c r="E275" s="716"/>
      <c r="F275" s="716"/>
      <c r="G275" s="716"/>
      <c r="H275" s="719"/>
      <c r="I275" s="718"/>
      <c r="J275" s="718"/>
      <c r="K275" s="718"/>
    </row>
    <row r="276" spans="1:11" x14ac:dyDescent="0.35">
      <c r="A276" s="725" t="s">
        <v>1851</v>
      </c>
      <c r="B276" s="716">
        <v>0</v>
      </c>
      <c r="C276" s="717">
        <v>0</v>
      </c>
      <c r="D276" s="717">
        <v>0</v>
      </c>
      <c r="E276" s="716">
        <v>0</v>
      </c>
      <c r="F276" s="716">
        <v>0</v>
      </c>
      <c r="G276" s="716">
        <v>0</v>
      </c>
      <c r="H276" s="719">
        <v>0</v>
      </c>
      <c r="I276" s="718">
        <v>0</v>
      </c>
      <c r="J276" s="718">
        <v>0</v>
      </c>
      <c r="K276" s="718">
        <v>0</v>
      </c>
    </row>
    <row r="277" spans="1:11" x14ac:dyDescent="0.35">
      <c r="A277" s="724" t="s">
        <v>1846</v>
      </c>
      <c r="B277" s="716"/>
      <c r="C277" s="717"/>
      <c r="D277" s="717"/>
      <c r="E277" s="716"/>
      <c r="F277" s="716"/>
      <c r="G277" s="716"/>
      <c r="H277" s="719"/>
      <c r="I277" s="718"/>
      <c r="J277" s="718"/>
      <c r="K277" s="718"/>
    </row>
    <row r="278" spans="1:11" x14ac:dyDescent="0.35">
      <c r="A278" s="725" t="s">
        <v>1846</v>
      </c>
      <c r="B278" s="716">
        <v>2</v>
      </c>
      <c r="C278" s="717">
        <v>0</v>
      </c>
      <c r="D278" s="717">
        <v>0</v>
      </c>
      <c r="E278" s="716">
        <v>2</v>
      </c>
      <c r="F278" s="716">
        <v>0</v>
      </c>
      <c r="G278" s="716">
        <v>2</v>
      </c>
      <c r="H278" s="719">
        <v>0</v>
      </c>
      <c r="I278" s="718">
        <v>0</v>
      </c>
      <c r="J278" s="718">
        <v>0</v>
      </c>
      <c r="K278" s="718">
        <v>0</v>
      </c>
    </row>
    <row r="279" spans="1:11" x14ac:dyDescent="0.35">
      <c r="A279" s="724" t="s">
        <v>1854</v>
      </c>
      <c r="B279" s="716"/>
      <c r="C279" s="717"/>
      <c r="D279" s="717"/>
      <c r="E279" s="716"/>
      <c r="F279" s="716"/>
      <c r="G279" s="716"/>
      <c r="H279" s="719"/>
      <c r="I279" s="718"/>
      <c r="J279" s="718"/>
      <c r="K279" s="718"/>
    </row>
    <row r="280" spans="1:11" x14ac:dyDescent="0.35">
      <c r="A280" s="725" t="s">
        <v>1854</v>
      </c>
      <c r="B280" s="716">
        <v>5.3</v>
      </c>
      <c r="C280" s="717">
        <v>0</v>
      </c>
      <c r="D280" s="717">
        <v>0</v>
      </c>
      <c r="E280" s="716">
        <v>5.3</v>
      </c>
      <c r="F280" s="716">
        <v>0</v>
      </c>
      <c r="G280" s="716">
        <v>5.3</v>
      </c>
      <c r="H280" s="719">
        <v>0</v>
      </c>
      <c r="I280" s="718">
        <v>0</v>
      </c>
      <c r="J280" s="718">
        <v>0</v>
      </c>
      <c r="K280" s="718">
        <v>0</v>
      </c>
    </row>
    <row r="281" spans="1:11" x14ac:dyDescent="0.35">
      <c r="A281" s="724" t="s">
        <v>1847</v>
      </c>
      <c r="B281" s="716"/>
      <c r="C281" s="717"/>
      <c r="D281" s="717"/>
      <c r="E281" s="716"/>
      <c r="F281" s="716"/>
      <c r="G281" s="716"/>
      <c r="H281" s="719"/>
      <c r="I281" s="718"/>
      <c r="J281" s="718"/>
      <c r="K281" s="718"/>
    </row>
    <row r="282" spans="1:11" x14ac:dyDescent="0.35">
      <c r="A282" s="725" t="s">
        <v>1847</v>
      </c>
      <c r="B282" s="716">
        <v>0</v>
      </c>
      <c r="C282" s="717">
        <v>0</v>
      </c>
      <c r="D282" s="717">
        <v>0</v>
      </c>
      <c r="E282" s="716">
        <v>0</v>
      </c>
      <c r="F282" s="716">
        <v>0</v>
      </c>
      <c r="G282" s="716">
        <v>0</v>
      </c>
      <c r="H282" s="719">
        <v>0</v>
      </c>
      <c r="I282" s="718">
        <v>0</v>
      </c>
      <c r="J282" s="718">
        <v>0</v>
      </c>
      <c r="K282" s="718">
        <v>0</v>
      </c>
    </row>
    <row r="283" spans="1:11" x14ac:dyDescent="0.35">
      <c r="A283" s="724" t="s">
        <v>1856</v>
      </c>
      <c r="B283" s="716"/>
      <c r="C283" s="717"/>
      <c r="D283" s="717"/>
      <c r="E283" s="716"/>
      <c r="F283" s="716"/>
      <c r="G283" s="716"/>
      <c r="H283" s="719"/>
      <c r="I283" s="718"/>
      <c r="J283" s="718"/>
      <c r="K283" s="718"/>
    </row>
    <row r="284" spans="1:11" x14ac:dyDescent="0.35">
      <c r="A284" s="725" t="s">
        <v>1856</v>
      </c>
      <c r="B284" s="716">
        <v>0</v>
      </c>
      <c r="C284" s="717">
        <v>0</v>
      </c>
      <c r="D284" s="717">
        <v>0</v>
      </c>
      <c r="E284" s="716">
        <v>0</v>
      </c>
      <c r="F284" s="716">
        <v>0</v>
      </c>
      <c r="G284" s="716">
        <v>0</v>
      </c>
      <c r="H284" s="719">
        <v>0</v>
      </c>
      <c r="I284" s="718">
        <v>0</v>
      </c>
      <c r="J284" s="718">
        <v>0</v>
      </c>
      <c r="K284" s="718">
        <v>0</v>
      </c>
    </row>
    <row r="285" spans="1:11" x14ac:dyDescent="0.35">
      <c r="A285" s="724" t="s">
        <v>1848</v>
      </c>
      <c r="B285" s="716"/>
      <c r="C285" s="717"/>
      <c r="D285" s="717"/>
      <c r="E285" s="716"/>
      <c r="F285" s="716"/>
      <c r="G285" s="716"/>
      <c r="H285" s="719"/>
      <c r="I285" s="718"/>
      <c r="J285" s="718"/>
      <c r="K285" s="718"/>
    </row>
    <row r="286" spans="1:11" x14ac:dyDescent="0.35">
      <c r="A286" s="725" t="s">
        <v>1848</v>
      </c>
      <c r="B286" s="716">
        <v>27.5</v>
      </c>
      <c r="C286" s="717">
        <v>0</v>
      </c>
      <c r="D286" s="717">
        <v>0</v>
      </c>
      <c r="E286" s="716">
        <v>27.5</v>
      </c>
      <c r="F286" s="716">
        <v>0</v>
      </c>
      <c r="G286" s="716">
        <v>27.5</v>
      </c>
      <c r="H286" s="719">
        <v>0</v>
      </c>
      <c r="I286" s="718">
        <v>0</v>
      </c>
      <c r="J286" s="718">
        <v>0</v>
      </c>
      <c r="K286" s="718">
        <v>0</v>
      </c>
    </row>
    <row r="287" spans="1:11" x14ac:dyDescent="0.35">
      <c r="A287" s="724" t="s">
        <v>1858</v>
      </c>
      <c r="B287" s="716"/>
      <c r="C287" s="717"/>
      <c r="D287" s="717"/>
      <c r="E287" s="716"/>
      <c r="F287" s="716"/>
      <c r="G287" s="716"/>
      <c r="H287" s="719"/>
      <c r="I287" s="718"/>
      <c r="J287" s="718"/>
      <c r="K287" s="718"/>
    </row>
    <row r="288" spans="1:11" x14ac:dyDescent="0.35">
      <c r="A288" s="725" t="s">
        <v>1858</v>
      </c>
      <c r="B288" s="716">
        <v>16.5</v>
      </c>
      <c r="C288" s="717">
        <v>0</v>
      </c>
      <c r="D288" s="717">
        <v>0</v>
      </c>
      <c r="E288" s="716">
        <v>16.5</v>
      </c>
      <c r="F288" s="716">
        <v>0</v>
      </c>
      <c r="G288" s="716">
        <v>16.5</v>
      </c>
      <c r="H288" s="719">
        <v>0</v>
      </c>
      <c r="I288" s="718">
        <v>0</v>
      </c>
      <c r="J288" s="718">
        <v>0</v>
      </c>
      <c r="K288" s="718">
        <v>0</v>
      </c>
    </row>
    <row r="289" spans="1:11" x14ac:dyDescent="0.35">
      <c r="A289" s="724" t="s">
        <v>1849</v>
      </c>
      <c r="B289" s="716"/>
      <c r="C289" s="717"/>
      <c r="D289" s="717"/>
      <c r="E289" s="716"/>
      <c r="F289" s="716"/>
      <c r="G289" s="716"/>
      <c r="H289" s="719"/>
      <c r="I289" s="718"/>
      <c r="J289" s="718"/>
      <c r="K289" s="718"/>
    </row>
    <row r="290" spans="1:11" x14ac:dyDescent="0.35">
      <c r="A290" s="725" t="s">
        <v>1849</v>
      </c>
      <c r="B290" s="716">
        <v>20</v>
      </c>
      <c r="C290" s="717">
        <v>0</v>
      </c>
      <c r="D290" s="717">
        <v>0</v>
      </c>
      <c r="E290" s="716">
        <v>20</v>
      </c>
      <c r="F290" s="716">
        <v>0</v>
      </c>
      <c r="G290" s="716">
        <v>20</v>
      </c>
      <c r="H290" s="719">
        <v>0</v>
      </c>
      <c r="I290" s="718">
        <v>0</v>
      </c>
      <c r="J290" s="718">
        <v>0</v>
      </c>
      <c r="K290" s="718">
        <v>0</v>
      </c>
    </row>
    <row r="291" spans="1:11" x14ac:dyDescent="0.35">
      <c r="A291" s="724" t="s">
        <v>1843</v>
      </c>
      <c r="B291" s="716"/>
      <c r="C291" s="717"/>
      <c r="D291" s="717"/>
      <c r="E291" s="716"/>
      <c r="F291" s="716"/>
      <c r="G291" s="716"/>
      <c r="H291" s="719"/>
      <c r="I291" s="718"/>
      <c r="J291" s="718"/>
      <c r="K291" s="718"/>
    </row>
    <row r="292" spans="1:11" x14ac:dyDescent="0.35">
      <c r="A292" s="725" t="s">
        <v>1843</v>
      </c>
      <c r="B292" s="716">
        <v>3.5</v>
      </c>
      <c r="C292" s="717">
        <v>0</v>
      </c>
      <c r="D292" s="717">
        <v>0</v>
      </c>
      <c r="E292" s="716">
        <v>3.5</v>
      </c>
      <c r="F292" s="716">
        <v>0</v>
      </c>
      <c r="G292" s="716">
        <v>3.5</v>
      </c>
      <c r="H292" s="719">
        <v>0</v>
      </c>
      <c r="I292" s="718">
        <v>0</v>
      </c>
      <c r="J292" s="718">
        <v>0</v>
      </c>
      <c r="K292" s="718">
        <v>0</v>
      </c>
    </row>
    <row r="293" spans="1:11" x14ac:dyDescent="0.35">
      <c r="A293" s="724" t="s">
        <v>1850</v>
      </c>
      <c r="B293" s="716"/>
      <c r="C293" s="717"/>
      <c r="D293" s="717"/>
      <c r="E293" s="716"/>
      <c r="F293" s="716"/>
      <c r="G293" s="716"/>
      <c r="H293" s="719"/>
      <c r="I293" s="718"/>
      <c r="J293" s="718"/>
      <c r="K293" s="718"/>
    </row>
    <row r="294" spans="1:11" x14ac:dyDescent="0.35">
      <c r="A294" s="725" t="s">
        <v>1850</v>
      </c>
      <c r="B294" s="716">
        <v>0</v>
      </c>
      <c r="C294" s="717">
        <v>0</v>
      </c>
      <c r="D294" s="717">
        <v>0</v>
      </c>
      <c r="E294" s="716">
        <v>0</v>
      </c>
      <c r="F294" s="716">
        <v>0</v>
      </c>
      <c r="G294" s="716">
        <v>0</v>
      </c>
      <c r="H294" s="719">
        <v>0</v>
      </c>
      <c r="I294" s="718">
        <v>0</v>
      </c>
      <c r="J294" s="718">
        <v>0</v>
      </c>
      <c r="K294" s="718">
        <v>0</v>
      </c>
    </row>
    <row r="295" spans="1:11" x14ac:dyDescent="0.35">
      <c r="A295" s="723" t="s">
        <v>1733</v>
      </c>
      <c r="B295" s="716"/>
      <c r="C295" s="717"/>
      <c r="D295" s="717"/>
      <c r="E295" s="716"/>
      <c r="F295" s="716"/>
      <c r="G295" s="716"/>
      <c r="H295" s="719"/>
      <c r="I295" s="718"/>
      <c r="J295" s="718"/>
      <c r="K295" s="718"/>
    </row>
    <row r="296" spans="1:11" x14ac:dyDescent="0.35">
      <c r="A296" s="724" t="s">
        <v>1733</v>
      </c>
      <c r="B296" s="716"/>
      <c r="C296" s="717"/>
      <c r="D296" s="717"/>
      <c r="E296" s="716"/>
      <c r="F296" s="716"/>
      <c r="G296" s="716"/>
      <c r="H296" s="719"/>
      <c r="I296" s="718"/>
      <c r="J296" s="718"/>
      <c r="K296" s="718"/>
    </row>
    <row r="297" spans="1:11" x14ac:dyDescent="0.35">
      <c r="A297" s="725" t="s">
        <v>1736</v>
      </c>
      <c r="B297" s="716">
        <v>2.65</v>
      </c>
      <c r="C297" s="717">
        <v>0</v>
      </c>
      <c r="D297" s="717">
        <v>0</v>
      </c>
      <c r="E297" s="716">
        <v>2.65</v>
      </c>
      <c r="F297" s="716">
        <v>0</v>
      </c>
      <c r="G297" s="716">
        <v>2.65</v>
      </c>
      <c r="H297" s="719">
        <v>0</v>
      </c>
      <c r="I297" s="718">
        <v>0</v>
      </c>
      <c r="J297" s="718">
        <v>0</v>
      </c>
      <c r="K297" s="718">
        <v>0</v>
      </c>
    </row>
    <row r="298" spans="1:11" x14ac:dyDescent="0.35">
      <c r="A298" s="723" t="s">
        <v>66</v>
      </c>
      <c r="B298" s="716"/>
      <c r="C298" s="717"/>
      <c r="D298" s="717"/>
      <c r="E298" s="716"/>
      <c r="F298" s="716"/>
      <c r="G298" s="716"/>
      <c r="H298" s="719"/>
      <c r="I298" s="718"/>
      <c r="J298" s="718"/>
      <c r="K298" s="718"/>
    </row>
    <row r="299" spans="1:11" x14ac:dyDescent="0.35">
      <c r="A299" s="724" t="s">
        <v>290</v>
      </c>
      <c r="B299" s="716">
        <v>29.5</v>
      </c>
      <c r="C299" s="717">
        <v>0</v>
      </c>
      <c r="D299" s="717">
        <v>0</v>
      </c>
      <c r="E299" s="716">
        <v>29.5</v>
      </c>
      <c r="F299" s="716">
        <v>0</v>
      </c>
      <c r="G299" s="716">
        <v>29.5</v>
      </c>
      <c r="H299" s="719">
        <v>0</v>
      </c>
      <c r="I299" s="718">
        <v>0</v>
      </c>
      <c r="J299" s="718">
        <v>0</v>
      </c>
      <c r="K299" s="718">
        <v>0</v>
      </c>
    </row>
    <row r="300" spans="1:11" x14ac:dyDescent="0.35">
      <c r="A300" s="724" t="s">
        <v>67</v>
      </c>
      <c r="B300" s="716">
        <v>40</v>
      </c>
      <c r="C300" s="717">
        <v>0</v>
      </c>
      <c r="D300" s="717">
        <v>0</v>
      </c>
      <c r="E300" s="716">
        <v>40</v>
      </c>
      <c r="F300" s="716">
        <v>0</v>
      </c>
      <c r="G300" s="716">
        <v>40</v>
      </c>
      <c r="H300" s="719">
        <v>0</v>
      </c>
      <c r="I300" s="718">
        <v>0</v>
      </c>
      <c r="J300" s="718">
        <v>0</v>
      </c>
      <c r="K300" s="718">
        <v>0</v>
      </c>
    </row>
    <row r="301" spans="1:11" x14ac:dyDescent="0.35">
      <c r="A301" s="724" t="s">
        <v>68</v>
      </c>
      <c r="B301" s="716">
        <v>29.5</v>
      </c>
      <c r="C301" s="717">
        <v>0</v>
      </c>
      <c r="D301" s="717">
        <v>0</v>
      </c>
      <c r="E301" s="716">
        <v>29.5</v>
      </c>
      <c r="F301" s="716">
        <v>0</v>
      </c>
      <c r="G301" s="716">
        <v>29.5</v>
      </c>
      <c r="H301" s="719">
        <v>0</v>
      </c>
      <c r="I301" s="718">
        <v>0</v>
      </c>
      <c r="J301" s="718">
        <v>0</v>
      </c>
      <c r="K301" s="718">
        <v>0</v>
      </c>
    </row>
    <row r="302" spans="1:11" x14ac:dyDescent="0.35">
      <c r="A302" s="723" t="s">
        <v>1514</v>
      </c>
      <c r="B302" s="716"/>
      <c r="C302" s="717"/>
      <c r="D302" s="717"/>
      <c r="E302" s="716"/>
      <c r="F302" s="716"/>
      <c r="G302" s="716"/>
      <c r="H302" s="719"/>
      <c r="I302" s="718"/>
      <c r="J302" s="718"/>
      <c r="K302" s="718"/>
    </row>
    <row r="303" spans="1:11" x14ac:dyDescent="0.35">
      <c r="A303" s="724" t="s">
        <v>1193</v>
      </c>
      <c r="B303" s="716"/>
      <c r="C303" s="717"/>
      <c r="D303" s="717"/>
      <c r="E303" s="716"/>
      <c r="F303" s="716"/>
      <c r="G303" s="716"/>
      <c r="H303" s="719"/>
      <c r="I303" s="718"/>
      <c r="J303" s="718"/>
      <c r="K303" s="718"/>
    </row>
    <row r="304" spans="1:11" x14ac:dyDescent="0.35">
      <c r="A304" s="725" t="s">
        <v>1457</v>
      </c>
      <c r="B304" s="716">
        <v>208</v>
      </c>
      <c r="C304" s="717">
        <v>0</v>
      </c>
      <c r="D304" s="717">
        <v>0</v>
      </c>
      <c r="E304" s="716">
        <v>208</v>
      </c>
      <c r="F304" s="716">
        <v>0</v>
      </c>
      <c r="G304" s="716">
        <v>208</v>
      </c>
      <c r="H304" s="719">
        <v>0</v>
      </c>
      <c r="I304" s="718">
        <v>0</v>
      </c>
      <c r="J304" s="718">
        <v>0</v>
      </c>
      <c r="K304" s="718">
        <v>0</v>
      </c>
    </row>
    <row r="305" spans="1:11" x14ac:dyDescent="0.35">
      <c r="A305" s="722" t="s">
        <v>946</v>
      </c>
      <c r="B305" s="716"/>
      <c r="C305" s="717"/>
      <c r="D305" s="717"/>
      <c r="E305" s="716"/>
      <c r="F305" s="716"/>
      <c r="G305" s="716"/>
      <c r="H305" s="719"/>
      <c r="I305" s="718"/>
      <c r="J305" s="718"/>
      <c r="K305" s="718"/>
    </row>
    <row r="306" spans="1:11" x14ac:dyDescent="0.35">
      <c r="A306" s="723" t="s">
        <v>884</v>
      </c>
      <c r="B306" s="716">
        <v>1775</v>
      </c>
      <c r="C306" s="717">
        <v>0</v>
      </c>
      <c r="D306" s="717">
        <v>0</v>
      </c>
      <c r="E306" s="716">
        <v>1875</v>
      </c>
      <c r="F306" s="716">
        <v>0</v>
      </c>
      <c r="G306" s="716">
        <v>1875</v>
      </c>
      <c r="H306" s="719">
        <v>0</v>
      </c>
      <c r="I306" s="718">
        <v>0</v>
      </c>
      <c r="J306" s="718">
        <v>0</v>
      </c>
      <c r="K306" s="718">
        <v>0</v>
      </c>
    </row>
    <row r="307" spans="1:11" x14ac:dyDescent="0.35">
      <c r="A307" s="723" t="s">
        <v>57</v>
      </c>
      <c r="B307" s="716">
        <v>25.5</v>
      </c>
      <c r="C307" s="717">
        <v>0</v>
      </c>
      <c r="D307" s="717">
        <v>0</v>
      </c>
      <c r="E307" s="716">
        <v>25.5</v>
      </c>
      <c r="F307" s="716">
        <v>0</v>
      </c>
      <c r="G307" s="716">
        <v>25.5</v>
      </c>
      <c r="H307" s="719">
        <v>0</v>
      </c>
      <c r="I307" s="718">
        <v>0</v>
      </c>
      <c r="J307" s="718">
        <v>0</v>
      </c>
      <c r="K307" s="718">
        <v>0</v>
      </c>
    </row>
    <row r="308" spans="1:11" x14ac:dyDescent="0.35">
      <c r="A308" s="723" t="s">
        <v>18</v>
      </c>
      <c r="B308" s="716">
        <v>0</v>
      </c>
      <c r="C308" s="717">
        <v>0</v>
      </c>
      <c r="D308" s="717">
        <v>0</v>
      </c>
      <c r="E308" s="716"/>
      <c r="F308" s="716"/>
      <c r="G308" s="716"/>
      <c r="H308" s="719">
        <v>0</v>
      </c>
      <c r="I308" s="718"/>
      <c r="J308" s="718"/>
      <c r="K308" s="718"/>
    </row>
    <row r="309" spans="1:11" x14ac:dyDescent="0.35">
      <c r="A309" s="723" t="s">
        <v>31</v>
      </c>
      <c r="B309" s="716">
        <v>25.5</v>
      </c>
      <c r="C309" s="717">
        <v>0</v>
      </c>
      <c r="D309" s="717">
        <v>0</v>
      </c>
      <c r="E309" s="716">
        <v>25.5</v>
      </c>
      <c r="F309" s="716">
        <v>0</v>
      </c>
      <c r="G309" s="716">
        <v>25.5</v>
      </c>
      <c r="H309" s="719">
        <v>0</v>
      </c>
      <c r="I309" s="718">
        <v>0</v>
      </c>
      <c r="J309" s="718">
        <v>0</v>
      </c>
      <c r="K309" s="718">
        <v>0</v>
      </c>
    </row>
    <row r="310" spans="1:11" x14ac:dyDescent="0.35">
      <c r="A310" s="723" t="s">
        <v>25</v>
      </c>
      <c r="B310" s="716"/>
      <c r="C310" s="717"/>
      <c r="D310" s="717"/>
      <c r="E310" s="716"/>
      <c r="F310" s="716"/>
      <c r="G310" s="716"/>
      <c r="H310" s="719"/>
      <c r="I310" s="718"/>
      <c r="J310" s="718"/>
      <c r="K310" s="718"/>
    </row>
    <row r="311" spans="1:11" x14ac:dyDescent="0.35">
      <c r="A311" s="724" t="s">
        <v>1516</v>
      </c>
      <c r="B311" s="716">
        <v>6.45</v>
      </c>
      <c r="C311" s="717">
        <v>0</v>
      </c>
      <c r="D311" s="717">
        <v>0</v>
      </c>
      <c r="E311" s="716">
        <v>6.45</v>
      </c>
      <c r="F311" s="716">
        <v>0</v>
      </c>
      <c r="G311" s="716">
        <v>6.45</v>
      </c>
      <c r="H311" s="719">
        <v>0</v>
      </c>
      <c r="I311" s="718">
        <v>0</v>
      </c>
      <c r="J311" s="718">
        <v>0</v>
      </c>
      <c r="K311" s="718">
        <v>0</v>
      </c>
    </row>
    <row r="312" spans="1:11" x14ac:dyDescent="0.35">
      <c r="A312" s="724" t="s">
        <v>1515</v>
      </c>
      <c r="B312" s="716">
        <v>6.45</v>
      </c>
      <c r="C312" s="717">
        <v>0</v>
      </c>
      <c r="D312" s="717">
        <v>0</v>
      </c>
      <c r="E312" s="716">
        <v>6.45</v>
      </c>
      <c r="F312" s="716">
        <v>0</v>
      </c>
      <c r="G312" s="716">
        <v>6.45</v>
      </c>
      <c r="H312" s="719">
        <v>0</v>
      </c>
      <c r="I312" s="718">
        <v>0</v>
      </c>
      <c r="J312" s="718">
        <v>0</v>
      </c>
      <c r="K312" s="718">
        <v>0</v>
      </c>
    </row>
    <row r="313" spans="1:11" x14ac:dyDescent="0.35">
      <c r="A313" s="723" t="s">
        <v>935</v>
      </c>
      <c r="B313" s="716">
        <v>16.5</v>
      </c>
      <c r="C313" s="717">
        <v>0</v>
      </c>
      <c r="D313" s="717">
        <v>0</v>
      </c>
      <c r="E313" s="716">
        <v>16.5</v>
      </c>
      <c r="F313" s="716">
        <v>0</v>
      </c>
      <c r="G313" s="716">
        <v>16.5</v>
      </c>
      <c r="H313" s="719">
        <v>0</v>
      </c>
      <c r="I313" s="718">
        <v>0</v>
      </c>
      <c r="J313" s="718">
        <v>0</v>
      </c>
      <c r="K313" s="718">
        <v>0</v>
      </c>
    </row>
    <row r="314" spans="1:11" x14ac:dyDescent="0.35">
      <c r="A314" s="723" t="s">
        <v>66</v>
      </c>
      <c r="B314" s="716"/>
      <c r="C314" s="717"/>
      <c r="D314" s="717"/>
      <c r="E314" s="716"/>
      <c r="F314" s="716"/>
      <c r="G314" s="716"/>
      <c r="H314" s="719"/>
      <c r="I314" s="718"/>
      <c r="J314" s="718"/>
      <c r="K314" s="718"/>
    </row>
    <row r="315" spans="1:11" x14ac:dyDescent="0.35">
      <c r="A315" s="724" t="s">
        <v>927</v>
      </c>
      <c r="B315" s="716"/>
      <c r="C315" s="717"/>
      <c r="D315" s="717"/>
      <c r="E315" s="716"/>
      <c r="F315" s="716"/>
      <c r="G315" s="716"/>
      <c r="H315" s="719"/>
      <c r="I315" s="718"/>
      <c r="J315" s="718"/>
      <c r="K315" s="718"/>
    </row>
    <row r="316" spans="1:11" x14ac:dyDescent="0.35">
      <c r="A316" s="725" t="s">
        <v>1433</v>
      </c>
      <c r="B316" s="716">
        <v>29.5</v>
      </c>
      <c r="C316" s="717">
        <v>0</v>
      </c>
      <c r="D316" s="717">
        <v>0</v>
      </c>
      <c r="E316" s="716">
        <v>29.5</v>
      </c>
      <c r="F316" s="716">
        <v>0</v>
      </c>
      <c r="G316" s="716">
        <v>29.5</v>
      </c>
      <c r="H316" s="719">
        <v>0</v>
      </c>
      <c r="I316" s="718">
        <v>0</v>
      </c>
      <c r="J316" s="718">
        <v>0</v>
      </c>
      <c r="K316" s="718">
        <v>0</v>
      </c>
    </row>
    <row r="317" spans="1:11" x14ac:dyDescent="0.35">
      <c r="A317" s="725" t="s">
        <v>1434</v>
      </c>
      <c r="B317" s="716">
        <v>32.75</v>
      </c>
      <c r="C317" s="717">
        <v>0</v>
      </c>
      <c r="D317" s="717">
        <v>0</v>
      </c>
      <c r="E317" s="716">
        <v>32.75</v>
      </c>
      <c r="F317" s="716">
        <v>0</v>
      </c>
      <c r="G317" s="716">
        <v>32.75</v>
      </c>
      <c r="H317" s="719">
        <v>0</v>
      </c>
      <c r="I317" s="718">
        <v>0</v>
      </c>
      <c r="J317" s="718">
        <v>0</v>
      </c>
      <c r="K317" s="718">
        <v>0</v>
      </c>
    </row>
    <row r="318" spans="1:11" x14ac:dyDescent="0.35">
      <c r="A318" s="725" t="s">
        <v>1435</v>
      </c>
      <c r="B318" s="716">
        <v>38.5</v>
      </c>
      <c r="C318" s="717">
        <v>0</v>
      </c>
      <c r="D318" s="717">
        <v>0</v>
      </c>
      <c r="E318" s="716">
        <v>38.5</v>
      </c>
      <c r="F318" s="716">
        <v>0</v>
      </c>
      <c r="G318" s="716">
        <v>38.5</v>
      </c>
      <c r="H318" s="719">
        <v>0</v>
      </c>
      <c r="I318" s="718">
        <v>0</v>
      </c>
      <c r="J318" s="718">
        <v>0</v>
      </c>
      <c r="K318" s="718">
        <v>0</v>
      </c>
    </row>
    <row r="319" spans="1:11" x14ac:dyDescent="0.35">
      <c r="A319" s="725" t="s">
        <v>1436</v>
      </c>
      <c r="B319" s="716">
        <v>40.75</v>
      </c>
      <c r="C319" s="717">
        <v>0</v>
      </c>
      <c r="D319" s="717">
        <v>0</v>
      </c>
      <c r="E319" s="716">
        <v>40.75</v>
      </c>
      <c r="F319" s="716">
        <v>0</v>
      </c>
      <c r="G319" s="716">
        <v>40.75</v>
      </c>
      <c r="H319" s="719">
        <v>0</v>
      </c>
      <c r="I319" s="718">
        <v>0</v>
      </c>
      <c r="J319" s="718">
        <v>0</v>
      </c>
      <c r="K319" s="718">
        <v>0</v>
      </c>
    </row>
    <row r="320" spans="1:11" x14ac:dyDescent="0.35">
      <c r="A320" s="724" t="s">
        <v>928</v>
      </c>
      <c r="B320" s="716"/>
      <c r="C320" s="717"/>
      <c r="D320" s="717"/>
      <c r="E320" s="716"/>
      <c r="F320" s="716"/>
      <c r="G320" s="716"/>
      <c r="H320" s="719"/>
      <c r="I320" s="718"/>
      <c r="J320" s="718"/>
      <c r="K320" s="718"/>
    </row>
    <row r="321" spans="1:11" x14ac:dyDescent="0.35">
      <c r="A321" s="725" t="s">
        <v>1437</v>
      </c>
      <c r="B321" s="716">
        <v>46</v>
      </c>
      <c r="C321" s="717">
        <v>0</v>
      </c>
      <c r="D321" s="717">
        <v>0</v>
      </c>
      <c r="E321" s="716">
        <v>46</v>
      </c>
      <c r="F321" s="716">
        <v>0</v>
      </c>
      <c r="G321" s="716">
        <v>46</v>
      </c>
      <c r="H321" s="719">
        <v>0</v>
      </c>
      <c r="I321" s="718">
        <v>0</v>
      </c>
      <c r="J321" s="718">
        <v>0</v>
      </c>
      <c r="K321" s="718">
        <v>0</v>
      </c>
    </row>
    <row r="322" spans="1:11" x14ac:dyDescent="0.35">
      <c r="A322" s="725" t="s">
        <v>1438</v>
      </c>
      <c r="B322" s="716">
        <v>50.25</v>
      </c>
      <c r="C322" s="717">
        <v>0</v>
      </c>
      <c r="D322" s="717">
        <v>0</v>
      </c>
      <c r="E322" s="716">
        <v>50.25</v>
      </c>
      <c r="F322" s="716">
        <v>0</v>
      </c>
      <c r="G322" s="716">
        <v>50.25</v>
      </c>
      <c r="H322" s="719">
        <v>0</v>
      </c>
      <c r="I322" s="718">
        <v>0</v>
      </c>
      <c r="J322" s="718">
        <v>0</v>
      </c>
      <c r="K322" s="718">
        <v>0</v>
      </c>
    </row>
    <row r="323" spans="1:11" x14ac:dyDescent="0.35">
      <c r="A323" s="725" t="s">
        <v>1439</v>
      </c>
      <c r="B323" s="716">
        <v>56.25</v>
      </c>
      <c r="C323" s="717">
        <v>0</v>
      </c>
      <c r="D323" s="717">
        <v>0</v>
      </c>
      <c r="E323" s="716">
        <v>56.25</v>
      </c>
      <c r="F323" s="716">
        <v>0</v>
      </c>
      <c r="G323" s="716">
        <v>56.25</v>
      </c>
      <c r="H323" s="719">
        <v>0</v>
      </c>
      <c r="I323" s="718">
        <v>0</v>
      </c>
      <c r="J323" s="718">
        <v>0</v>
      </c>
      <c r="K323" s="718">
        <v>0</v>
      </c>
    </row>
    <row r="324" spans="1:11" x14ac:dyDescent="0.35">
      <c r="A324" s="725" t="s">
        <v>1440</v>
      </c>
      <c r="B324" s="716">
        <v>58.75</v>
      </c>
      <c r="C324" s="717">
        <v>0</v>
      </c>
      <c r="D324" s="717">
        <v>0</v>
      </c>
      <c r="E324" s="716">
        <v>58.75</v>
      </c>
      <c r="F324" s="716">
        <v>0</v>
      </c>
      <c r="G324" s="716">
        <v>58.75</v>
      </c>
      <c r="H324" s="719">
        <v>0</v>
      </c>
      <c r="I324" s="718">
        <v>0</v>
      </c>
      <c r="J324" s="718">
        <v>0</v>
      </c>
      <c r="K324" s="718">
        <v>0</v>
      </c>
    </row>
    <row r="325" spans="1:11" x14ac:dyDescent="0.35">
      <c r="A325" s="724" t="s">
        <v>929</v>
      </c>
      <c r="B325" s="716"/>
      <c r="C325" s="717"/>
      <c r="D325" s="717"/>
      <c r="E325" s="716"/>
      <c r="F325" s="716"/>
      <c r="G325" s="716"/>
      <c r="H325" s="719"/>
      <c r="I325" s="718"/>
      <c r="J325" s="718"/>
      <c r="K325" s="718"/>
    </row>
    <row r="326" spans="1:11" x14ac:dyDescent="0.35">
      <c r="A326" s="725" t="s">
        <v>1441</v>
      </c>
      <c r="B326" s="716">
        <v>26.5</v>
      </c>
      <c r="C326" s="717">
        <v>0</v>
      </c>
      <c r="D326" s="717">
        <v>0</v>
      </c>
      <c r="E326" s="716">
        <v>26.5</v>
      </c>
      <c r="F326" s="716">
        <v>0</v>
      </c>
      <c r="G326" s="716">
        <v>26.5</v>
      </c>
      <c r="H326" s="719">
        <v>0</v>
      </c>
      <c r="I326" s="718">
        <v>0</v>
      </c>
      <c r="J326" s="718">
        <v>0</v>
      </c>
      <c r="K326" s="718">
        <v>0</v>
      </c>
    </row>
    <row r="327" spans="1:11" x14ac:dyDescent="0.35">
      <c r="A327" s="725" t="s">
        <v>1442</v>
      </c>
      <c r="B327" s="716">
        <v>30.75</v>
      </c>
      <c r="C327" s="717">
        <v>0</v>
      </c>
      <c r="D327" s="717">
        <v>0</v>
      </c>
      <c r="E327" s="716">
        <v>30.75</v>
      </c>
      <c r="F327" s="716">
        <v>0</v>
      </c>
      <c r="G327" s="716">
        <v>30.75</v>
      </c>
      <c r="H327" s="719">
        <v>0</v>
      </c>
      <c r="I327" s="718">
        <v>0</v>
      </c>
      <c r="J327" s="718">
        <v>0</v>
      </c>
      <c r="K327" s="718">
        <v>0</v>
      </c>
    </row>
    <row r="328" spans="1:11" x14ac:dyDescent="0.35">
      <c r="A328" s="725" t="s">
        <v>1443</v>
      </c>
      <c r="B328" s="716">
        <v>33</v>
      </c>
      <c r="C328" s="717">
        <v>0</v>
      </c>
      <c r="D328" s="717">
        <v>0</v>
      </c>
      <c r="E328" s="716">
        <v>33</v>
      </c>
      <c r="F328" s="716">
        <v>0</v>
      </c>
      <c r="G328" s="716">
        <v>33</v>
      </c>
      <c r="H328" s="719">
        <v>0</v>
      </c>
      <c r="I328" s="718">
        <v>0</v>
      </c>
      <c r="J328" s="718">
        <v>0</v>
      </c>
      <c r="K328" s="718">
        <v>0</v>
      </c>
    </row>
    <row r="329" spans="1:11" x14ac:dyDescent="0.35">
      <c r="A329" s="725" t="s">
        <v>1444</v>
      </c>
      <c r="B329" s="716">
        <v>33.75</v>
      </c>
      <c r="C329" s="717">
        <v>0</v>
      </c>
      <c r="D329" s="717">
        <v>0</v>
      </c>
      <c r="E329" s="716">
        <v>33.75</v>
      </c>
      <c r="F329" s="716">
        <v>0</v>
      </c>
      <c r="G329" s="716">
        <v>33.75</v>
      </c>
      <c r="H329" s="719">
        <v>0</v>
      </c>
      <c r="I329" s="718">
        <v>0</v>
      </c>
      <c r="J329" s="718">
        <v>0</v>
      </c>
      <c r="K329" s="718">
        <v>0</v>
      </c>
    </row>
    <row r="330" spans="1:11" x14ac:dyDescent="0.35">
      <c r="A330" s="723" t="s">
        <v>17</v>
      </c>
      <c r="B330" s="716">
        <v>8.8000000000000007</v>
      </c>
      <c r="C330" s="717">
        <v>0</v>
      </c>
      <c r="D330" s="717">
        <v>0</v>
      </c>
      <c r="E330" s="716">
        <v>8.8000000000000007</v>
      </c>
      <c r="F330" s="716">
        <v>0</v>
      </c>
      <c r="G330" s="716">
        <v>8.8000000000000007</v>
      </c>
      <c r="H330" s="719">
        <v>0</v>
      </c>
      <c r="I330" s="718">
        <v>0</v>
      </c>
      <c r="J330" s="718">
        <v>0</v>
      </c>
      <c r="K330" s="718">
        <v>0</v>
      </c>
    </row>
    <row r="331" spans="1:11" x14ac:dyDescent="0.35">
      <c r="A331" s="723" t="s">
        <v>100</v>
      </c>
      <c r="B331" s="716">
        <v>57.25</v>
      </c>
      <c r="C331" s="717">
        <v>0</v>
      </c>
      <c r="D331" s="717">
        <v>0</v>
      </c>
      <c r="E331" s="716">
        <v>57.25</v>
      </c>
      <c r="F331" s="716">
        <v>0</v>
      </c>
      <c r="G331" s="716">
        <v>57.25</v>
      </c>
      <c r="H331" s="719">
        <v>0</v>
      </c>
      <c r="I331" s="718">
        <v>0</v>
      </c>
      <c r="J331" s="718">
        <v>0</v>
      </c>
      <c r="K331" s="718">
        <v>0</v>
      </c>
    </row>
    <row r="332" spans="1:11" x14ac:dyDescent="0.35">
      <c r="A332" s="723" t="s">
        <v>332</v>
      </c>
      <c r="B332" s="716">
        <v>161.5</v>
      </c>
      <c r="C332" s="717">
        <v>0</v>
      </c>
      <c r="D332" s="717">
        <v>0</v>
      </c>
      <c r="E332" s="716">
        <v>161.5</v>
      </c>
      <c r="F332" s="716">
        <v>0</v>
      </c>
      <c r="G332" s="716">
        <v>161.5</v>
      </c>
      <c r="H332" s="719">
        <v>0</v>
      </c>
      <c r="I332" s="718">
        <v>0</v>
      </c>
      <c r="J332" s="718">
        <v>0</v>
      </c>
      <c r="K332" s="718">
        <v>0</v>
      </c>
    </row>
    <row r="333" spans="1:11" x14ac:dyDescent="0.35">
      <c r="A333" s="723" t="s">
        <v>852</v>
      </c>
      <c r="B333" s="716">
        <v>25.5</v>
      </c>
      <c r="C333" s="717">
        <v>0</v>
      </c>
      <c r="D333" s="717">
        <v>0</v>
      </c>
      <c r="E333" s="716">
        <v>25.5</v>
      </c>
      <c r="F333" s="716">
        <v>0</v>
      </c>
      <c r="G333" s="716">
        <v>25.5</v>
      </c>
      <c r="H333" s="719">
        <v>0</v>
      </c>
      <c r="I333" s="718">
        <v>0</v>
      </c>
      <c r="J333" s="718">
        <v>0</v>
      </c>
      <c r="K333" s="718">
        <v>0</v>
      </c>
    </row>
    <row r="334" spans="1:11" x14ac:dyDescent="0.35">
      <c r="A334" s="723" t="s">
        <v>883</v>
      </c>
      <c r="B334" s="716"/>
      <c r="C334" s="717"/>
      <c r="D334" s="717"/>
      <c r="E334" s="716"/>
      <c r="F334" s="716"/>
      <c r="G334" s="716"/>
      <c r="H334" s="719"/>
      <c r="I334" s="718"/>
      <c r="J334" s="718"/>
      <c r="K334" s="718"/>
    </row>
    <row r="335" spans="1:11" x14ac:dyDescent="0.35">
      <c r="A335" s="724" t="s">
        <v>299</v>
      </c>
      <c r="B335" s="716">
        <v>25.5</v>
      </c>
      <c r="C335" s="717">
        <v>0</v>
      </c>
      <c r="D335" s="717">
        <v>0</v>
      </c>
      <c r="E335" s="716">
        <v>25.5</v>
      </c>
      <c r="F335" s="716">
        <v>0</v>
      </c>
      <c r="G335" s="716">
        <v>25.5</v>
      </c>
      <c r="H335" s="719">
        <v>0</v>
      </c>
      <c r="I335" s="718">
        <v>0</v>
      </c>
      <c r="J335" s="718">
        <v>0</v>
      </c>
      <c r="K335" s="718">
        <v>0</v>
      </c>
    </row>
    <row r="336" spans="1:11" x14ac:dyDescent="0.35">
      <c r="A336" s="724" t="s">
        <v>301</v>
      </c>
      <c r="B336" s="716">
        <v>11.25</v>
      </c>
      <c r="C336" s="717">
        <v>0</v>
      </c>
      <c r="D336" s="717">
        <v>0</v>
      </c>
      <c r="E336" s="716">
        <v>11.25</v>
      </c>
      <c r="F336" s="716">
        <v>0</v>
      </c>
      <c r="G336" s="716">
        <v>11.25</v>
      </c>
      <c r="H336" s="719">
        <v>0</v>
      </c>
      <c r="I336" s="718">
        <v>0</v>
      </c>
      <c r="J336" s="718">
        <v>0</v>
      </c>
      <c r="K336" s="718">
        <v>0</v>
      </c>
    </row>
    <row r="337" spans="1:11" x14ac:dyDescent="0.35">
      <c r="A337" s="724" t="s">
        <v>300</v>
      </c>
      <c r="B337" s="716">
        <v>4.95</v>
      </c>
      <c r="C337" s="717">
        <v>0</v>
      </c>
      <c r="D337" s="717">
        <v>0</v>
      </c>
      <c r="E337" s="716">
        <v>4.95</v>
      </c>
      <c r="F337" s="716">
        <v>0</v>
      </c>
      <c r="G337" s="716">
        <v>4.95</v>
      </c>
      <c r="H337" s="719">
        <v>0</v>
      </c>
      <c r="I337" s="718">
        <v>0</v>
      </c>
      <c r="J337" s="718">
        <v>0</v>
      </c>
      <c r="K337" s="718">
        <v>0</v>
      </c>
    </row>
    <row r="338" spans="1:11" x14ac:dyDescent="0.35">
      <c r="A338" s="723" t="s">
        <v>283</v>
      </c>
      <c r="B338" s="716"/>
      <c r="C338" s="717"/>
      <c r="D338" s="717"/>
      <c r="E338" s="716"/>
      <c r="F338" s="716"/>
      <c r="G338" s="716"/>
      <c r="H338" s="719"/>
      <c r="I338" s="718"/>
      <c r="J338" s="718"/>
      <c r="K338" s="718"/>
    </row>
    <row r="339" spans="1:11" x14ac:dyDescent="0.35">
      <c r="A339" s="724" t="s">
        <v>1005</v>
      </c>
      <c r="B339" s="716">
        <v>1.05</v>
      </c>
      <c r="C339" s="717">
        <v>0</v>
      </c>
      <c r="D339" s="717">
        <v>0</v>
      </c>
      <c r="E339" s="716">
        <v>1.05</v>
      </c>
      <c r="F339" s="716">
        <v>0</v>
      </c>
      <c r="G339" s="716">
        <v>1.05</v>
      </c>
      <c r="H339" s="719">
        <v>0</v>
      </c>
      <c r="I339" s="718">
        <v>0</v>
      </c>
      <c r="J339" s="718">
        <v>0</v>
      </c>
      <c r="K339" s="718">
        <v>0</v>
      </c>
    </row>
    <row r="340" spans="1:11" x14ac:dyDescent="0.35">
      <c r="A340" s="724" t="s">
        <v>1003</v>
      </c>
      <c r="B340" s="716">
        <v>1.05</v>
      </c>
      <c r="C340" s="717">
        <v>0</v>
      </c>
      <c r="D340" s="717">
        <v>0</v>
      </c>
      <c r="E340" s="716">
        <v>1.05</v>
      </c>
      <c r="F340" s="716">
        <v>0</v>
      </c>
      <c r="G340" s="716">
        <v>1.05</v>
      </c>
      <c r="H340" s="719">
        <v>0</v>
      </c>
      <c r="I340" s="718">
        <v>0</v>
      </c>
      <c r="J340" s="718">
        <v>0</v>
      </c>
      <c r="K340" s="718">
        <v>0</v>
      </c>
    </row>
    <row r="341" spans="1:11" x14ac:dyDescent="0.35">
      <c r="A341" s="723" t="s">
        <v>28</v>
      </c>
      <c r="B341" s="716">
        <v>1.65</v>
      </c>
      <c r="C341" s="717">
        <v>0</v>
      </c>
      <c r="D341" s="717">
        <v>0</v>
      </c>
      <c r="E341" s="716">
        <v>1.65</v>
      </c>
      <c r="F341" s="716">
        <v>0</v>
      </c>
      <c r="G341" s="716">
        <v>1.65</v>
      </c>
      <c r="H341" s="719">
        <v>0</v>
      </c>
      <c r="I341" s="718"/>
      <c r="J341" s="718"/>
      <c r="K341" s="718"/>
    </row>
    <row r="342" spans="1:11" x14ac:dyDescent="0.35">
      <c r="A342" s="723" t="s">
        <v>1514</v>
      </c>
      <c r="B342" s="716"/>
      <c r="C342" s="717"/>
      <c r="D342" s="717"/>
      <c r="E342" s="716"/>
      <c r="F342" s="716"/>
      <c r="G342" s="716"/>
      <c r="H342" s="719"/>
      <c r="I342" s="718"/>
      <c r="J342" s="718"/>
      <c r="K342" s="718"/>
    </row>
    <row r="343" spans="1:11" x14ac:dyDescent="0.35">
      <c r="A343" s="724" t="s">
        <v>1512</v>
      </c>
      <c r="B343" s="716"/>
      <c r="C343" s="717"/>
      <c r="D343" s="717"/>
      <c r="E343" s="716"/>
      <c r="F343" s="716"/>
      <c r="G343" s="716"/>
      <c r="H343" s="719"/>
      <c r="I343" s="718"/>
      <c r="J343" s="718"/>
      <c r="K343" s="718"/>
    </row>
    <row r="344" spans="1:11" x14ac:dyDescent="0.35">
      <c r="A344" s="725" t="s">
        <v>1449</v>
      </c>
      <c r="B344" s="716">
        <v>255</v>
      </c>
      <c r="C344" s="717">
        <v>0</v>
      </c>
      <c r="D344" s="717">
        <v>0</v>
      </c>
      <c r="E344" s="716">
        <v>255</v>
      </c>
      <c r="F344" s="716">
        <v>0</v>
      </c>
      <c r="G344" s="716">
        <v>255</v>
      </c>
      <c r="H344" s="719">
        <v>0</v>
      </c>
      <c r="I344" s="718">
        <v>0</v>
      </c>
      <c r="J344" s="718">
        <v>0</v>
      </c>
      <c r="K344" s="718">
        <v>0</v>
      </c>
    </row>
    <row r="345" spans="1:11" x14ac:dyDescent="0.35">
      <c r="A345" s="725" t="s">
        <v>1450</v>
      </c>
      <c r="B345" s="716">
        <v>275</v>
      </c>
      <c r="C345" s="717">
        <v>0</v>
      </c>
      <c r="D345" s="717">
        <v>0</v>
      </c>
      <c r="E345" s="716">
        <v>275</v>
      </c>
      <c r="F345" s="716">
        <v>0</v>
      </c>
      <c r="G345" s="716">
        <v>275</v>
      </c>
      <c r="H345" s="719">
        <v>0</v>
      </c>
      <c r="I345" s="718">
        <v>0</v>
      </c>
      <c r="J345" s="718">
        <v>0</v>
      </c>
      <c r="K345" s="718">
        <v>0</v>
      </c>
    </row>
    <row r="346" spans="1:11" x14ac:dyDescent="0.35">
      <c r="A346" s="725" t="s">
        <v>1451</v>
      </c>
      <c r="B346" s="716">
        <v>320</v>
      </c>
      <c r="C346" s="717">
        <v>0</v>
      </c>
      <c r="D346" s="717">
        <v>0</v>
      </c>
      <c r="E346" s="716">
        <v>320</v>
      </c>
      <c r="F346" s="716">
        <v>0</v>
      </c>
      <c r="G346" s="716">
        <v>320</v>
      </c>
      <c r="H346" s="719">
        <v>0</v>
      </c>
      <c r="I346" s="718">
        <v>0</v>
      </c>
      <c r="J346" s="718">
        <v>0</v>
      </c>
      <c r="K346" s="718">
        <v>0</v>
      </c>
    </row>
    <row r="347" spans="1:11" x14ac:dyDescent="0.35">
      <c r="A347" s="725" t="s">
        <v>1452</v>
      </c>
      <c r="B347" s="716">
        <v>330</v>
      </c>
      <c r="C347" s="717">
        <v>0</v>
      </c>
      <c r="D347" s="717">
        <v>0</v>
      </c>
      <c r="E347" s="716">
        <v>330</v>
      </c>
      <c r="F347" s="716">
        <v>0</v>
      </c>
      <c r="G347" s="716">
        <v>330</v>
      </c>
      <c r="H347" s="719">
        <v>0</v>
      </c>
      <c r="I347" s="718">
        <v>0</v>
      </c>
      <c r="J347" s="718">
        <v>0</v>
      </c>
      <c r="K347" s="718">
        <v>0</v>
      </c>
    </row>
    <row r="348" spans="1:11" x14ac:dyDescent="0.35">
      <c r="A348" s="724" t="s">
        <v>1432</v>
      </c>
      <c r="B348" s="716"/>
      <c r="C348" s="717"/>
      <c r="D348" s="717"/>
      <c r="E348" s="716"/>
      <c r="F348" s="716"/>
      <c r="G348" s="716"/>
      <c r="H348" s="719"/>
      <c r="I348" s="718"/>
      <c r="J348" s="718"/>
      <c r="K348" s="718"/>
    </row>
    <row r="349" spans="1:11" x14ac:dyDescent="0.35">
      <c r="A349" s="725" t="s">
        <v>1453</v>
      </c>
      <c r="B349" s="716">
        <v>255</v>
      </c>
      <c r="C349" s="717">
        <v>0</v>
      </c>
      <c r="D349" s="717">
        <v>0</v>
      </c>
      <c r="E349" s="716">
        <v>255</v>
      </c>
      <c r="F349" s="716">
        <v>0</v>
      </c>
      <c r="G349" s="716">
        <v>255</v>
      </c>
      <c r="H349" s="719">
        <v>0</v>
      </c>
      <c r="I349" s="718">
        <v>0</v>
      </c>
      <c r="J349" s="718">
        <v>0</v>
      </c>
      <c r="K349" s="718">
        <v>0</v>
      </c>
    </row>
    <row r="350" spans="1:11" x14ac:dyDescent="0.35">
      <c r="A350" s="725" t="s">
        <v>1454</v>
      </c>
      <c r="B350" s="716">
        <v>275</v>
      </c>
      <c r="C350" s="717">
        <v>0</v>
      </c>
      <c r="D350" s="717">
        <v>0</v>
      </c>
      <c r="E350" s="716">
        <v>275</v>
      </c>
      <c r="F350" s="716">
        <v>0</v>
      </c>
      <c r="G350" s="716">
        <v>275</v>
      </c>
      <c r="H350" s="719">
        <v>0</v>
      </c>
      <c r="I350" s="718">
        <v>0</v>
      </c>
      <c r="J350" s="718">
        <v>0</v>
      </c>
      <c r="K350" s="718">
        <v>0</v>
      </c>
    </row>
    <row r="351" spans="1:11" x14ac:dyDescent="0.35">
      <c r="A351" s="725" t="s">
        <v>1455</v>
      </c>
      <c r="B351" s="716">
        <v>320</v>
      </c>
      <c r="C351" s="717">
        <v>0</v>
      </c>
      <c r="D351" s="717">
        <v>0</v>
      </c>
      <c r="E351" s="716">
        <v>320</v>
      </c>
      <c r="F351" s="716">
        <v>0</v>
      </c>
      <c r="G351" s="716">
        <v>320</v>
      </c>
      <c r="H351" s="719">
        <v>0</v>
      </c>
      <c r="I351" s="718">
        <v>0</v>
      </c>
      <c r="J351" s="718">
        <v>0</v>
      </c>
      <c r="K351" s="718">
        <v>0</v>
      </c>
    </row>
    <row r="352" spans="1:11" x14ac:dyDescent="0.35">
      <c r="A352" s="725" t="s">
        <v>1456</v>
      </c>
      <c r="B352" s="716">
        <v>330</v>
      </c>
      <c r="C352" s="717">
        <v>0</v>
      </c>
      <c r="D352" s="717">
        <v>0</v>
      </c>
      <c r="E352" s="716">
        <v>330</v>
      </c>
      <c r="F352" s="716">
        <v>0</v>
      </c>
      <c r="G352" s="716">
        <v>330</v>
      </c>
      <c r="H352" s="719">
        <v>0</v>
      </c>
      <c r="I352" s="718">
        <v>0</v>
      </c>
      <c r="J352" s="718">
        <v>0</v>
      </c>
      <c r="K352" s="718">
        <v>0</v>
      </c>
    </row>
    <row r="353" spans="1:11" x14ac:dyDescent="0.35">
      <c r="A353" s="723" t="s">
        <v>69</v>
      </c>
      <c r="B353" s="716"/>
      <c r="C353" s="717"/>
      <c r="D353" s="717"/>
      <c r="E353" s="716"/>
      <c r="F353" s="716"/>
      <c r="G353" s="716"/>
      <c r="H353" s="719"/>
      <c r="I353" s="718"/>
      <c r="J353" s="718"/>
      <c r="K353" s="718"/>
    </row>
    <row r="354" spans="1:11" x14ac:dyDescent="0.35">
      <c r="A354" s="724" t="s">
        <v>304</v>
      </c>
      <c r="B354" s="716">
        <v>46</v>
      </c>
      <c r="C354" s="717">
        <v>0</v>
      </c>
      <c r="D354" s="717">
        <v>0</v>
      </c>
      <c r="E354" s="716">
        <v>46</v>
      </c>
      <c r="F354" s="716">
        <v>0</v>
      </c>
      <c r="G354" s="716">
        <v>46</v>
      </c>
      <c r="H354" s="719">
        <v>0</v>
      </c>
      <c r="I354" s="718">
        <v>0</v>
      </c>
      <c r="J354" s="718">
        <v>0</v>
      </c>
      <c r="K354" s="718">
        <v>0</v>
      </c>
    </row>
    <row r="355" spans="1:11" x14ac:dyDescent="0.35">
      <c r="A355" s="724" t="s">
        <v>311</v>
      </c>
      <c r="B355" s="716">
        <v>1.1000000000000001</v>
      </c>
      <c r="C355" s="717">
        <v>0</v>
      </c>
      <c r="D355" s="717">
        <v>0</v>
      </c>
      <c r="E355" s="716">
        <v>1.1000000000000001</v>
      </c>
      <c r="F355" s="716">
        <v>0</v>
      </c>
      <c r="G355" s="716">
        <v>1.1000000000000001</v>
      </c>
      <c r="H355" s="719">
        <v>0</v>
      </c>
      <c r="I355" s="718">
        <v>0</v>
      </c>
      <c r="J355" s="718">
        <v>0</v>
      </c>
      <c r="K355" s="718">
        <v>0</v>
      </c>
    </row>
    <row r="356" spans="1:11" x14ac:dyDescent="0.35">
      <c r="A356" s="724" t="s">
        <v>881</v>
      </c>
      <c r="B356" s="716">
        <v>6.6</v>
      </c>
      <c r="C356" s="717">
        <v>0</v>
      </c>
      <c r="D356" s="717">
        <v>0</v>
      </c>
      <c r="E356" s="716">
        <v>6.6</v>
      </c>
      <c r="F356" s="716">
        <v>0</v>
      </c>
      <c r="G356" s="716">
        <v>6.6</v>
      </c>
      <c r="H356" s="719">
        <v>0</v>
      </c>
      <c r="I356" s="718">
        <v>0</v>
      </c>
      <c r="J356" s="718">
        <v>0</v>
      </c>
      <c r="K356" s="718">
        <v>0</v>
      </c>
    </row>
    <row r="357" spans="1:11" x14ac:dyDescent="0.35">
      <c r="A357" s="724" t="s">
        <v>305</v>
      </c>
      <c r="B357" s="716">
        <v>46</v>
      </c>
      <c r="C357" s="717">
        <v>0</v>
      </c>
      <c r="D357" s="717">
        <v>0</v>
      </c>
      <c r="E357" s="716">
        <v>46</v>
      </c>
      <c r="F357" s="716">
        <v>0</v>
      </c>
      <c r="G357" s="716">
        <v>46</v>
      </c>
      <c r="H357" s="719">
        <v>0</v>
      </c>
      <c r="I357" s="718">
        <v>0</v>
      </c>
      <c r="J357" s="718">
        <v>0</v>
      </c>
      <c r="K357" s="718">
        <v>0</v>
      </c>
    </row>
    <row r="358" spans="1:11" x14ac:dyDescent="0.35">
      <c r="A358" s="724" t="s">
        <v>952</v>
      </c>
      <c r="B358" s="716">
        <v>16.75</v>
      </c>
      <c r="C358" s="717">
        <v>0</v>
      </c>
      <c r="D358" s="717">
        <v>0</v>
      </c>
      <c r="E358" s="716">
        <v>16.75</v>
      </c>
      <c r="F358" s="716">
        <v>0</v>
      </c>
      <c r="G358" s="716">
        <v>16.75</v>
      </c>
      <c r="H358" s="719">
        <v>0</v>
      </c>
      <c r="I358" s="718">
        <v>0</v>
      </c>
      <c r="J358" s="718">
        <v>0</v>
      </c>
      <c r="K358" s="718">
        <v>0</v>
      </c>
    </row>
    <row r="359" spans="1:11" x14ac:dyDescent="0.35">
      <c r="A359" s="724" t="s">
        <v>281</v>
      </c>
      <c r="B359" s="716">
        <v>4.45</v>
      </c>
      <c r="C359" s="717">
        <v>0</v>
      </c>
      <c r="D359" s="717">
        <v>0</v>
      </c>
      <c r="E359" s="716">
        <v>4.45</v>
      </c>
      <c r="F359" s="716">
        <v>0</v>
      </c>
      <c r="G359" s="716">
        <v>4.45</v>
      </c>
      <c r="H359" s="719">
        <v>0</v>
      </c>
      <c r="I359" s="718">
        <v>0</v>
      </c>
      <c r="J359" s="718">
        <v>0</v>
      </c>
      <c r="K359" s="718">
        <v>0</v>
      </c>
    </row>
    <row r="360" spans="1:11" x14ac:dyDescent="0.35">
      <c r="A360" s="724" t="s">
        <v>1260</v>
      </c>
      <c r="B360" s="716">
        <v>16.75</v>
      </c>
      <c r="C360" s="717">
        <v>0</v>
      </c>
      <c r="D360" s="717">
        <v>0</v>
      </c>
      <c r="E360" s="716">
        <v>16.75</v>
      </c>
      <c r="F360" s="716">
        <v>0</v>
      </c>
      <c r="G360" s="716">
        <v>16.75</v>
      </c>
      <c r="H360" s="719">
        <v>0</v>
      </c>
      <c r="I360" s="718">
        <v>0</v>
      </c>
      <c r="J360" s="718">
        <v>0</v>
      </c>
      <c r="K360" s="718">
        <v>0</v>
      </c>
    </row>
    <row r="361" spans="1:11" x14ac:dyDescent="0.35">
      <c r="A361" s="724" t="s">
        <v>306</v>
      </c>
      <c r="B361" s="716">
        <v>5.55</v>
      </c>
      <c r="C361" s="717">
        <v>0</v>
      </c>
      <c r="D361" s="717">
        <v>0</v>
      </c>
      <c r="E361" s="716">
        <v>5.55</v>
      </c>
      <c r="F361" s="716">
        <v>0</v>
      </c>
      <c r="G361" s="716">
        <v>5.55</v>
      </c>
      <c r="H361" s="719">
        <v>0</v>
      </c>
      <c r="I361" s="718">
        <v>0</v>
      </c>
      <c r="J361" s="718">
        <v>0</v>
      </c>
      <c r="K361" s="718">
        <v>0</v>
      </c>
    </row>
    <row r="362" spans="1:11" x14ac:dyDescent="0.35">
      <c r="A362" s="724" t="s">
        <v>310</v>
      </c>
      <c r="B362" s="716">
        <v>1.1000000000000001</v>
      </c>
      <c r="C362" s="717">
        <v>0</v>
      </c>
      <c r="D362" s="717">
        <v>0</v>
      </c>
      <c r="E362" s="716">
        <v>1.1000000000000001</v>
      </c>
      <c r="F362" s="716">
        <v>0</v>
      </c>
      <c r="G362" s="716">
        <v>1.1000000000000001</v>
      </c>
      <c r="H362" s="719">
        <v>0</v>
      </c>
      <c r="I362" s="718">
        <v>0</v>
      </c>
      <c r="J362" s="718">
        <v>0</v>
      </c>
      <c r="K362" s="718">
        <v>0</v>
      </c>
    </row>
    <row r="363" spans="1:11" x14ac:dyDescent="0.35">
      <c r="A363" s="724" t="s">
        <v>307</v>
      </c>
      <c r="B363" s="716">
        <v>8.8000000000000007</v>
      </c>
      <c r="C363" s="717">
        <v>0</v>
      </c>
      <c r="D363" s="717">
        <v>0</v>
      </c>
      <c r="E363" s="716">
        <v>8.8000000000000007</v>
      </c>
      <c r="F363" s="716">
        <v>0</v>
      </c>
      <c r="G363" s="716">
        <v>8.8000000000000007</v>
      </c>
      <c r="H363" s="719">
        <v>0</v>
      </c>
      <c r="I363" s="718">
        <v>0</v>
      </c>
      <c r="J363" s="718">
        <v>0</v>
      </c>
      <c r="K363" s="718">
        <v>0</v>
      </c>
    </row>
    <row r="364" spans="1:11" x14ac:dyDescent="0.35">
      <c r="A364" s="724" t="s">
        <v>951</v>
      </c>
      <c r="B364" s="716">
        <v>16.75</v>
      </c>
      <c r="C364" s="717">
        <v>0</v>
      </c>
      <c r="D364" s="717">
        <v>0</v>
      </c>
      <c r="E364" s="716">
        <v>16.75</v>
      </c>
      <c r="F364" s="716">
        <v>0</v>
      </c>
      <c r="G364" s="716">
        <v>16.75</v>
      </c>
      <c r="H364" s="719">
        <v>0</v>
      </c>
      <c r="I364" s="718">
        <v>0</v>
      </c>
      <c r="J364" s="718">
        <v>0</v>
      </c>
      <c r="K364" s="718">
        <v>0</v>
      </c>
    </row>
    <row r="365" spans="1:11" x14ac:dyDescent="0.35">
      <c r="A365" s="724" t="s">
        <v>308</v>
      </c>
      <c r="B365" s="716">
        <v>16.25</v>
      </c>
      <c r="C365" s="717">
        <v>0</v>
      </c>
      <c r="D365" s="717">
        <v>0</v>
      </c>
      <c r="E365" s="716">
        <v>16.25</v>
      </c>
      <c r="F365" s="716">
        <v>0</v>
      </c>
      <c r="G365" s="716">
        <v>16.25</v>
      </c>
      <c r="H365" s="719">
        <v>0</v>
      </c>
      <c r="I365" s="718">
        <v>0</v>
      </c>
      <c r="J365" s="718">
        <v>0</v>
      </c>
      <c r="K365" s="718">
        <v>0</v>
      </c>
    </row>
    <row r="366" spans="1:11" x14ac:dyDescent="0.35">
      <c r="A366" s="724" t="s">
        <v>282</v>
      </c>
      <c r="B366" s="716">
        <v>6.6</v>
      </c>
      <c r="C366" s="717">
        <v>0</v>
      </c>
      <c r="D366" s="717">
        <v>0</v>
      </c>
      <c r="E366" s="716">
        <v>6.6</v>
      </c>
      <c r="F366" s="716">
        <v>0</v>
      </c>
      <c r="G366" s="716">
        <v>6.6</v>
      </c>
      <c r="H366" s="719">
        <v>0</v>
      </c>
      <c r="I366" s="718">
        <v>0</v>
      </c>
      <c r="J366" s="718">
        <v>0</v>
      </c>
      <c r="K366" s="718">
        <v>0</v>
      </c>
    </row>
    <row r="367" spans="1:11" x14ac:dyDescent="0.35">
      <c r="A367" s="724" t="s">
        <v>309</v>
      </c>
      <c r="B367" s="716">
        <v>16.25</v>
      </c>
      <c r="C367" s="717">
        <v>0</v>
      </c>
      <c r="D367" s="717">
        <v>0</v>
      </c>
      <c r="E367" s="716">
        <v>16.25</v>
      </c>
      <c r="F367" s="716">
        <v>0</v>
      </c>
      <c r="G367" s="716">
        <v>16.25</v>
      </c>
      <c r="H367" s="719">
        <v>0</v>
      </c>
      <c r="I367" s="718">
        <v>0</v>
      </c>
      <c r="J367" s="718">
        <v>0</v>
      </c>
      <c r="K367" s="718">
        <v>0</v>
      </c>
    </row>
    <row r="368" spans="1:11" x14ac:dyDescent="0.35">
      <c r="A368" s="724" t="s">
        <v>882</v>
      </c>
      <c r="B368" s="716">
        <v>8.8000000000000007</v>
      </c>
      <c r="C368" s="717">
        <v>0</v>
      </c>
      <c r="D368" s="717">
        <v>0</v>
      </c>
      <c r="E368" s="716">
        <v>8.8000000000000007</v>
      </c>
      <c r="F368" s="716">
        <v>0</v>
      </c>
      <c r="G368" s="716">
        <v>8.8000000000000007</v>
      </c>
      <c r="H368" s="719">
        <v>0</v>
      </c>
      <c r="I368" s="718">
        <v>0</v>
      </c>
      <c r="J368" s="718">
        <v>0</v>
      </c>
      <c r="K368" s="718">
        <v>0</v>
      </c>
    </row>
    <row r="369" spans="1:11" x14ac:dyDescent="0.35">
      <c r="A369" s="723" t="s">
        <v>286</v>
      </c>
      <c r="B369" s="716"/>
      <c r="C369" s="717"/>
      <c r="D369" s="717"/>
      <c r="E369" s="716"/>
      <c r="F369" s="716"/>
      <c r="G369" s="716"/>
      <c r="H369" s="719"/>
      <c r="I369" s="718"/>
      <c r="J369" s="718"/>
      <c r="K369" s="718"/>
    </row>
    <row r="370" spans="1:11" x14ac:dyDescent="0.35">
      <c r="A370" s="724" t="s">
        <v>288</v>
      </c>
      <c r="B370" s="716">
        <v>10</v>
      </c>
      <c r="C370" s="717">
        <v>0</v>
      </c>
      <c r="D370" s="717">
        <v>0</v>
      </c>
      <c r="E370" s="716">
        <v>10</v>
      </c>
      <c r="F370" s="716">
        <v>0</v>
      </c>
      <c r="G370" s="716">
        <v>10</v>
      </c>
      <c r="H370" s="719">
        <v>0</v>
      </c>
      <c r="I370" s="718">
        <v>0</v>
      </c>
      <c r="J370" s="718">
        <v>0</v>
      </c>
      <c r="K370" s="718">
        <v>0</v>
      </c>
    </row>
    <row r="371" spans="1:11" x14ac:dyDescent="0.35">
      <c r="A371" s="724" t="s">
        <v>287</v>
      </c>
      <c r="B371" s="716">
        <v>7.6</v>
      </c>
      <c r="C371" s="717">
        <v>0</v>
      </c>
      <c r="D371" s="717">
        <v>0</v>
      </c>
      <c r="E371" s="716">
        <v>7.6</v>
      </c>
      <c r="F371" s="716">
        <v>0</v>
      </c>
      <c r="G371" s="716">
        <v>7.6</v>
      </c>
      <c r="H371" s="719">
        <v>0</v>
      </c>
      <c r="I371" s="718">
        <v>0</v>
      </c>
      <c r="J371" s="718">
        <v>0</v>
      </c>
      <c r="K371" s="718">
        <v>0</v>
      </c>
    </row>
    <row r="372" spans="1:11" x14ac:dyDescent="0.35">
      <c r="A372" s="724" t="s">
        <v>285</v>
      </c>
      <c r="B372" s="716">
        <v>7.6</v>
      </c>
      <c r="C372" s="717">
        <v>0</v>
      </c>
      <c r="D372" s="717">
        <v>0</v>
      </c>
      <c r="E372" s="716">
        <v>7.6</v>
      </c>
      <c r="F372" s="716">
        <v>0</v>
      </c>
      <c r="G372" s="716">
        <v>7.6</v>
      </c>
      <c r="H372" s="719">
        <v>0</v>
      </c>
      <c r="I372" s="718">
        <v>0</v>
      </c>
      <c r="J372" s="718">
        <v>0</v>
      </c>
      <c r="K372" s="718">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4D8F9-FDB8-4430-ABB6-DF93D12D2DF4}">
  <sheetPr codeName="Sheet22">
    <tabColor theme="1"/>
  </sheetPr>
  <dimension ref="A1:K3"/>
  <sheetViews>
    <sheetView workbookViewId="0"/>
  </sheetViews>
  <sheetFormatPr defaultRowHeight="14.5" x14ac:dyDescent="0.35"/>
  <cols>
    <col min="1" max="1" width="14.1796875" bestFit="1" customWidth="1"/>
    <col min="2" max="2" width="11.90625" bestFit="1" customWidth="1"/>
    <col min="3" max="4" width="9.6328125" bestFit="1" customWidth="1"/>
    <col min="5" max="5" width="17.54296875" bestFit="1" customWidth="1"/>
    <col min="6" max="6" width="10.453125" bestFit="1" customWidth="1"/>
    <col min="7" max="7" width="17.54296875" bestFit="1" customWidth="1"/>
    <col min="8" max="8" width="11.54296875" bestFit="1" customWidth="1"/>
    <col min="9" max="9" width="18.90625" bestFit="1" customWidth="1"/>
    <col min="10" max="10" width="16.6328125" bestFit="1" customWidth="1"/>
    <col min="11" max="11" width="18.90625" bestFit="1" customWidth="1"/>
  </cols>
  <sheetData>
    <row r="1" spans="1:11" x14ac:dyDescent="0.35">
      <c r="A1" s="713" t="s">
        <v>1431</v>
      </c>
      <c r="B1" s="714" t="s">
        <v>1341</v>
      </c>
      <c r="C1" s="453"/>
      <c r="D1" s="453"/>
      <c r="E1" s="10"/>
      <c r="F1" s="430"/>
      <c r="G1" s="430"/>
      <c r="H1" s="430"/>
      <c r="I1" s="10"/>
      <c r="J1" s="10"/>
      <c r="K1" s="10"/>
    </row>
    <row r="2" spans="1:11" x14ac:dyDescent="0.35">
      <c r="B2" s="430"/>
      <c r="C2" s="453"/>
      <c r="D2" s="453"/>
      <c r="E2" s="10"/>
      <c r="F2" s="430"/>
      <c r="G2" s="430"/>
      <c r="H2" s="430"/>
      <c r="I2" s="10"/>
      <c r="J2" s="10"/>
      <c r="K2" s="10"/>
    </row>
    <row r="3" spans="1:11" x14ac:dyDescent="0.35">
      <c r="A3" s="713" t="s">
        <v>919</v>
      </c>
      <c r="B3" s="714" t="s">
        <v>1818</v>
      </c>
      <c r="C3" s="717" t="s">
        <v>1722</v>
      </c>
      <c r="D3" s="717" t="s">
        <v>1721</v>
      </c>
      <c r="E3" s="714" t="s">
        <v>1723</v>
      </c>
      <c r="F3" s="714" t="s">
        <v>1521</v>
      </c>
      <c r="G3" s="714" t="s">
        <v>1724</v>
      </c>
      <c r="H3" s="714" t="s">
        <v>1511</v>
      </c>
      <c r="I3" s="714" t="s">
        <v>1725</v>
      </c>
      <c r="J3" s="714" t="s">
        <v>1524</v>
      </c>
      <c r="K3" s="714" t="s">
        <v>1726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5EB6F-D0A4-448C-8370-F5C1AE78E87A}">
  <sheetPr codeName="Sheet17">
    <tabColor theme="5" tint="0.39997558519241921"/>
  </sheetPr>
  <dimension ref="A3:AQ83"/>
  <sheetViews>
    <sheetView workbookViewId="0"/>
  </sheetViews>
  <sheetFormatPr defaultRowHeight="14.5" x14ac:dyDescent="0.35"/>
  <cols>
    <col min="1" max="1" width="27.26953125" customWidth="1"/>
    <col min="2" max="2" width="18.1796875" style="188" customWidth="1"/>
    <col min="3" max="3" width="41.54296875" style="188" bestFit="1" customWidth="1"/>
    <col min="4" max="5" width="14.7265625" style="188" bestFit="1" customWidth="1"/>
    <col min="6" max="6" width="15.26953125" style="188" bestFit="1" customWidth="1"/>
    <col min="7" max="16" width="14.7265625" style="188" bestFit="1" customWidth="1"/>
    <col min="17" max="30" width="15.81640625" style="188" bestFit="1" customWidth="1"/>
    <col min="31" max="31" width="8.1796875" style="188" bestFit="1" customWidth="1"/>
    <col min="32" max="33" width="10.54296875" style="188" bestFit="1" customWidth="1"/>
    <col min="34" max="34" width="8.1796875" style="188" bestFit="1" customWidth="1"/>
    <col min="35" max="36" width="10.54296875" style="188" bestFit="1" customWidth="1"/>
    <col min="37" max="37" width="8.1796875" style="188" bestFit="1" customWidth="1"/>
    <col min="38" max="39" width="10.54296875" style="188" bestFit="1" customWidth="1"/>
    <col min="40" max="40" width="8.1796875" style="188" bestFit="1" customWidth="1"/>
    <col min="41" max="42" width="10.54296875" style="188" bestFit="1" customWidth="1"/>
    <col min="43" max="43" width="8.1796875" style="188" bestFit="1" customWidth="1"/>
    <col min="44" max="44" width="17.54296875" bestFit="1" customWidth="1"/>
    <col min="45" max="45" width="20" bestFit="1" customWidth="1"/>
    <col min="46" max="46" width="18" bestFit="1" customWidth="1"/>
    <col min="47" max="50" width="17.54296875" bestFit="1" customWidth="1"/>
    <col min="51" max="51" width="19" bestFit="1" customWidth="1"/>
    <col min="52" max="52" width="16.81640625" bestFit="1" customWidth="1"/>
    <col min="53" max="56" width="17.54296875" bestFit="1" customWidth="1"/>
    <col min="57" max="57" width="20" bestFit="1" customWidth="1"/>
    <col min="58" max="58" width="18" bestFit="1" customWidth="1"/>
    <col min="59" max="62" width="17.54296875" bestFit="1" customWidth="1"/>
    <col min="63" max="63" width="19" bestFit="1" customWidth="1"/>
    <col min="64" max="64" width="16.81640625" bestFit="1" customWidth="1"/>
    <col min="65" max="68" width="17.54296875" bestFit="1" customWidth="1"/>
    <col min="69" max="69" width="19" bestFit="1" customWidth="1"/>
    <col min="70" max="70" width="16.81640625" bestFit="1" customWidth="1"/>
    <col min="71" max="74" width="17.54296875" bestFit="1" customWidth="1"/>
    <col min="75" max="75" width="19" bestFit="1" customWidth="1"/>
    <col min="76" max="76" width="16.81640625" bestFit="1" customWidth="1"/>
    <col min="77" max="80" width="17.54296875" bestFit="1" customWidth="1"/>
    <col min="81" max="81" width="19" bestFit="1" customWidth="1"/>
    <col min="82" max="82" width="16.81640625" bestFit="1" customWidth="1"/>
  </cols>
  <sheetData>
    <row r="3" spans="1:6" x14ac:dyDescent="0.35">
      <c r="A3" s="55" t="s">
        <v>1281</v>
      </c>
      <c r="B3"/>
      <c r="C3"/>
      <c r="D3" s="190" t="s">
        <v>938</v>
      </c>
      <c r="E3" s="55" t="s">
        <v>1641</v>
      </c>
      <c r="F3"/>
    </row>
    <row r="4" spans="1:6" x14ac:dyDescent="0.35">
      <c r="B4"/>
      <c r="C4"/>
      <c r="D4" s="189" t="s">
        <v>2027</v>
      </c>
      <c r="E4" s="189"/>
      <c r="F4"/>
    </row>
    <row r="5" spans="1:6" x14ac:dyDescent="0.35">
      <c r="A5" s="55" t="s">
        <v>1344</v>
      </c>
      <c r="B5" s="55" t="s">
        <v>1257</v>
      </c>
      <c r="C5" s="55" t="s">
        <v>1267</v>
      </c>
      <c r="D5" t="s">
        <v>2026</v>
      </c>
      <c r="E5" t="s">
        <v>2051</v>
      </c>
      <c r="F5"/>
    </row>
    <row r="6" spans="1:6" x14ac:dyDescent="0.35">
      <c r="A6" t="s">
        <v>2009</v>
      </c>
      <c r="B6" t="s">
        <v>2041</v>
      </c>
      <c r="C6" t="s">
        <v>1103</v>
      </c>
      <c r="D6" s="189">
        <v>0.5</v>
      </c>
      <c r="E6" s="189">
        <v>0.5</v>
      </c>
      <c r="F6"/>
    </row>
    <row r="7" spans="1:6" x14ac:dyDescent="0.35">
      <c r="B7"/>
      <c r="C7" t="s">
        <v>1264</v>
      </c>
      <c r="D7" s="189">
        <v>0.5</v>
      </c>
      <c r="E7" s="189">
        <v>0.5</v>
      </c>
      <c r="F7"/>
    </row>
    <row r="8" spans="1:6" x14ac:dyDescent="0.35">
      <c r="B8"/>
      <c r="C8" t="s">
        <v>1101</v>
      </c>
      <c r="D8" s="189">
        <v>0.5</v>
      </c>
      <c r="E8" s="189">
        <v>0.5</v>
      </c>
      <c r="F8"/>
    </row>
    <row r="9" spans="1:6" x14ac:dyDescent="0.35">
      <c r="B9"/>
      <c r="C9" t="s">
        <v>2046</v>
      </c>
      <c r="D9" s="189">
        <v>0.5</v>
      </c>
      <c r="E9" s="189">
        <v>0.5</v>
      </c>
      <c r="F9"/>
    </row>
    <row r="10" spans="1:6" x14ac:dyDescent="0.35">
      <c r="B10"/>
      <c r="C10" t="s">
        <v>2047</v>
      </c>
      <c r="D10" s="189">
        <v>0.55000000000000004</v>
      </c>
      <c r="E10" s="189">
        <v>0.55000000000000004</v>
      </c>
      <c r="F10"/>
    </row>
    <row r="11" spans="1:6" x14ac:dyDescent="0.35">
      <c r="B11"/>
      <c r="C11" t="s">
        <v>1010</v>
      </c>
      <c r="D11" s="189">
        <v>0.75</v>
      </c>
      <c r="E11" s="189">
        <v>0.75</v>
      </c>
      <c r="F11"/>
    </row>
    <row r="12" spans="1:6" x14ac:dyDescent="0.35">
      <c r="B12"/>
      <c r="C12" t="s">
        <v>1012</v>
      </c>
      <c r="D12" s="189">
        <v>0.5</v>
      </c>
      <c r="E12" s="189">
        <v>0.5</v>
      </c>
      <c r="F12"/>
    </row>
    <row r="13" spans="1:6" x14ac:dyDescent="0.35">
      <c r="B13"/>
      <c r="C13" t="s">
        <v>1027</v>
      </c>
      <c r="D13" s="189">
        <v>0.75029999999999997</v>
      </c>
      <c r="E13" s="189">
        <v>0.75029999999999997</v>
      </c>
      <c r="F13"/>
    </row>
    <row r="14" spans="1:6" x14ac:dyDescent="0.35">
      <c r="B14"/>
      <c r="C14" t="s">
        <v>1019</v>
      </c>
      <c r="D14" s="189">
        <v>0.75</v>
      </c>
      <c r="E14" s="189">
        <v>0.75</v>
      </c>
      <c r="F14"/>
    </row>
    <row r="15" spans="1:6" x14ac:dyDescent="0.35">
      <c r="B15"/>
      <c r="C15" t="s">
        <v>1685</v>
      </c>
      <c r="D15" s="189">
        <v>0.5</v>
      </c>
      <c r="E15" s="189">
        <v>0.5</v>
      </c>
      <c r="F15"/>
    </row>
    <row r="16" spans="1:6" x14ac:dyDescent="0.35">
      <c r="B16" t="s">
        <v>2043</v>
      </c>
      <c r="C16" t="s">
        <v>1103</v>
      </c>
      <c r="D16" s="189">
        <v>0.5</v>
      </c>
      <c r="E16" s="189">
        <v>0.5</v>
      </c>
      <c r="F16"/>
    </row>
    <row r="17" spans="2:6" x14ac:dyDescent="0.35">
      <c r="B17"/>
      <c r="C17" t="s">
        <v>1203</v>
      </c>
      <c r="D17" s="189">
        <v>0.5</v>
      </c>
      <c r="E17" s="189">
        <v>0.5</v>
      </c>
      <c r="F17"/>
    </row>
    <row r="18" spans="2:6" x14ac:dyDescent="0.35">
      <c r="B18"/>
      <c r="C18" t="s">
        <v>1264</v>
      </c>
      <c r="D18" s="189">
        <v>0.5</v>
      </c>
      <c r="E18" s="189">
        <v>0.5</v>
      </c>
      <c r="F18"/>
    </row>
    <row r="19" spans="2:6" x14ac:dyDescent="0.35">
      <c r="B19"/>
      <c r="C19" t="s">
        <v>1127</v>
      </c>
      <c r="D19" s="189">
        <v>0.5</v>
      </c>
      <c r="E19" s="189">
        <v>0.5</v>
      </c>
      <c r="F19"/>
    </row>
    <row r="20" spans="2:6" x14ac:dyDescent="0.35">
      <c r="B20"/>
      <c r="C20" t="s">
        <v>1121</v>
      </c>
      <c r="D20" s="189">
        <v>0.5</v>
      </c>
      <c r="E20" s="189">
        <v>0.5</v>
      </c>
      <c r="F20"/>
    </row>
    <row r="21" spans="2:6" x14ac:dyDescent="0.35">
      <c r="B21"/>
      <c r="C21" t="s">
        <v>1101</v>
      </c>
      <c r="D21" s="189">
        <v>0.5</v>
      </c>
      <c r="E21" s="189">
        <v>0.5</v>
      </c>
      <c r="F21"/>
    </row>
    <row r="22" spans="2:6" x14ac:dyDescent="0.35">
      <c r="B22"/>
      <c r="C22" t="s">
        <v>2050</v>
      </c>
      <c r="D22" s="189">
        <v>0.5</v>
      </c>
      <c r="E22" s="189">
        <v>0.5</v>
      </c>
      <c r="F22"/>
    </row>
    <row r="23" spans="2:6" x14ac:dyDescent="0.35">
      <c r="B23"/>
      <c r="C23" t="s">
        <v>2046</v>
      </c>
      <c r="D23" s="189">
        <v>0.5</v>
      </c>
      <c r="E23" s="189">
        <v>0.5</v>
      </c>
      <c r="F23"/>
    </row>
    <row r="24" spans="2:6" x14ac:dyDescent="0.35">
      <c r="B24"/>
      <c r="C24" t="s">
        <v>2047</v>
      </c>
      <c r="D24" s="189">
        <v>0.55000000000000004</v>
      </c>
      <c r="E24" s="189">
        <v>0.55000000000000004</v>
      </c>
      <c r="F24"/>
    </row>
    <row r="25" spans="2:6" x14ac:dyDescent="0.35">
      <c r="B25"/>
      <c r="C25" t="s">
        <v>1010</v>
      </c>
      <c r="D25" s="189">
        <v>0.75</v>
      </c>
      <c r="E25" s="189">
        <v>0.75</v>
      </c>
      <c r="F25"/>
    </row>
    <row r="26" spans="2:6" x14ac:dyDescent="0.35">
      <c r="B26"/>
      <c r="C26" t="s">
        <v>1012</v>
      </c>
      <c r="D26" s="189">
        <v>0.5</v>
      </c>
      <c r="E26" s="189">
        <v>0.5</v>
      </c>
      <c r="F26"/>
    </row>
    <row r="27" spans="2:6" x14ac:dyDescent="0.35">
      <c r="B27"/>
      <c r="C27" t="s">
        <v>1027</v>
      </c>
      <c r="D27" s="189">
        <v>0.75029999999999997</v>
      </c>
      <c r="E27" s="189">
        <v>0.75029999999999997</v>
      </c>
      <c r="F27"/>
    </row>
    <row r="28" spans="2:6" x14ac:dyDescent="0.35">
      <c r="B28"/>
      <c r="C28" t="s">
        <v>1019</v>
      </c>
      <c r="D28" s="189">
        <v>0.75</v>
      </c>
      <c r="E28" s="189">
        <v>0.75</v>
      </c>
      <c r="F28"/>
    </row>
    <row r="29" spans="2:6" x14ac:dyDescent="0.35">
      <c r="B29"/>
      <c r="C29" t="s">
        <v>1685</v>
      </c>
      <c r="D29" s="189">
        <v>0.5</v>
      </c>
      <c r="E29" s="189">
        <v>0.5</v>
      </c>
      <c r="F29"/>
    </row>
    <row r="30" spans="2:6" x14ac:dyDescent="0.35">
      <c r="B30" t="s">
        <v>2045</v>
      </c>
      <c r="C30" t="s">
        <v>1103</v>
      </c>
      <c r="D30" s="189">
        <v>0.5</v>
      </c>
      <c r="E30" s="189">
        <v>0.5</v>
      </c>
      <c r="F30"/>
    </row>
    <row r="31" spans="2:6" x14ac:dyDescent="0.35">
      <c r="B31"/>
      <c r="C31" t="s">
        <v>1264</v>
      </c>
      <c r="D31" s="189">
        <v>0.5</v>
      </c>
      <c r="E31" s="189">
        <v>0.5</v>
      </c>
      <c r="F31"/>
    </row>
    <row r="32" spans="2:6" x14ac:dyDescent="0.35">
      <c r="B32"/>
      <c r="C32" t="s">
        <v>1101</v>
      </c>
      <c r="D32" s="189">
        <v>0.5</v>
      </c>
      <c r="E32" s="189">
        <v>0.5</v>
      </c>
      <c r="F32"/>
    </row>
    <row r="33" spans="1:6" x14ac:dyDescent="0.35">
      <c r="B33"/>
      <c r="C33" t="s">
        <v>1010</v>
      </c>
      <c r="D33" s="189">
        <v>0.35</v>
      </c>
      <c r="E33" s="189">
        <v>0.35</v>
      </c>
      <c r="F33"/>
    </row>
    <row r="34" spans="1:6" x14ac:dyDescent="0.35">
      <c r="B34"/>
      <c r="C34" t="s">
        <v>1027</v>
      </c>
      <c r="D34" s="189">
        <v>0.35</v>
      </c>
      <c r="E34" s="189">
        <v>0.35</v>
      </c>
      <c r="F34"/>
    </row>
    <row r="35" spans="1:6" x14ac:dyDescent="0.35">
      <c r="A35" t="s">
        <v>2008</v>
      </c>
      <c r="B35" t="s">
        <v>2030</v>
      </c>
      <c r="C35" t="s">
        <v>1264</v>
      </c>
      <c r="D35" s="189">
        <v>0.5</v>
      </c>
      <c r="E35" s="189">
        <v>0.5</v>
      </c>
      <c r="F35"/>
    </row>
    <row r="36" spans="1:6" x14ac:dyDescent="0.35">
      <c r="B36"/>
      <c r="C36" t="s">
        <v>1042</v>
      </c>
      <c r="D36" s="189">
        <v>0.5</v>
      </c>
      <c r="E36" s="189">
        <v>0.5</v>
      </c>
      <c r="F36"/>
    </row>
    <row r="37" spans="1:6" x14ac:dyDescent="0.35">
      <c r="B37"/>
      <c r="C37" t="s">
        <v>1066</v>
      </c>
      <c r="D37" s="189">
        <v>0.5</v>
      </c>
      <c r="E37" s="189">
        <v>0.5</v>
      </c>
      <c r="F37"/>
    </row>
    <row r="38" spans="1:6" x14ac:dyDescent="0.35">
      <c r="B38"/>
      <c r="C38" t="s">
        <v>1048</v>
      </c>
      <c r="D38" s="189">
        <v>0.5</v>
      </c>
      <c r="E38" s="189">
        <v>0.5</v>
      </c>
      <c r="F38"/>
    </row>
    <row r="39" spans="1:6" x14ac:dyDescent="0.35">
      <c r="B39"/>
      <c r="C39" t="s">
        <v>1043</v>
      </c>
      <c r="D39" s="189">
        <v>0.5</v>
      </c>
      <c r="E39" s="189">
        <v>0.5</v>
      </c>
      <c r="F39"/>
    </row>
    <row r="40" spans="1:6" x14ac:dyDescent="0.35">
      <c r="B40"/>
      <c r="C40" t="s">
        <v>1193</v>
      </c>
      <c r="D40" s="189">
        <v>0.5</v>
      </c>
      <c r="E40" s="189">
        <v>0.5</v>
      </c>
      <c r="F40"/>
    </row>
    <row r="41" spans="1:6" x14ac:dyDescent="0.35">
      <c r="B41"/>
      <c r="C41" t="s">
        <v>1064</v>
      </c>
      <c r="D41" s="189">
        <v>0.5</v>
      </c>
      <c r="E41" s="189">
        <v>0.5</v>
      </c>
      <c r="F41"/>
    </row>
    <row r="42" spans="1:6" x14ac:dyDescent="0.35">
      <c r="B42"/>
      <c r="C42" t="s">
        <v>1054</v>
      </c>
      <c r="D42" s="189">
        <v>0.55000000000000004</v>
      </c>
      <c r="E42" s="189">
        <v>0.55000000000000004</v>
      </c>
      <c r="F42"/>
    </row>
    <row r="43" spans="1:6" x14ac:dyDescent="0.35">
      <c r="B43"/>
      <c r="C43" t="s">
        <v>1067</v>
      </c>
      <c r="D43" s="189">
        <v>0.5</v>
      </c>
      <c r="E43" s="189">
        <v>0.5</v>
      </c>
      <c r="F43"/>
    </row>
    <row r="44" spans="1:6" x14ac:dyDescent="0.35">
      <c r="B44"/>
      <c r="C44" t="s">
        <v>2046</v>
      </c>
      <c r="D44" s="189">
        <v>0.25</v>
      </c>
      <c r="E44" s="189">
        <v>0.25</v>
      </c>
      <c r="F44"/>
    </row>
    <row r="45" spans="1:6" x14ac:dyDescent="0.35">
      <c r="B45"/>
      <c r="C45" t="s">
        <v>2047</v>
      </c>
      <c r="D45" s="189">
        <v>0.25</v>
      </c>
      <c r="E45" s="189">
        <v>0.25</v>
      </c>
      <c r="F45"/>
    </row>
    <row r="46" spans="1:6" x14ac:dyDescent="0.35">
      <c r="B46"/>
      <c r="C46" t="s">
        <v>1041</v>
      </c>
      <c r="D46" s="189">
        <v>0.5</v>
      </c>
      <c r="E46" s="189">
        <v>0.5</v>
      </c>
      <c r="F46"/>
    </row>
    <row r="47" spans="1:6" x14ac:dyDescent="0.35">
      <c r="B47"/>
      <c r="C47" t="s">
        <v>1263</v>
      </c>
      <c r="D47" s="189">
        <v>0.5</v>
      </c>
      <c r="E47" s="189">
        <v>0.5</v>
      </c>
      <c r="F47"/>
    </row>
    <row r="48" spans="1:6" x14ac:dyDescent="0.35">
      <c r="B48" t="s">
        <v>2070</v>
      </c>
      <c r="C48" t="s">
        <v>1278</v>
      </c>
      <c r="D48" s="189">
        <v>0.35</v>
      </c>
      <c r="E48" s="189">
        <v>0.35</v>
      </c>
      <c r="F48"/>
    </row>
    <row r="49" spans="2:6" x14ac:dyDescent="0.35">
      <c r="B49"/>
      <c r="C49" t="s">
        <v>1413</v>
      </c>
      <c r="D49" s="189">
        <v>0.25</v>
      </c>
      <c r="E49" s="189">
        <v>0.25</v>
      </c>
      <c r="F49"/>
    </row>
    <row r="50" spans="2:6" x14ac:dyDescent="0.35">
      <c r="B50"/>
      <c r="C50" t="s">
        <v>1295</v>
      </c>
      <c r="D50" s="189">
        <v>0.35</v>
      </c>
      <c r="E50" s="189">
        <v>0.35</v>
      </c>
      <c r="F50"/>
    </row>
    <row r="51" spans="2:6" x14ac:dyDescent="0.35">
      <c r="B51" t="s">
        <v>2072</v>
      </c>
      <c r="C51" t="s">
        <v>1278</v>
      </c>
      <c r="D51" s="189">
        <v>0.35</v>
      </c>
      <c r="E51" s="189">
        <v>0.35</v>
      </c>
      <c r="F51"/>
    </row>
    <row r="52" spans="2:6" x14ac:dyDescent="0.35">
      <c r="B52"/>
      <c r="C52" t="s">
        <v>1413</v>
      </c>
      <c r="D52" s="189">
        <v>0.25</v>
      </c>
      <c r="E52" s="189">
        <v>0.25</v>
      </c>
      <c r="F52"/>
    </row>
    <row r="53" spans="2:6" x14ac:dyDescent="0.35">
      <c r="B53"/>
      <c r="C53" t="s">
        <v>1295</v>
      </c>
      <c r="D53" s="189">
        <v>0.35</v>
      </c>
      <c r="E53" s="189">
        <v>0.35</v>
      </c>
      <c r="F53"/>
    </row>
    <row r="54" spans="2:6" x14ac:dyDescent="0.35">
      <c r="B54" t="s">
        <v>2077</v>
      </c>
      <c r="C54" t="s">
        <v>1264</v>
      </c>
      <c r="D54" s="189">
        <v>0.5</v>
      </c>
      <c r="E54" s="189">
        <v>0.5</v>
      </c>
      <c r="F54"/>
    </row>
    <row r="55" spans="2:6" x14ac:dyDescent="0.35">
      <c r="B55"/>
      <c r="C55" t="s">
        <v>1263</v>
      </c>
      <c r="D55" s="189">
        <v>0.5</v>
      </c>
      <c r="E55" s="189">
        <v>0.5</v>
      </c>
      <c r="F55"/>
    </row>
    <row r="56" spans="2:6" x14ac:dyDescent="0.35">
      <c r="B56"/>
      <c r="C56"/>
      <c r="D56"/>
      <c r="E56"/>
      <c r="F56"/>
    </row>
    <row r="57" spans="2:6" x14ac:dyDescent="0.35">
      <c r="B57"/>
      <c r="C57"/>
      <c r="D57"/>
      <c r="E57"/>
      <c r="F57"/>
    </row>
    <row r="58" spans="2:6" x14ac:dyDescent="0.35">
      <c r="B58"/>
      <c r="C58"/>
      <c r="D58"/>
      <c r="E58"/>
      <c r="F58"/>
    </row>
    <row r="59" spans="2:6" x14ac:dyDescent="0.35">
      <c r="B59"/>
      <c r="C59"/>
      <c r="D59"/>
      <c r="E59"/>
      <c r="F59"/>
    </row>
    <row r="60" spans="2:6" x14ac:dyDescent="0.35">
      <c r="B60"/>
      <c r="C60"/>
      <c r="D60"/>
      <c r="E60"/>
      <c r="F60"/>
    </row>
    <row r="61" spans="2:6" x14ac:dyDescent="0.35">
      <c r="B61"/>
      <c r="C61"/>
      <c r="D61"/>
      <c r="E61"/>
      <c r="F61"/>
    </row>
    <row r="62" spans="2:6" x14ac:dyDescent="0.35">
      <c r="B62"/>
      <c r="C62"/>
      <c r="D62"/>
      <c r="E62"/>
      <c r="F62"/>
    </row>
    <row r="63" spans="2:6" x14ac:dyDescent="0.35">
      <c r="B63"/>
      <c r="C63"/>
      <c r="D63"/>
      <c r="E63"/>
      <c r="F63"/>
    </row>
    <row r="64" spans="2:6" x14ac:dyDescent="0.35">
      <c r="B64"/>
      <c r="C64"/>
      <c r="D64"/>
      <c r="E64"/>
      <c r="F64"/>
    </row>
    <row r="65" spans="2:6" x14ac:dyDescent="0.35">
      <c r="B65"/>
      <c r="C65"/>
      <c r="D65"/>
      <c r="E65"/>
      <c r="F65"/>
    </row>
    <row r="66" spans="2:6" x14ac:dyDescent="0.35">
      <c r="B66"/>
      <c r="C66"/>
      <c r="D66"/>
      <c r="E66"/>
      <c r="F66"/>
    </row>
    <row r="67" spans="2:6" x14ac:dyDescent="0.35">
      <c r="B67"/>
      <c r="C67"/>
      <c r="D67"/>
      <c r="E67"/>
      <c r="F67"/>
    </row>
    <row r="68" spans="2:6" x14ac:dyDescent="0.35">
      <c r="B68"/>
      <c r="C68"/>
      <c r="D68"/>
      <c r="E68"/>
      <c r="F68"/>
    </row>
    <row r="69" spans="2:6" x14ac:dyDescent="0.35">
      <c r="B69"/>
      <c r="C69"/>
      <c r="D69"/>
      <c r="E69"/>
      <c r="F69"/>
    </row>
    <row r="70" spans="2:6" x14ac:dyDescent="0.35">
      <c r="B70"/>
      <c r="C70"/>
      <c r="D70"/>
      <c r="E70"/>
      <c r="F70"/>
    </row>
    <row r="71" spans="2:6" x14ac:dyDescent="0.35">
      <c r="B71"/>
      <c r="C71"/>
      <c r="D71"/>
      <c r="E71"/>
      <c r="F71"/>
    </row>
    <row r="72" spans="2:6" x14ac:dyDescent="0.35">
      <c r="B72"/>
      <c r="C72"/>
      <c r="D72"/>
      <c r="E72"/>
      <c r="F72"/>
    </row>
    <row r="73" spans="2:6" x14ac:dyDescent="0.35">
      <c r="B73"/>
      <c r="C73"/>
      <c r="D73"/>
      <c r="E73"/>
      <c r="F73"/>
    </row>
    <row r="74" spans="2:6" x14ac:dyDescent="0.35">
      <c r="B74"/>
      <c r="C74"/>
      <c r="D74"/>
      <c r="E74"/>
      <c r="F74"/>
    </row>
    <row r="75" spans="2:6" x14ac:dyDescent="0.35">
      <c r="B75"/>
      <c r="C75"/>
      <c r="D75"/>
      <c r="E75"/>
      <c r="F75"/>
    </row>
    <row r="76" spans="2:6" x14ac:dyDescent="0.35">
      <c r="B76"/>
      <c r="C76"/>
      <c r="D76"/>
      <c r="E76"/>
      <c r="F76"/>
    </row>
    <row r="77" spans="2:6" x14ac:dyDescent="0.35">
      <c r="B77"/>
      <c r="C77"/>
      <c r="D77"/>
      <c r="E77"/>
      <c r="F77"/>
    </row>
    <row r="78" spans="2:6" x14ac:dyDescent="0.35">
      <c r="B78"/>
      <c r="C78"/>
      <c r="D78"/>
      <c r="E78"/>
      <c r="F78"/>
    </row>
    <row r="79" spans="2:6" x14ac:dyDescent="0.35">
      <c r="B79"/>
      <c r="C79"/>
      <c r="D79"/>
      <c r="E79"/>
      <c r="F79"/>
    </row>
    <row r="80" spans="2:6" x14ac:dyDescent="0.35">
      <c r="B80"/>
      <c r="C80"/>
      <c r="D80"/>
      <c r="E80"/>
      <c r="F80"/>
    </row>
    <row r="81" spans="2:6" x14ac:dyDescent="0.35">
      <c r="B81"/>
      <c r="C81"/>
      <c r="D81"/>
      <c r="E81"/>
      <c r="F81"/>
    </row>
    <row r="82" spans="2:6" x14ac:dyDescent="0.35">
      <c r="B82"/>
      <c r="C82"/>
      <c r="D82"/>
      <c r="E82"/>
      <c r="F82"/>
    </row>
    <row r="83" spans="2:6" x14ac:dyDescent="0.35">
      <c r="B83"/>
      <c r="C83"/>
      <c r="D83"/>
      <c r="E83"/>
      <c r="F83"/>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F5F88-4885-4BAE-88D5-36CDF8D6D2AE}">
  <sheetPr codeName="Sheet9">
    <tabColor theme="5" tint="0.59999389629810485"/>
  </sheetPr>
  <dimension ref="A1:F12"/>
  <sheetViews>
    <sheetView showGridLines="0" workbookViewId="0"/>
  </sheetViews>
  <sheetFormatPr defaultRowHeight="14.5" x14ac:dyDescent="0.35"/>
  <cols>
    <col min="1" max="1" width="17.36328125" bestFit="1" customWidth="1"/>
    <col min="2" max="2" width="9.1796875" bestFit="1" customWidth="1"/>
    <col min="3" max="3" width="14.1796875" bestFit="1" customWidth="1"/>
    <col min="5" max="5" width="12.6328125" bestFit="1" customWidth="1"/>
    <col min="6" max="7" width="14.1796875" bestFit="1" customWidth="1"/>
  </cols>
  <sheetData>
    <row r="1" spans="1:6" x14ac:dyDescent="0.35">
      <c r="A1" s="55" t="s">
        <v>6</v>
      </c>
      <c r="B1" t="s">
        <v>910</v>
      </c>
      <c r="E1" s="55" t="s">
        <v>1344</v>
      </c>
      <c r="F1" t="s">
        <v>910</v>
      </c>
    </row>
    <row r="2" spans="1:6" x14ac:dyDescent="0.35">
      <c r="E2" s="55" t="s">
        <v>0</v>
      </c>
      <c r="F2" t="s">
        <v>910</v>
      </c>
    </row>
    <row r="3" spans="1:6" x14ac:dyDescent="0.35">
      <c r="A3" s="55" t="s">
        <v>919</v>
      </c>
      <c r="B3" t="s">
        <v>911</v>
      </c>
      <c r="C3" t="s">
        <v>912</v>
      </c>
      <c r="E3" s="55" t="s">
        <v>2</v>
      </c>
      <c r="F3" t="s">
        <v>910</v>
      </c>
    </row>
    <row r="4" spans="1:6" x14ac:dyDescent="0.35">
      <c r="A4" s="63" t="s">
        <v>2008</v>
      </c>
      <c r="B4" s="56">
        <v>1782</v>
      </c>
      <c r="C4" s="57">
        <v>14846.279999999999</v>
      </c>
      <c r="E4" s="55" t="s">
        <v>6</v>
      </c>
      <c r="F4" t="s">
        <v>910</v>
      </c>
    </row>
    <row r="5" spans="1:6" x14ac:dyDescent="0.35">
      <c r="A5" s="64" t="s">
        <v>14</v>
      </c>
      <c r="B5" s="56">
        <v>1764</v>
      </c>
      <c r="C5" s="57">
        <v>11498.559999999998</v>
      </c>
    </row>
    <row r="6" spans="1:6" x14ac:dyDescent="0.35">
      <c r="A6" s="240" t="s">
        <v>946</v>
      </c>
      <c r="B6" s="56">
        <v>1764</v>
      </c>
      <c r="C6" s="57">
        <v>11498.559999999998</v>
      </c>
      <c r="E6" t="s">
        <v>911</v>
      </c>
      <c r="F6" t="s">
        <v>912</v>
      </c>
    </row>
    <row r="7" spans="1:6" x14ac:dyDescent="0.35">
      <c r="A7" s="64" t="s">
        <v>335</v>
      </c>
      <c r="B7" s="56">
        <v>18</v>
      </c>
      <c r="C7" s="57">
        <v>3347.7200000000003</v>
      </c>
      <c r="E7" s="56">
        <v>123978</v>
      </c>
      <c r="F7" s="57">
        <v>878409.34999999986</v>
      </c>
    </row>
    <row r="8" spans="1:6" x14ac:dyDescent="0.35">
      <c r="A8" s="240" t="s">
        <v>946</v>
      </c>
      <c r="B8" s="56">
        <v>18</v>
      </c>
      <c r="C8" s="57">
        <v>3347.7200000000003</v>
      </c>
    </row>
    <row r="9" spans="1:6" x14ac:dyDescent="0.35">
      <c r="A9" s="63" t="s">
        <v>2009</v>
      </c>
      <c r="B9" s="56">
        <v>122196</v>
      </c>
      <c r="C9" s="57">
        <v>863563.06999999983</v>
      </c>
    </row>
    <row r="10" spans="1:6" x14ac:dyDescent="0.35">
      <c r="A10" s="64" t="s">
        <v>15</v>
      </c>
      <c r="B10" s="56">
        <v>122196</v>
      </c>
      <c r="C10" s="57">
        <v>863563.06999999983</v>
      </c>
    </row>
    <row r="11" spans="1:6" x14ac:dyDescent="0.35">
      <c r="A11" s="240" t="s">
        <v>946</v>
      </c>
      <c r="B11" s="56">
        <v>122196</v>
      </c>
      <c r="C11" s="57">
        <v>863563.06999999983</v>
      </c>
    </row>
    <row r="12" spans="1:6" x14ac:dyDescent="0.35">
      <c r="A12" s="63" t="s">
        <v>920</v>
      </c>
      <c r="B12" s="56">
        <v>123978</v>
      </c>
      <c r="C12" s="57">
        <v>878409.34999999986</v>
      </c>
    </row>
  </sheetData>
  <pageMargins left="0.7" right="0.7" top="0.75" bottom="0.75" header="0.3" footer="0.3"/>
  <pageSetup orientation="portrait" horizontalDpi="300" verticalDpi="300"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8DB92-8389-4A2B-B1DE-D6DD74E1B712}">
  <sheetPr codeName="Sheet19"/>
  <dimension ref="A1:Y748"/>
  <sheetViews>
    <sheetView topLeftCell="B1" zoomScale="70" zoomScaleNormal="70" workbookViewId="0">
      <pane activePane="bottomRight" state="frozen"/>
      <selection activeCell="D757" sqref="D757"/>
    </sheetView>
  </sheetViews>
  <sheetFormatPr defaultRowHeight="14.5" x14ac:dyDescent="0.35"/>
  <cols>
    <col min="2" max="2" width="20.7265625" bestFit="1" customWidth="1"/>
    <col min="3" max="3" width="13" bestFit="1" customWidth="1"/>
    <col min="4" max="4" width="17.81640625" bestFit="1" customWidth="1"/>
    <col min="5" max="5" width="38.26953125" bestFit="1" customWidth="1"/>
    <col min="6" max="6" width="38.7265625" bestFit="1" customWidth="1"/>
    <col min="7" max="7" width="44" style="63" bestFit="1" customWidth="1"/>
    <col min="8" max="8" width="12.81640625" style="358" bestFit="1" customWidth="1"/>
    <col min="9" max="9" width="20.7265625" style="358" bestFit="1" customWidth="1"/>
    <col min="10" max="10" width="11.453125" style="358" bestFit="1" customWidth="1"/>
    <col min="11" max="11" width="15.81640625" style="358" bestFit="1" customWidth="1"/>
    <col min="12" max="12" width="11.54296875" style="358" bestFit="1" customWidth="1"/>
    <col min="13" max="13" width="12.81640625" style="358" bestFit="1" customWidth="1"/>
    <col min="14" max="14" width="9.54296875" style="361" bestFit="1" customWidth="1"/>
    <col min="15" max="15" width="9.54296875" style="361" customWidth="1"/>
    <col min="16" max="16" width="11.54296875" style="358" bestFit="1" customWidth="1"/>
    <col min="17" max="17" width="13.1796875" style="358" bestFit="1" customWidth="1"/>
    <col min="18" max="18" width="12.1796875" style="358" bestFit="1" customWidth="1"/>
    <col min="19" max="19" width="17.7265625" style="358" bestFit="1" customWidth="1"/>
    <col min="20" max="20" width="11.54296875" style="358" bestFit="1" customWidth="1"/>
    <col min="21" max="21" width="14.81640625" style="358" bestFit="1" customWidth="1"/>
    <col min="22" max="22" width="16.7265625" style="365" bestFit="1" customWidth="1"/>
    <col min="23" max="24" width="14.26953125" style="358" bestFit="1" customWidth="1"/>
    <col min="25" max="25" width="14.81640625" style="358" bestFit="1" customWidth="1"/>
  </cols>
  <sheetData>
    <row r="1" spans="1:25" ht="33" customHeight="1" x14ac:dyDescent="0.35">
      <c r="A1" s="42" t="s">
        <v>1522</v>
      </c>
      <c r="B1" s="356" t="s">
        <v>1431</v>
      </c>
      <c r="C1" s="356" t="s">
        <v>1246</v>
      </c>
      <c r="D1" s="356" t="s">
        <v>0</v>
      </c>
      <c r="E1" s="356" t="s">
        <v>271</v>
      </c>
      <c r="F1" s="356" t="s">
        <v>1445</v>
      </c>
      <c r="G1" s="424" t="s">
        <v>345</v>
      </c>
      <c r="H1" s="366" t="s">
        <v>1696</v>
      </c>
      <c r="I1" s="366" t="s">
        <v>1753</v>
      </c>
      <c r="J1" s="366" t="s">
        <v>1428</v>
      </c>
      <c r="K1" s="366" t="s">
        <v>1447</v>
      </c>
      <c r="L1" s="366" t="s">
        <v>1739</v>
      </c>
      <c r="M1" s="366" t="s">
        <v>1752</v>
      </c>
      <c r="N1" s="367" t="s">
        <v>1712</v>
      </c>
      <c r="O1" s="367" t="s">
        <v>1714</v>
      </c>
      <c r="P1" s="366" t="s">
        <v>1709</v>
      </c>
      <c r="Q1" s="366" t="s">
        <v>1717</v>
      </c>
      <c r="R1" s="366" t="s">
        <v>1429</v>
      </c>
      <c r="S1" s="366" t="s">
        <v>1448</v>
      </c>
      <c r="T1" s="366" t="s">
        <v>1715</v>
      </c>
      <c r="U1" s="366" t="s">
        <v>1716</v>
      </c>
      <c r="V1" s="368" t="s">
        <v>9</v>
      </c>
      <c r="W1" s="366" t="s">
        <v>1711</v>
      </c>
      <c r="X1" s="366" t="s">
        <v>1430</v>
      </c>
      <c r="Y1" s="366" t="s">
        <v>1713</v>
      </c>
    </row>
    <row r="2" spans="1:25" x14ac:dyDescent="0.35">
      <c r="A2">
        <v>1</v>
      </c>
      <c r="B2" t="s">
        <v>1341</v>
      </c>
      <c r="C2" t="s">
        <v>946</v>
      </c>
      <c r="D2" t="s">
        <v>14</v>
      </c>
      <c r="E2" t="s">
        <v>66</v>
      </c>
      <c r="F2" t="s">
        <v>922</v>
      </c>
      <c r="G2" s="425" t="s">
        <v>1525</v>
      </c>
      <c r="H2" s="357">
        <v>28</v>
      </c>
      <c r="I2" s="357"/>
      <c r="J2" s="357">
        <v>1.5</v>
      </c>
      <c r="K2" s="357"/>
      <c r="L2" s="357">
        <v>29.5</v>
      </c>
      <c r="M2" s="357"/>
      <c r="N2" s="359">
        <f>'By Zone Charges'!C5</f>
        <v>0</v>
      </c>
      <c r="O2" s="359">
        <f>'By Zone Charges'!D5</f>
        <v>0</v>
      </c>
      <c r="P2" s="357">
        <f>'By Zone Charges'!E5</f>
        <v>29.5</v>
      </c>
      <c r="Q2" s="357"/>
      <c r="R2" s="357">
        <f>'By Zone Charges'!F5</f>
        <v>0</v>
      </c>
      <c r="S2" s="357"/>
      <c r="T2" s="357">
        <f>'By Zone Charges'!G5</f>
        <v>29.5</v>
      </c>
      <c r="U2" s="357"/>
      <c r="V2" s="363">
        <f>'By Zone Charges'!H5</f>
        <v>0</v>
      </c>
      <c r="W2" s="357">
        <f>'By Zone Charges'!I5</f>
        <v>0</v>
      </c>
      <c r="X2" s="357">
        <f>'By Zone Charges'!J5</f>
        <v>0</v>
      </c>
      <c r="Y2" s="357">
        <f>'By Zone Charges'!K5</f>
        <v>0</v>
      </c>
    </row>
    <row r="3" spans="1:25" x14ac:dyDescent="0.35">
      <c r="A3">
        <v>2</v>
      </c>
      <c r="B3" t="s">
        <v>1341</v>
      </c>
      <c r="C3" t="s">
        <v>946</v>
      </c>
      <c r="D3" t="s">
        <v>14</v>
      </c>
      <c r="E3" t="s">
        <v>66</v>
      </c>
      <c r="F3" t="s">
        <v>922</v>
      </c>
      <c r="G3" s="425" t="s">
        <v>1526</v>
      </c>
      <c r="H3" s="357">
        <v>31</v>
      </c>
      <c r="I3" s="357"/>
      <c r="J3" s="357">
        <v>1.75</v>
      </c>
      <c r="K3" s="357"/>
      <c r="L3" s="357">
        <v>32.75</v>
      </c>
      <c r="M3" s="357"/>
      <c r="N3" s="359">
        <f>'By Zone Charges'!C6</f>
        <v>0</v>
      </c>
      <c r="O3" s="359">
        <f>'By Zone Charges'!D6</f>
        <v>0</v>
      </c>
      <c r="P3" s="357">
        <f>'By Zone Charges'!E6</f>
        <v>32.75</v>
      </c>
      <c r="Q3" s="357"/>
      <c r="R3" s="357">
        <f>'By Zone Charges'!F6</f>
        <v>0</v>
      </c>
      <c r="S3" s="357"/>
      <c r="T3" s="357">
        <f>'By Zone Charges'!G6</f>
        <v>32.75</v>
      </c>
      <c r="U3" s="357"/>
      <c r="V3" s="363">
        <f>'By Zone Charges'!H6</f>
        <v>0</v>
      </c>
      <c r="W3" s="357">
        <f>'By Zone Charges'!I6</f>
        <v>0</v>
      </c>
      <c r="X3" s="357">
        <f>'By Zone Charges'!J6</f>
        <v>0</v>
      </c>
      <c r="Y3" s="357">
        <f>'By Zone Charges'!K6</f>
        <v>0</v>
      </c>
    </row>
    <row r="4" spans="1:25" x14ac:dyDescent="0.35">
      <c r="A4">
        <v>3</v>
      </c>
      <c r="B4" t="s">
        <v>1341</v>
      </c>
      <c r="C4" t="s">
        <v>946</v>
      </c>
      <c r="D4" t="s">
        <v>14</v>
      </c>
      <c r="E4" t="s">
        <v>66</v>
      </c>
      <c r="F4" t="s">
        <v>922</v>
      </c>
      <c r="G4" s="425" t="s">
        <v>1527</v>
      </c>
      <c r="H4" s="357">
        <v>36</v>
      </c>
      <c r="I4" s="357"/>
      <c r="J4" s="357">
        <v>2.5</v>
      </c>
      <c r="K4" s="357"/>
      <c r="L4" s="357">
        <v>38.5</v>
      </c>
      <c r="M4" s="357"/>
      <c r="N4" s="359">
        <f>'By Zone Charges'!C7</f>
        <v>0</v>
      </c>
      <c r="O4" s="359">
        <f>'By Zone Charges'!D7</f>
        <v>0</v>
      </c>
      <c r="P4" s="357">
        <f>'By Zone Charges'!E7</f>
        <v>38.5</v>
      </c>
      <c r="Q4" s="357"/>
      <c r="R4" s="357">
        <f>'By Zone Charges'!F7</f>
        <v>0</v>
      </c>
      <c r="S4" s="357"/>
      <c r="T4" s="357">
        <f>'By Zone Charges'!G7</f>
        <v>38.5</v>
      </c>
      <c r="U4" s="357"/>
      <c r="V4" s="363">
        <f>'By Zone Charges'!H7</f>
        <v>0</v>
      </c>
      <c r="W4" s="357">
        <f>'By Zone Charges'!I7</f>
        <v>0</v>
      </c>
      <c r="X4" s="357">
        <f>'By Zone Charges'!J7</f>
        <v>0</v>
      </c>
      <c r="Y4" s="357">
        <f>'By Zone Charges'!K7</f>
        <v>0</v>
      </c>
    </row>
    <row r="5" spans="1:25" x14ac:dyDescent="0.35">
      <c r="A5">
        <v>4</v>
      </c>
      <c r="B5" t="s">
        <v>1341</v>
      </c>
      <c r="C5" t="s">
        <v>946</v>
      </c>
      <c r="D5" t="s">
        <v>14</v>
      </c>
      <c r="E5" t="s">
        <v>66</v>
      </c>
      <c r="F5" t="s">
        <v>922</v>
      </c>
      <c r="G5" s="425" t="s">
        <v>1528</v>
      </c>
      <c r="H5" s="357">
        <v>38</v>
      </c>
      <c r="I5" s="357"/>
      <c r="J5" s="357">
        <v>2.75</v>
      </c>
      <c r="K5" s="357"/>
      <c r="L5" s="357">
        <v>40.75</v>
      </c>
      <c r="M5" s="357"/>
      <c r="N5" s="359">
        <f>'By Zone Charges'!C8</f>
        <v>0</v>
      </c>
      <c r="O5" s="359">
        <f>'By Zone Charges'!D8</f>
        <v>0</v>
      </c>
      <c r="P5" s="357">
        <f>'By Zone Charges'!E8</f>
        <v>40.75</v>
      </c>
      <c r="Q5" s="357"/>
      <c r="R5" s="357">
        <f>'By Zone Charges'!F8</f>
        <v>0</v>
      </c>
      <c r="S5" s="357"/>
      <c r="T5" s="357">
        <f>'By Zone Charges'!G8</f>
        <v>40.75</v>
      </c>
      <c r="U5" s="357"/>
      <c r="V5" s="363">
        <f>'By Zone Charges'!H8</f>
        <v>0</v>
      </c>
      <c r="W5" s="357">
        <f>'By Zone Charges'!I8</f>
        <v>0</v>
      </c>
      <c r="X5" s="357">
        <f>'By Zone Charges'!J8</f>
        <v>0</v>
      </c>
      <c r="Y5" s="357">
        <f>'By Zone Charges'!K8</f>
        <v>0</v>
      </c>
    </row>
    <row r="6" spans="1:25" x14ac:dyDescent="0.35">
      <c r="A6">
        <v>5</v>
      </c>
      <c r="B6" t="s">
        <v>1341</v>
      </c>
      <c r="C6" t="s">
        <v>946</v>
      </c>
      <c r="D6" t="s">
        <v>14</v>
      </c>
      <c r="E6" t="s">
        <v>66</v>
      </c>
      <c r="F6" t="s">
        <v>925</v>
      </c>
      <c r="G6" s="425" t="s">
        <v>1529</v>
      </c>
      <c r="H6" s="357">
        <v>43.5</v>
      </c>
      <c r="I6" s="357"/>
      <c r="J6" s="357">
        <v>2.5</v>
      </c>
      <c r="K6" s="357"/>
      <c r="L6" s="357">
        <v>46</v>
      </c>
      <c r="M6" s="357"/>
      <c r="N6" s="359">
        <f>'By Zone Charges'!C10</f>
        <v>0</v>
      </c>
      <c r="O6" s="359">
        <f>'By Zone Charges'!D10</f>
        <v>0</v>
      </c>
      <c r="P6" s="357">
        <f>'By Zone Charges'!E10</f>
        <v>46</v>
      </c>
      <c r="Q6" s="357"/>
      <c r="R6" s="357">
        <f>'By Zone Charges'!F10</f>
        <v>0</v>
      </c>
      <c r="S6" s="357"/>
      <c r="T6" s="357">
        <f>'By Zone Charges'!G10</f>
        <v>46</v>
      </c>
      <c r="U6" s="357"/>
      <c r="V6" s="363">
        <f>'By Zone Charges'!H10</f>
        <v>0</v>
      </c>
      <c r="W6" s="357">
        <f>'By Zone Charges'!I10</f>
        <v>0</v>
      </c>
      <c r="X6" s="357">
        <f>'By Zone Charges'!J10</f>
        <v>0</v>
      </c>
      <c r="Y6" s="357">
        <f>'By Zone Charges'!K10</f>
        <v>0</v>
      </c>
    </row>
    <row r="7" spans="1:25" x14ac:dyDescent="0.35">
      <c r="A7">
        <v>6</v>
      </c>
      <c r="B7" t="s">
        <v>1341</v>
      </c>
      <c r="C7" t="s">
        <v>946</v>
      </c>
      <c r="D7" t="s">
        <v>14</v>
      </c>
      <c r="E7" t="s">
        <v>66</v>
      </c>
      <c r="F7" t="s">
        <v>925</v>
      </c>
      <c r="G7" s="425" t="s">
        <v>1530</v>
      </c>
      <c r="H7" s="357">
        <v>47.5</v>
      </c>
      <c r="I7" s="357"/>
      <c r="J7" s="357">
        <v>2.75</v>
      </c>
      <c r="K7" s="357"/>
      <c r="L7" s="357">
        <v>50.25</v>
      </c>
      <c r="M7" s="357"/>
      <c r="N7" s="359">
        <f>'By Zone Charges'!C11</f>
        <v>0</v>
      </c>
      <c r="O7" s="359">
        <f>'By Zone Charges'!D11</f>
        <v>0</v>
      </c>
      <c r="P7" s="357">
        <f>'By Zone Charges'!E11</f>
        <v>50.25</v>
      </c>
      <c r="Q7" s="357"/>
      <c r="R7" s="357">
        <f>'By Zone Charges'!F11</f>
        <v>0</v>
      </c>
      <c r="S7" s="357"/>
      <c r="T7" s="357">
        <f>'By Zone Charges'!G11</f>
        <v>50.25</v>
      </c>
      <c r="U7" s="357"/>
      <c r="V7" s="363">
        <f>'By Zone Charges'!H11</f>
        <v>0</v>
      </c>
      <c r="W7" s="357">
        <f>'By Zone Charges'!I11</f>
        <v>0</v>
      </c>
      <c r="X7" s="357">
        <f>'By Zone Charges'!J11</f>
        <v>0</v>
      </c>
      <c r="Y7" s="357">
        <f>'By Zone Charges'!K11</f>
        <v>0</v>
      </c>
    </row>
    <row r="8" spans="1:25" x14ac:dyDescent="0.35">
      <c r="A8">
        <v>7</v>
      </c>
      <c r="B8" t="s">
        <v>1341</v>
      </c>
      <c r="C8" t="s">
        <v>946</v>
      </c>
      <c r="D8" t="s">
        <v>14</v>
      </c>
      <c r="E8" t="s">
        <v>66</v>
      </c>
      <c r="F8" t="s">
        <v>925</v>
      </c>
      <c r="G8" s="425" t="s">
        <v>1531</v>
      </c>
      <c r="H8" s="357">
        <v>52.75</v>
      </c>
      <c r="I8" s="357"/>
      <c r="J8" s="357">
        <v>3.5</v>
      </c>
      <c r="K8" s="357"/>
      <c r="L8" s="357">
        <v>56.25</v>
      </c>
      <c r="M8" s="357"/>
      <c r="N8" s="359">
        <f>'By Zone Charges'!C12</f>
        <v>0</v>
      </c>
      <c r="O8" s="359">
        <f>'By Zone Charges'!D12</f>
        <v>0</v>
      </c>
      <c r="P8" s="357">
        <f>'By Zone Charges'!E12</f>
        <v>56.25</v>
      </c>
      <c r="Q8" s="357"/>
      <c r="R8" s="357">
        <f>'By Zone Charges'!F12</f>
        <v>0</v>
      </c>
      <c r="S8" s="357"/>
      <c r="T8" s="357">
        <f>'By Zone Charges'!G12</f>
        <v>56.25</v>
      </c>
      <c r="U8" s="357"/>
      <c r="V8" s="363">
        <f>'By Zone Charges'!H12</f>
        <v>0</v>
      </c>
      <c r="W8" s="357">
        <f>'By Zone Charges'!I12</f>
        <v>0</v>
      </c>
      <c r="X8" s="357">
        <f>'By Zone Charges'!J12</f>
        <v>0</v>
      </c>
      <c r="Y8" s="357">
        <f>'By Zone Charges'!K12</f>
        <v>0</v>
      </c>
    </row>
    <row r="9" spans="1:25" x14ac:dyDescent="0.35">
      <c r="A9">
        <v>8</v>
      </c>
      <c r="B9" t="s">
        <v>1341</v>
      </c>
      <c r="C9" t="s">
        <v>946</v>
      </c>
      <c r="D9" t="s">
        <v>14</v>
      </c>
      <c r="E9" t="s">
        <v>66</v>
      </c>
      <c r="F9" t="s">
        <v>925</v>
      </c>
      <c r="G9" s="425" t="s">
        <v>1532</v>
      </c>
      <c r="H9" s="357">
        <v>55</v>
      </c>
      <c r="I9" s="357"/>
      <c r="J9" s="357">
        <v>3.75</v>
      </c>
      <c r="K9" s="357"/>
      <c r="L9" s="357">
        <v>58.75</v>
      </c>
      <c r="M9" s="357"/>
      <c r="N9" s="359">
        <f>'By Zone Charges'!C13</f>
        <v>0</v>
      </c>
      <c r="O9" s="359">
        <f>'By Zone Charges'!D13</f>
        <v>0</v>
      </c>
      <c r="P9" s="357">
        <f>'By Zone Charges'!E13</f>
        <v>58.75</v>
      </c>
      <c r="Q9" s="357"/>
      <c r="R9" s="357">
        <f>'By Zone Charges'!F13</f>
        <v>0</v>
      </c>
      <c r="S9" s="357"/>
      <c r="T9" s="357">
        <f>'By Zone Charges'!G13</f>
        <v>58.75</v>
      </c>
      <c r="U9" s="357"/>
      <c r="V9" s="363">
        <f>'By Zone Charges'!H13</f>
        <v>0</v>
      </c>
      <c r="W9" s="357">
        <f>'By Zone Charges'!I13</f>
        <v>0</v>
      </c>
      <c r="X9" s="357">
        <f>'By Zone Charges'!J13</f>
        <v>0</v>
      </c>
      <c r="Y9" s="357">
        <f>'By Zone Charges'!K13</f>
        <v>0</v>
      </c>
    </row>
    <row r="10" spans="1:25" x14ac:dyDescent="0.35">
      <c r="A10">
        <v>9</v>
      </c>
      <c r="B10" t="s">
        <v>1341</v>
      </c>
      <c r="C10" t="s">
        <v>946</v>
      </c>
      <c r="D10" t="s">
        <v>14</v>
      </c>
      <c r="E10" t="s">
        <v>66</v>
      </c>
      <c r="F10" t="s">
        <v>926</v>
      </c>
      <c r="G10" s="425" t="s">
        <v>1533</v>
      </c>
      <c r="H10" s="357">
        <v>25</v>
      </c>
      <c r="I10" s="357"/>
      <c r="J10" s="357">
        <v>1.5</v>
      </c>
      <c r="K10" s="357"/>
      <c r="L10" s="357">
        <v>26.5</v>
      </c>
      <c r="M10" s="357"/>
      <c r="N10" s="359">
        <f>'By Zone Charges'!C15</f>
        <v>0</v>
      </c>
      <c r="O10" s="359">
        <f>'By Zone Charges'!D15</f>
        <v>0</v>
      </c>
      <c r="P10" s="357">
        <f>'By Zone Charges'!E15</f>
        <v>26.5</v>
      </c>
      <c r="Q10" s="357"/>
      <c r="R10" s="357">
        <f>'By Zone Charges'!F15</f>
        <v>0</v>
      </c>
      <c r="S10" s="357"/>
      <c r="T10" s="357">
        <f>'By Zone Charges'!G15</f>
        <v>26.5</v>
      </c>
      <c r="U10" s="357"/>
      <c r="V10" s="363">
        <f>'By Zone Charges'!H15</f>
        <v>0</v>
      </c>
      <c r="W10" s="357">
        <f>'By Zone Charges'!I15</f>
        <v>0</v>
      </c>
      <c r="X10" s="357">
        <f>'By Zone Charges'!J15</f>
        <v>0</v>
      </c>
      <c r="Y10" s="357">
        <f>'By Zone Charges'!K15</f>
        <v>0</v>
      </c>
    </row>
    <row r="11" spans="1:25" x14ac:dyDescent="0.35">
      <c r="A11">
        <v>10</v>
      </c>
      <c r="B11" t="s">
        <v>1341</v>
      </c>
      <c r="C11" t="s">
        <v>946</v>
      </c>
      <c r="D11" t="s">
        <v>14</v>
      </c>
      <c r="E11" t="s">
        <v>66</v>
      </c>
      <c r="F11" t="s">
        <v>926</v>
      </c>
      <c r="G11" s="425" t="s">
        <v>1534</v>
      </c>
      <c r="H11" s="357">
        <v>29</v>
      </c>
      <c r="I11" s="357"/>
      <c r="J11" s="357">
        <v>1.75</v>
      </c>
      <c r="K11" s="357"/>
      <c r="L11" s="357">
        <v>30.75</v>
      </c>
      <c r="M11" s="357"/>
      <c r="N11" s="359">
        <f>'By Zone Charges'!C16</f>
        <v>0</v>
      </c>
      <c r="O11" s="359">
        <f>'By Zone Charges'!D16</f>
        <v>0</v>
      </c>
      <c r="P11" s="357">
        <f>'By Zone Charges'!E16</f>
        <v>30.75</v>
      </c>
      <c r="Q11" s="357"/>
      <c r="R11" s="357">
        <f>'By Zone Charges'!F16</f>
        <v>0</v>
      </c>
      <c r="S11" s="357"/>
      <c r="T11" s="357">
        <f>'By Zone Charges'!G16</f>
        <v>30.75</v>
      </c>
      <c r="U11" s="357"/>
      <c r="V11" s="363">
        <f>'By Zone Charges'!H16</f>
        <v>0</v>
      </c>
      <c r="W11" s="357">
        <f>'By Zone Charges'!I16</f>
        <v>0</v>
      </c>
      <c r="X11" s="357">
        <f>'By Zone Charges'!J16</f>
        <v>0</v>
      </c>
      <c r="Y11" s="357">
        <f>'By Zone Charges'!K16</f>
        <v>0</v>
      </c>
    </row>
    <row r="12" spans="1:25" x14ac:dyDescent="0.35">
      <c r="A12">
        <v>11</v>
      </c>
      <c r="B12" t="s">
        <v>1341</v>
      </c>
      <c r="C12" t="s">
        <v>946</v>
      </c>
      <c r="D12" t="s">
        <v>14</v>
      </c>
      <c r="E12" t="s">
        <v>66</v>
      </c>
      <c r="F12" t="s">
        <v>926</v>
      </c>
      <c r="G12" s="425" t="s">
        <v>1535</v>
      </c>
      <c r="H12" s="357">
        <v>31</v>
      </c>
      <c r="I12" s="357"/>
      <c r="J12" s="357">
        <v>2</v>
      </c>
      <c r="K12" s="357"/>
      <c r="L12" s="357">
        <v>33</v>
      </c>
      <c r="M12" s="357"/>
      <c r="N12" s="359">
        <f>'By Zone Charges'!C17</f>
        <v>0</v>
      </c>
      <c r="O12" s="359">
        <f>'By Zone Charges'!D17</f>
        <v>0</v>
      </c>
      <c r="P12" s="357">
        <f>'By Zone Charges'!E17</f>
        <v>33</v>
      </c>
      <c r="Q12" s="357"/>
      <c r="R12" s="357">
        <f>'By Zone Charges'!F17</f>
        <v>0</v>
      </c>
      <c r="S12" s="357"/>
      <c r="T12" s="357">
        <f>'By Zone Charges'!G17</f>
        <v>33</v>
      </c>
      <c r="U12" s="357"/>
      <c r="V12" s="363">
        <f>'By Zone Charges'!H17</f>
        <v>0</v>
      </c>
      <c r="W12" s="357">
        <f>'By Zone Charges'!I17</f>
        <v>0</v>
      </c>
      <c r="X12" s="357">
        <f>'By Zone Charges'!J17</f>
        <v>0</v>
      </c>
      <c r="Y12" s="357">
        <f>'By Zone Charges'!K17</f>
        <v>0</v>
      </c>
    </row>
    <row r="13" spans="1:25" x14ac:dyDescent="0.35">
      <c r="A13">
        <v>12</v>
      </c>
      <c r="B13" t="s">
        <v>1341</v>
      </c>
      <c r="C13" t="s">
        <v>946</v>
      </c>
      <c r="D13" t="s">
        <v>14</v>
      </c>
      <c r="E13" t="s">
        <v>66</v>
      </c>
      <c r="F13" t="s">
        <v>926</v>
      </c>
      <c r="G13" s="425" t="s">
        <v>1536</v>
      </c>
      <c r="H13" s="357">
        <v>31.5</v>
      </c>
      <c r="I13" s="357"/>
      <c r="J13" s="357">
        <v>2.25</v>
      </c>
      <c r="K13" s="357"/>
      <c r="L13" s="357">
        <v>33.75</v>
      </c>
      <c r="M13" s="357"/>
      <c r="N13" s="359">
        <f>'By Zone Charges'!C18</f>
        <v>0</v>
      </c>
      <c r="O13" s="359">
        <f>'By Zone Charges'!D18</f>
        <v>0</v>
      </c>
      <c r="P13" s="357">
        <f>'By Zone Charges'!E18</f>
        <v>33.75</v>
      </c>
      <c r="Q13" s="357"/>
      <c r="R13" s="357">
        <f>'By Zone Charges'!F18</f>
        <v>0</v>
      </c>
      <c r="S13" s="357"/>
      <c r="T13" s="357">
        <f>'By Zone Charges'!G18</f>
        <v>33.75</v>
      </c>
      <c r="U13" s="357"/>
      <c r="V13" s="363">
        <f>'By Zone Charges'!H18</f>
        <v>0</v>
      </c>
      <c r="W13" s="357">
        <f>'By Zone Charges'!I18</f>
        <v>0</v>
      </c>
      <c r="X13" s="357">
        <f>'By Zone Charges'!J18</f>
        <v>0</v>
      </c>
      <c r="Y13" s="357">
        <f>'By Zone Charges'!K18</f>
        <v>0</v>
      </c>
    </row>
    <row r="14" spans="1:25" x14ac:dyDescent="0.35">
      <c r="A14">
        <v>13</v>
      </c>
      <c r="B14" t="s">
        <v>1341</v>
      </c>
      <c r="C14" t="s">
        <v>946</v>
      </c>
      <c r="D14" t="s">
        <v>15</v>
      </c>
      <c r="E14" t="s">
        <v>66</v>
      </c>
      <c r="F14" t="s">
        <v>927</v>
      </c>
      <c r="G14" s="425" t="s">
        <v>1433</v>
      </c>
      <c r="H14" s="357">
        <v>28</v>
      </c>
      <c r="I14" s="357"/>
      <c r="J14" s="357">
        <v>1.5</v>
      </c>
      <c r="K14" s="357"/>
      <c r="L14" s="357">
        <v>29.5</v>
      </c>
      <c r="M14" s="357"/>
      <c r="N14" s="359">
        <f>'By Zone Charges'!C20</f>
        <v>0</v>
      </c>
      <c r="O14" s="359">
        <f>'By Zone Charges'!D20</f>
        <v>0</v>
      </c>
      <c r="P14" s="357">
        <f>'By Zone Charges'!E20</f>
        <v>29.5</v>
      </c>
      <c r="Q14" s="357"/>
      <c r="R14" s="357">
        <f>'By Zone Charges'!F20</f>
        <v>0</v>
      </c>
      <c r="S14" s="357"/>
      <c r="T14" s="357">
        <f>'By Zone Charges'!G20</f>
        <v>29.5</v>
      </c>
      <c r="U14" s="357"/>
      <c r="V14" s="363">
        <f>'By Zone Charges'!H20</f>
        <v>0</v>
      </c>
      <c r="W14" s="357">
        <f>'By Zone Charges'!I20</f>
        <v>0</v>
      </c>
      <c r="X14" s="357">
        <f>'By Zone Charges'!J20</f>
        <v>0</v>
      </c>
      <c r="Y14" s="357">
        <f>'By Zone Charges'!K20</f>
        <v>0</v>
      </c>
    </row>
    <row r="15" spans="1:25" x14ac:dyDescent="0.35">
      <c r="A15">
        <v>14</v>
      </c>
      <c r="B15" t="s">
        <v>1341</v>
      </c>
      <c r="C15" t="s">
        <v>946</v>
      </c>
      <c r="D15" t="s">
        <v>15</v>
      </c>
      <c r="E15" t="s">
        <v>66</v>
      </c>
      <c r="F15" t="s">
        <v>927</v>
      </c>
      <c r="G15" s="425" t="s">
        <v>1434</v>
      </c>
      <c r="H15" s="357">
        <v>31</v>
      </c>
      <c r="I15" s="357"/>
      <c r="J15" s="357">
        <v>1.75</v>
      </c>
      <c r="K15" s="357"/>
      <c r="L15" s="357">
        <v>32.75</v>
      </c>
      <c r="M15" s="357"/>
      <c r="N15" s="359">
        <f>'By Zone Charges'!C21</f>
        <v>0</v>
      </c>
      <c r="O15" s="359">
        <f>'By Zone Charges'!D21</f>
        <v>0</v>
      </c>
      <c r="P15" s="357">
        <f>'By Zone Charges'!E21</f>
        <v>32.75</v>
      </c>
      <c r="Q15" s="357"/>
      <c r="R15" s="357">
        <f>'By Zone Charges'!F21</f>
        <v>0</v>
      </c>
      <c r="S15" s="357"/>
      <c r="T15" s="357">
        <f>'By Zone Charges'!G21</f>
        <v>32.75</v>
      </c>
      <c r="U15" s="357"/>
      <c r="V15" s="363">
        <f>'By Zone Charges'!H21</f>
        <v>0</v>
      </c>
      <c r="W15" s="357">
        <f>'By Zone Charges'!I21</f>
        <v>0</v>
      </c>
      <c r="X15" s="357">
        <f>'By Zone Charges'!J21</f>
        <v>0</v>
      </c>
      <c r="Y15" s="357">
        <f>'By Zone Charges'!K21</f>
        <v>0</v>
      </c>
    </row>
    <row r="16" spans="1:25" x14ac:dyDescent="0.35">
      <c r="A16">
        <v>15</v>
      </c>
      <c r="B16" t="s">
        <v>1341</v>
      </c>
      <c r="C16" t="s">
        <v>946</v>
      </c>
      <c r="D16" t="s">
        <v>15</v>
      </c>
      <c r="E16" t="s">
        <v>66</v>
      </c>
      <c r="F16" t="s">
        <v>927</v>
      </c>
      <c r="G16" s="425" t="s">
        <v>1435</v>
      </c>
      <c r="H16" s="357">
        <v>36</v>
      </c>
      <c r="I16" s="357"/>
      <c r="J16" s="357">
        <v>2.5</v>
      </c>
      <c r="K16" s="357"/>
      <c r="L16" s="357">
        <v>38.5</v>
      </c>
      <c r="M16" s="357"/>
      <c r="N16" s="359">
        <f>'By Zone Charges'!C22</f>
        <v>0</v>
      </c>
      <c r="O16" s="359">
        <f>'By Zone Charges'!D22</f>
        <v>0</v>
      </c>
      <c r="P16" s="357">
        <f>'By Zone Charges'!E22</f>
        <v>38.5</v>
      </c>
      <c r="Q16" s="357"/>
      <c r="R16" s="357">
        <f>'By Zone Charges'!F22</f>
        <v>0</v>
      </c>
      <c r="S16" s="357"/>
      <c r="T16" s="357">
        <f>'By Zone Charges'!G22</f>
        <v>38.5</v>
      </c>
      <c r="U16" s="357"/>
      <c r="V16" s="363">
        <f>'By Zone Charges'!H22</f>
        <v>0</v>
      </c>
      <c r="W16" s="357">
        <f>'By Zone Charges'!I22</f>
        <v>0</v>
      </c>
      <c r="X16" s="357">
        <f>'By Zone Charges'!J22</f>
        <v>0</v>
      </c>
      <c r="Y16" s="357">
        <f>'By Zone Charges'!K22</f>
        <v>0</v>
      </c>
    </row>
    <row r="17" spans="1:25" x14ac:dyDescent="0.35">
      <c r="A17">
        <v>16</v>
      </c>
      <c r="B17" t="s">
        <v>1341</v>
      </c>
      <c r="C17" t="s">
        <v>946</v>
      </c>
      <c r="D17" t="s">
        <v>15</v>
      </c>
      <c r="E17" t="s">
        <v>66</v>
      </c>
      <c r="F17" t="s">
        <v>927</v>
      </c>
      <c r="G17" s="425" t="s">
        <v>1436</v>
      </c>
      <c r="H17" s="357">
        <v>38</v>
      </c>
      <c r="I17" s="357"/>
      <c r="J17" s="357">
        <v>2.75</v>
      </c>
      <c r="K17" s="357"/>
      <c r="L17" s="357">
        <v>40.75</v>
      </c>
      <c r="M17" s="357"/>
      <c r="N17" s="359">
        <f>'By Zone Charges'!C23</f>
        <v>0</v>
      </c>
      <c r="O17" s="359">
        <f>'By Zone Charges'!D23</f>
        <v>0</v>
      </c>
      <c r="P17" s="357">
        <f>'By Zone Charges'!E23</f>
        <v>40.75</v>
      </c>
      <c r="Q17" s="357"/>
      <c r="R17" s="357">
        <f>'By Zone Charges'!F23</f>
        <v>0</v>
      </c>
      <c r="S17" s="357"/>
      <c r="T17" s="357">
        <f>'By Zone Charges'!G23</f>
        <v>40.75</v>
      </c>
      <c r="U17" s="357"/>
      <c r="V17" s="363">
        <f>'By Zone Charges'!H23</f>
        <v>0</v>
      </c>
      <c r="W17" s="357">
        <f>'By Zone Charges'!I23</f>
        <v>0</v>
      </c>
      <c r="X17" s="357">
        <f>'By Zone Charges'!J23</f>
        <v>0</v>
      </c>
      <c r="Y17" s="357">
        <f>'By Zone Charges'!K23</f>
        <v>0</v>
      </c>
    </row>
    <row r="18" spans="1:25" x14ac:dyDescent="0.35">
      <c r="A18">
        <v>17</v>
      </c>
      <c r="B18" t="s">
        <v>1341</v>
      </c>
      <c r="C18" t="s">
        <v>946</v>
      </c>
      <c r="D18" t="s">
        <v>15</v>
      </c>
      <c r="E18" t="s">
        <v>66</v>
      </c>
      <c r="F18" t="s">
        <v>928</v>
      </c>
      <c r="G18" s="425" t="s">
        <v>1437</v>
      </c>
      <c r="H18" s="357">
        <v>43.5</v>
      </c>
      <c r="I18" s="357"/>
      <c r="J18" s="357">
        <v>2.5</v>
      </c>
      <c r="K18" s="357"/>
      <c r="L18" s="357">
        <v>46</v>
      </c>
      <c r="M18" s="357"/>
      <c r="N18" s="359">
        <f>'By Zone Charges'!C25</f>
        <v>0</v>
      </c>
      <c r="O18" s="359">
        <f>'By Zone Charges'!D25</f>
        <v>0</v>
      </c>
      <c r="P18" s="357">
        <f>'By Zone Charges'!E25</f>
        <v>46</v>
      </c>
      <c r="Q18" s="357"/>
      <c r="R18" s="357">
        <f>'By Zone Charges'!F25</f>
        <v>0</v>
      </c>
      <c r="S18" s="357"/>
      <c r="T18" s="357">
        <f>'By Zone Charges'!G25</f>
        <v>46</v>
      </c>
      <c r="U18" s="357"/>
      <c r="V18" s="363">
        <f>'By Zone Charges'!H25</f>
        <v>0</v>
      </c>
      <c r="W18" s="357">
        <f>'By Zone Charges'!I25</f>
        <v>0</v>
      </c>
      <c r="X18" s="357">
        <f>'By Zone Charges'!J25</f>
        <v>0</v>
      </c>
      <c r="Y18" s="357">
        <f>'By Zone Charges'!K25</f>
        <v>0</v>
      </c>
    </row>
    <row r="19" spans="1:25" x14ac:dyDescent="0.35">
      <c r="A19">
        <v>18</v>
      </c>
      <c r="B19" t="s">
        <v>1341</v>
      </c>
      <c r="C19" t="s">
        <v>946</v>
      </c>
      <c r="D19" t="s">
        <v>15</v>
      </c>
      <c r="E19" t="s">
        <v>66</v>
      </c>
      <c r="F19" t="s">
        <v>928</v>
      </c>
      <c r="G19" s="425" t="s">
        <v>1438</v>
      </c>
      <c r="H19" s="357">
        <v>47.5</v>
      </c>
      <c r="I19" s="357"/>
      <c r="J19" s="357">
        <v>2.75</v>
      </c>
      <c r="K19" s="357"/>
      <c r="L19" s="357">
        <v>50.25</v>
      </c>
      <c r="M19" s="357"/>
      <c r="N19" s="359">
        <f>'By Zone Charges'!C26</f>
        <v>0</v>
      </c>
      <c r="O19" s="359">
        <f>'By Zone Charges'!D26</f>
        <v>0</v>
      </c>
      <c r="P19" s="357">
        <f>'By Zone Charges'!E26</f>
        <v>50.25</v>
      </c>
      <c r="Q19" s="357"/>
      <c r="R19" s="357">
        <f>'By Zone Charges'!F26</f>
        <v>0</v>
      </c>
      <c r="S19" s="357"/>
      <c r="T19" s="357">
        <f>'By Zone Charges'!G26</f>
        <v>50.25</v>
      </c>
      <c r="U19" s="357"/>
      <c r="V19" s="363">
        <f>'By Zone Charges'!H26</f>
        <v>0</v>
      </c>
      <c r="W19" s="357">
        <f>'By Zone Charges'!I26</f>
        <v>0</v>
      </c>
      <c r="X19" s="357">
        <f>'By Zone Charges'!J26</f>
        <v>0</v>
      </c>
      <c r="Y19" s="357">
        <f>'By Zone Charges'!K26</f>
        <v>0</v>
      </c>
    </row>
    <row r="20" spans="1:25" x14ac:dyDescent="0.35">
      <c r="A20">
        <v>19</v>
      </c>
      <c r="B20" t="s">
        <v>1341</v>
      </c>
      <c r="C20" t="s">
        <v>946</v>
      </c>
      <c r="D20" t="s">
        <v>15</v>
      </c>
      <c r="E20" t="s">
        <v>66</v>
      </c>
      <c r="F20" t="s">
        <v>928</v>
      </c>
      <c r="G20" s="425" t="s">
        <v>1439</v>
      </c>
      <c r="H20" s="357">
        <v>52.75</v>
      </c>
      <c r="I20" s="357"/>
      <c r="J20" s="357">
        <v>3.5</v>
      </c>
      <c r="K20" s="357"/>
      <c r="L20" s="357">
        <v>56.25</v>
      </c>
      <c r="M20" s="357"/>
      <c r="N20" s="359">
        <f>'By Zone Charges'!C27</f>
        <v>0</v>
      </c>
      <c r="O20" s="359">
        <f>'By Zone Charges'!D27</f>
        <v>0</v>
      </c>
      <c r="P20" s="357">
        <f>'By Zone Charges'!E27</f>
        <v>56.25</v>
      </c>
      <c r="Q20" s="357"/>
      <c r="R20" s="357">
        <f>'By Zone Charges'!F27</f>
        <v>0</v>
      </c>
      <c r="S20" s="357"/>
      <c r="T20" s="357">
        <f>'By Zone Charges'!G27</f>
        <v>56.25</v>
      </c>
      <c r="U20" s="357"/>
      <c r="V20" s="363">
        <f>'By Zone Charges'!H27</f>
        <v>0</v>
      </c>
      <c r="W20" s="357">
        <f>'By Zone Charges'!I27</f>
        <v>0</v>
      </c>
      <c r="X20" s="357">
        <f>'By Zone Charges'!J27</f>
        <v>0</v>
      </c>
      <c r="Y20" s="357">
        <f>'By Zone Charges'!K27</f>
        <v>0</v>
      </c>
    </row>
    <row r="21" spans="1:25" x14ac:dyDescent="0.35">
      <c r="A21">
        <v>20</v>
      </c>
      <c r="B21" t="s">
        <v>1341</v>
      </c>
      <c r="C21" t="s">
        <v>946</v>
      </c>
      <c r="D21" t="s">
        <v>15</v>
      </c>
      <c r="E21" t="s">
        <v>66</v>
      </c>
      <c r="F21" t="s">
        <v>928</v>
      </c>
      <c r="G21" s="425" t="s">
        <v>1440</v>
      </c>
      <c r="H21" s="357">
        <v>55</v>
      </c>
      <c r="I21" s="357"/>
      <c r="J21" s="357">
        <v>3.75</v>
      </c>
      <c r="K21" s="357"/>
      <c r="L21" s="357">
        <v>58.75</v>
      </c>
      <c r="M21" s="357"/>
      <c r="N21" s="359">
        <f>'By Zone Charges'!C28</f>
        <v>0</v>
      </c>
      <c r="O21" s="359">
        <f>'By Zone Charges'!D28</f>
        <v>0</v>
      </c>
      <c r="P21" s="357">
        <f>'By Zone Charges'!E28</f>
        <v>58.75</v>
      </c>
      <c r="Q21" s="357"/>
      <c r="R21" s="357">
        <f>'By Zone Charges'!F28</f>
        <v>0</v>
      </c>
      <c r="S21" s="357"/>
      <c r="T21" s="357">
        <f>'By Zone Charges'!G28</f>
        <v>58.75</v>
      </c>
      <c r="U21" s="357"/>
      <c r="V21" s="363">
        <f>'By Zone Charges'!H28</f>
        <v>0</v>
      </c>
      <c r="W21" s="357">
        <f>'By Zone Charges'!I28</f>
        <v>0</v>
      </c>
      <c r="X21" s="357">
        <f>'By Zone Charges'!J28</f>
        <v>0</v>
      </c>
      <c r="Y21" s="357">
        <f>'By Zone Charges'!K28</f>
        <v>0</v>
      </c>
    </row>
    <row r="22" spans="1:25" x14ac:dyDescent="0.35">
      <c r="A22">
        <v>21</v>
      </c>
      <c r="B22" t="s">
        <v>1341</v>
      </c>
      <c r="C22" t="s">
        <v>946</v>
      </c>
      <c r="D22" t="s">
        <v>15</v>
      </c>
      <c r="E22" t="s">
        <v>66</v>
      </c>
      <c r="F22" t="s">
        <v>929</v>
      </c>
      <c r="G22" s="425" t="s">
        <v>1441</v>
      </c>
      <c r="H22" s="357">
        <v>25</v>
      </c>
      <c r="I22" s="357"/>
      <c r="J22" s="357">
        <v>1.5</v>
      </c>
      <c r="K22" s="357"/>
      <c r="L22" s="357">
        <v>26.5</v>
      </c>
      <c r="M22" s="357"/>
      <c r="N22" s="359">
        <f>'By Zone Charges'!C30</f>
        <v>0</v>
      </c>
      <c r="O22" s="359">
        <f>'By Zone Charges'!D30</f>
        <v>0</v>
      </c>
      <c r="P22" s="357">
        <f>'By Zone Charges'!E30</f>
        <v>26.5</v>
      </c>
      <c r="Q22" s="357"/>
      <c r="R22" s="357">
        <f>'By Zone Charges'!F30</f>
        <v>0</v>
      </c>
      <c r="S22" s="357"/>
      <c r="T22" s="357">
        <f>'By Zone Charges'!G30</f>
        <v>26.5</v>
      </c>
      <c r="U22" s="357"/>
      <c r="V22" s="363">
        <f>'By Zone Charges'!H30</f>
        <v>0</v>
      </c>
      <c r="W22" s="357">
        <f>'By Zone Charges'!I30</f>
        <v>0</v>
      </c>
      <c r="X22" s="357">
        <f>'By Zone Charges'!J30</f>
        <v>0</v>
      </c>
      <c r="Y22" s="357">
        <f>'By Zone Charges'!K30</f>
        <v>0</v>
      </c>
    </row>
    <row r="23" spans="1:25" x14ac:dyDescent="0.35">
      <c r="A23">
        <v>22</v>
      </c>
      <c r="B23" t="s">
        <v>1341</v>
      </c>
      <c r="C23" t="s">
        <v>946</v>
      </c>
      <c r="D23" t="s">
        <v>15</v>
      </c>
      <c r="E23" t="s">
        <v>66</v>
      </c>
      <c r="F23" t="s">
        <v>929</v>
      </c>
      <c r="G23" s="425" t="s">
        <v>1442</v>
      </c>
      <c r="H23" s="357">
        <v>29</v>
      </c>
      <c r="I23" s="357"/>
      <c r="J23" s="357">
        <v>1.75</v>
      </c>
      <c r="K23" s="357"/>
      <c r="L23" s="357">
        <v>30.75</v>
      </c>
      <c r="M23" s="357"/>
      <c r="N23" s="359">
        <f>'By Zone Charges'!C31</f>
        <v>0</v>
      </c>
      <c r="O23" s="359">
        <f>'By Zone Charges'!D31</f>
        <v>0</v>
      </c>
      <c r="P23" s="357">
        <f>'By Zone Charges'!E31</f>
        <v>30.75</v>
      </c>
      <c r="Q23" s="357"/>
      <c r="R23" s="357">
        <f>'By Zone Charges'!F31</f>
        <v>0</v>
      </c>
      <c r="S23" s="357"/>
      <c r="T23" s="357">
        <f>'By Zone Charges'!G31</f>
        <v>30.75</v>
      </c>
      <c r="U23" s="357"/>
      <c r="V23" s="363">
        <f>'By Zone Charges'!H31</f>
        <v>0</v>
      </c>
      <c r="W23" s="357">
        <f>'By Zone Charges'!I31</f>
        <v>0</v>
      </c>
      <c r="X23" s="357">
        <f>'By Zone Charges'!J31</f>
        <v>0</v>
      </c>
      <c r="Y23" s="357">
        <f>'By Zone Charges'!K31</f>
        <v>0</v>
      </c>
    </row>
    <row r="24" spans="1:25" x14ac:dyDescent="0.35">
      <c r="A24">
        <v>23</v>
      </c>
      <c r="B24" t="s">
        <v>1341</v>
      </c>
      <c r="C24" t="s">
        <v>946</v>
      </c>
      <c r="D24" t="s">
        <v>15</v>
      </c>
      <c r="E24" t="s">
        <v>66</v>
      </c>
      <c r="F24" t="s">
        <v>929</v>
      </c>
      <c r="G24" s="425" t="s">
        <v>1443</v>
      </c>
      <c r="H24" s="357">
        <v>31</v>
      </c>
      <c r="I24" s="357"/>
      <c r="J24" s="357">
        <v>2</v>
      </c>
      <c r="K24" s="357"/>
      <c r="L24" s="357">
        <v>33</v>
      </c>
      <c r="M24" s="357"/>
      <c r="N24" s="359">
        <f>'By Zone Charges'!C32</f>
        <v>0</v>
      </c>
      <c r="O24" s="359">
        <f>'By Zone Charges'!D32</f>
        <v>0</v>
      </c>
      <c r="P24" s="357">
        <f>'By Zone Charges'!E32</f>
        <v>33</v>
      </c>
      <c r="Q24" s="357"/>
      <c r="R24" s="357">
        <f>'By Zone Charges'!F32</f>
        <v>0</v>
      </c>
      <c r="S24" s="357"/>
      <c r="T24" s="357">
        <f>'By Zone Charges'!G32</f>
        <v>33</v>
      </c>
      <c r="U24" s="357"/>
      <c r="V24" s="363">
        <f>'By Zone Charges'!H32</f>
        <v>0</v>
      </c>
      <c r="W24" s="357">
        <f>'By Zone Charges'!I32</f>
        <v>0</v>
      </c>
      <c r="X24" s="357">
        <f>'By Zone Charges'!J32</f>
        <v>0</v>
      </c>
      <c r="Y24" s="357">
        <f>'By Zone Charges'!K32</f>
        <v>0</v>
      </c>
    </row>
    <row r="25" spans="1:25" x14ac:dyDescent="0.35">
      <c r="A25">
        <v>24</v>
      </c>
      <c r="B25" t="s">
        <v>1341</v>
      </c>
      <c r="C25" t="s">
        <v>946</v>
      </c>
      <c r="D25" t="s">
        <v>15</v>
      </c>
      <c r="E25" t="s">
        <v>66</v>
      </c>
      <c r="F25" t="s">
        <v>929</v>
      </c>
      <c r="G25" s="425" t="s">
        <v>1444</v>
      </c>
      <c r="H25" s="357">
        <v>31.5</v>
      </c>
      <c r="I25" s="357"/>
      <c r="J25" s="357">
        <v>2.25</v>
      </c>
      <c r="K25" s="357"/>
      <c r="L25" s="357">
        <v>33.75</v>
      </c>
      <c r="M25" s="357"/>
      <c r="N25" s="359">
        <f>'By Zone Charges'!C33</f>
        <v>0</v>
      </c>
      <c r="O25" s="359">
        <f>'By Zone Charges'!D33</f>
        <v>0</v>
      </c>
      <c r="P25" s="357">
        <f>'By Zone Charges'!E33</f>
        <v>33.75</v>
      </c>
      <c r="Q25" s="357"/>
      <c r="R25" s="357">
        <f>'By Zone Charges'!F33</f>
        <v>0</v>
      </c>
      <c r="S25" s="357"/>
      <c r="T25" s="357">
        <f>'By Zone Charges'!G33</f>
        <v>33.75</v>
      </c>
      <c r="U25" s="357"/>
      <c r="V25" s="363">
        <f>'By Zone Charges'!H33</f>
        <v>0</v>
      </c>
      <c r="W25" s="357">
        <f>'By Zone Charges'!I33</f>
        <v>0</v>
      </c>
      <c r="X25" s="357">
        <f>'By Zone Charges'!J33</f>
        <v>0</v>
      </c>
      <c r="Y25" s="357">
        <f>'By Zone Charges'!K33</f>
        <v>0</v>
      </c>
    </row>
    <row r="26" spans="1:25" x14ac:dyDescent="0.35">
      <c r="A26">
        <v>25</v>
      </c>
      <c r="B26" t="s">
        <v>1341</v>
      </c>
      <c r="C26" t="s">
        <v>946</v>
      </c>
      <c r="D26" t="s">
        <v>14</v>
      </c>
      <c r="E26" t="s">
        <v>1514</v>
      </c>
      <c r="F26" t="s">
        <v>1513</v>
      </c>
      <c r="G26" s="425" t="s">
        <v>1537</v>
      </c>
      <c r="H26" s="357">
        <v>240</v>
      </c>
      <c r="I26" s="357"/>
      <c r="J26" s="357">
        <v>15</v>
      </c>
      <c r="K26" s="357"/>
      <c r="L26" s="357">
        <v>255</v>
      </c>
      <c r="M26" s="357"/>
      <c r="N26" s="359">
        <f>'By Zone Charges'!C35</f>
        <v>0</v>
      </c>
      <c r="O26" s="359">
        <f>'By Zone Charges'!D35</f>
        <v>0</v>
      </c>
      <c r="P26" s="357">
        <f>'By Zone Charges'!E35</f>
        <v>255</v>
      </c>
      <c r="Q26" s="357"/>
      <c r="R26" s="357">
        <f>'By Zone Charges'!F35</f>
        <v>0</v>
      </c>
      <c r="S26" s="357"/>
      <c r="T26" s="357">
        <f>'By Zone Charges'!G35</f>
        <v>255</v>
      </c>
      <c r="U26" s="357"/>
      <c r="V26" s="363">
        <f>'By Zone Charges'!H35</f>
        <v>0</v>
      </c>
      <c r="W26" s="357">
        <f>'By Zone Charges'!I35</f>
        <v>0</v>
      </c>
      <c r="X26" s="357">
        <f>'By Zone Charges'!J35</f>
        <v>0</v>
      </c>
      <c r="Y26" s="357">
        <f>'By Zone Charges'!K35</f>
        <v>0</v>
      </c>
    </row>
    <row r="27" spans="1:25" x14ac:dyDescent="0.35">
      <c r="A27">
        <v>26</v>
      </c>
      <c r="B27" t="s">
        <v>1341</v>
      </c>
      <c r="C27" t="s">
        <v>946</v>
      </c>
      <c r="D27" t="s">
        <v>14</v>
      </c>
      <c r="E27" t="s">
        <v>1514</v>
      </c>
      <c r="F27" t="s">
        <v>1513</v>
      </c>
      <c r="G27" s="425" t="s">
        <v>1538</v>
      </c>
      <c r="H27" s="357">
        <v>260</v>
      </c>
      <c r="I27" s="357"/>
      <c r="J27" s="357">
        <v>15</v>
      </c>
      <c r="K27" s="357"/>
      <c r="L27" s="357">
        <v>275</v>
      </c>
      <c r="M27" s="357"/>
      <c r="N27" s="359">
        <f>'By Zone Charges'!C36</f>
        <v>0</v>
      </c>
      <c r="O27" s="359">
        <f>'By Zone Charges'!D36</f>
        <v>0</v>
      </c>
      <c r="P27" s="357">
        <f>'By Zone Charges'!E36</f>
        <v>275</v>
      </c>
      <c r="Q27" s="357"/>
      <c r="R27" s="357">
        <f>'By Zone Charges'!F36</f>
        <v>0</v>
      </c>
      <c r="S27" s="357"/>
      <c r="T27" s="357">
        <f>'By Zone Charges'!G36</f>
        <v>275</v>
      </c>
      <c r="U27" s="357"/>
      <c r="V27" s="363">
        <f>'By Zone Charges'!H36</f>
        <v>0</v>
      </c>
      <c r="W27" s="357">
        <f>'By Zone Charges'!I36</f>
        <v>0</v>
      </c>
      <c r="X27" s="357">
        <f>'By Zone Charges'!J36</f>
        <v>0</v>
      </c>
      <c r="Y27" s="357">
        <f>'By Zone Charges'!K36</f>
        <v>0</v>
      </c>
    </row>
    <row r="28" spans="1:25" x14ac:dyDescent="0.35">
      <c r="A28">
        <v>27</v>
      </c>
      <c r="B28" t="s">
        <v>1341</v>
      </c>
      <c r="C28" t="s">
        <v>946</v>
      </c>
      <c r="D28" t="s">
        <v>14</v>
      </c>
      <c r="E28" t="s">
        <v>1514</v>
      </c>
      <c r="F28" t="s">
        <v>1513</v>
      </c>
      <c r="G28" s="425" t="s">
        <v>1539</v>
      </c>
      <c r="H28" s="357">
        <v>297.5</v>
      </c>
      <c r="I28" s="357"/>
      <c r="J28" s="357">
        <v>22.5</v>
      </c>
      <c r="K28" s="357"/>
      <c r="L28" s="357">
        <v>320</v>
      </c>
      <c r="M28" s="357"/>
      <c r="N28" s="359">
        <f>'By Zone Charges'!C37</f>
        <v>0</v>
      </c>
      <c r="O28" s="359">
        <f>'By Zone Charges'!D37</f>
        <v>0</v>
      </c>
      <c r="P28" s="357">
        <f>'By Zone Charges'!E37</f>
        <v>320</v>
      </c>
      <c r="Q28" s="357"/>
      <c r="R28" s="357">
        <f>'By Zone Charges'!F37</f>
        <v>0</v>
      </c>
      <c r="S28" s="357"/>
      <c r="T28" s="357">
        <f>'By Zone Charges'!G37</f>
        <v>320</v>
      </c>
      <c r="U28" s="357"/>
      <c r="V28" s="363">
        <f>'By Zone Charges'!H37</f>
        <v>0</v>
      </c>
      <c r="W28" s="357">
        <f>'By Zone Charges'!I37</f>
        <v>0</v>
      </c>
      <c r="X28" s="357">
        <f>'By Zone Charges'!J37</f>
        <v>0</v>
      </c>
      <c r="Y28" s="357">
        <f>'By Zone Charges'!K37</f>
        <v>0</v>
      </c>
    </row>
    <row r="29" spans="1:25" x14ac:dyDescent="0.35">
      <c r="A29">
        <v>28</v>
      </c>
      <c r="B29" t="s">
        <v>1341</v>
      </c>
      <c r="C29" t="s">
        <v>946</v>
      </c>
      <c r="D29" t="s">
        <v>14</v>
      </c>
      <c r="E29" t="s">
        <v>1514</v>
      </c>
      <c r="F29" t="s">
        <v>1513</v>
      </c>
      <c r="G29" s="425" t="s">
        <v>1540</v>
      </c>
      <c r="H29" s="357">
        <v>305</v>
      </c>
      <c r="I29" s="357"/>
      <c r="J29" s="357">
        <v>25</v>
      </c>
      <c r="K29" s="357"/>
      <c r="L29" s="357">
        <v>330</v>
      </c>
      <c r="M29" s="357"/>
      <c r="N29" s="359">
        <f>'By Zone Charges'!C38</f>
        <v>0</v>
      </c>
      <c r="O29" s="359">
        <f>'By Zone Charges'!D38</f>
        <v>0</v>
      </c>
      <c r="P29" s="357">
        <f>'By Zone Charges'!E38</f>
        <v>330</v>
      </c>
      <c r="Q29" s="357"/>
      <c r="R29" s="357">
        <f>'By Zone Charges'!F38</f>
        <v>0</v>
      </c>
      <c r="S29" s="357"/>
      <c r="T29" s="357">
        <f>'By Zone Charges'!G38</f>
        <v>330</v>
      </c>
      <c r="U29" s="357"/>
      <c r="V29" s="363">
        <f>'By Zone Charges'!H38</f>
        <v>0</v>
      </c>
      <c r="W29" s="357">
        <f>'By Zone Charges'!I38</f>
        <v>0</v>
      </c>
      <c r="X29" s="357">
        <f>'By Zone Charges'!J38</f>
        <v>0</v>
      </c>
      <c r="Y29" s="357">
        <f>'By Zone Charges'!K38</f>
        <v>0</v>
      </c>
    </row>
    <row r="30" spans="1:25" x14ac:dyDescent="0.35">
      <c r="A30">
        <v>29</v>
      </c>
      <c r="B30" t="s">
        <v>1341</v>
      </c>
      <c r="C30" t="s">
        <v>946</v>
      </c>
      <c r="D30" t="s">
        <v>15</v>
      </c>
      <c r="E30" t="s">
        <v>1514</v>
      </c>
      <c r="F30" t="s">
        <v>1512</v>
      </c>
      <c r="G30" s="425" t="s">
        <v>1449</v>
      </c>
      <c r="H30" s="357">
        <v>240</v>
      </c>
      <c r="I30" s="357"/>
      <c r="J30" s="357">
        <v>15</v>
      </c>
      <c r="K30" s="357"/>
      <c r="L30" s="357">
        <v>255</v>
      </c>
      <c r="M30" s="357"/>
      <c r="N30" s="359">
        <f>'By Zone Charges'!C40</f>
        <v>0</v>
      </c>
      <c r="O30" s="359">
        <f>'By Zone Charges'!D40</f>
        <v>0</v>
      </c>
      <c r="P30" s="357">
        <f>'By Zone Charges'!E40</f>
        <v>255</v>
      </c>
      <c r="Q30" s="357"/>
      <c r="R30" s="357">
        <f>'By Zone Charges'!F40</f>
        <v>0</v>
      </c>
      <c r="S30" s="357"/>
      <c r="T30" s="357">
        <f>'By Zone Charges'!G40</f>
        <v>255</v>
      </c>
      <c r="U30" s="357"/>
      <c r="V30" s="363">
        <f>'By Zone Charges'!H40</f>
        <v>0</v>
      </c>
      <c r="W30" s="357">
        <f>'By Zone Charges'!I40</f>
        <v>0</v>
      </c>
      <c r="X30" s="357">
        <f>'By Zone Charges'!J40</f>
        <v>0</v>
      </c>
      <c r="Y30" s="357">
        <f>'By Zone Charges'!K40</f>
        <v>0</v>
      </c>
    </row>
    <row r="31" spans="1:25" x14ac:dyDescent="0.35">
      <c r="A31">
        <v>30</v>
      </c>
      <c r="B31" t="s">
        <v>1341</v>
      </c>
      <c r="C31" t="s">
        <v>946</v>
      </c>
      <c r="D31" t="s">
        <v>15</v>
      </c>
      <c r="E31" t="s">
        <v>1514</v>
      </c>
      <c r="F31" t="s">
        <v>1512</v>
      </c>
      <c r="G31" s="425" t="s">
        <v>1450</v>
      </c>
      <c r="H31" s="357">
        <v>260</v>
      </c>
      <c r="I31" s="357"/>
      <c r="J31" s="357">
        <v>15</v>
      </c>
      <c r="K31" s="357"/>
      <c r="L31" s="357">
        <v>275</v>
      </c>
      <c r="M31" s="357"/>
      <c r="N31" s="359">
        <f>'By Zone Charges'!C41</f>
        <v>0</v>
      </c>
      <c r="O31" s="359">
        <f>'By Zone Charges'!D41</f>
        <v>0</v>
      </c>
      <c r="P31" s="357">
        <f>'By Zone Charges'!E41</f>
        <v>275</v>
      </c>
      <c r="Q31" s="357"/>
      <c r="R31" s="357">
        <f>'By Zone Charges'!F41</f>
        <v>0</v>
      </c>
      <c r="S31" s="357"/>
      <c r="T31" s="357">
        <f>'By Zone Charges'!G41</f>
        <v>275</v>
      </c>
      <c r="U31" s="357"/>
      <c r="V31" s="363">
        <f>'By Zone Charges'!H41</f>
        <v>0</v>
      </c>
      <c r="W31" s="357">
        <f>'By Zone Charges'!I41</f>
        <v>0</v>
      </c>
      <c r="X31" s="357">
        <f>'By Zone Charges'!J41</f>
        <v>0</v>
      </c>
      <c r="Y31" s="357">
        <f>'By Zone Charges'!K41</f>
        <v>0</v>
      </c>
    </row>
    <row r="32" spans="1:25" x14ac:dyDescent="0.35">
      <c r="A32">
        <v>31</v>
      </c>
      <c r="B32" t="s">
        <v>1341</v>
      </c>
      <c r="C32" t="s">
        <v>946</v>
      </c>
      <c r="D32" t="s">
        <v>15</v>
      </c>
      <c r="E32" t="s">
        <v>1514</v>
      </c>
      <c r="F32" t="s">
        <v>1512</v>
      </c>
      <c r="G32" s="425" t="s">
        <v>1451</v>
      </c>
      <c r="H32" s="357">
        <v>297.5</v>
      </c>
      <c r="I32" s="357"/>
      <c r="J32" s="357">
        <v>22.5</v>
      </c>
      <c r="K32" s="357"/>
      <c r="L32" s="357">
        <v>320</v>
      </c>
      <c r="M32" s="357"/>
      <c r="N32" s="359">
        <f>'By Zone Charges'!C42</f>
        <v>0</v>
      </c>
      <c r="O32" s="359">
        <f>'By Zone Charges'!D42</f>
        <v>0</v>
      </c>
      <c r="P32" s="357">
        <f>'By Zone Charges'!E42</f>
        <v>320</v>
      </c>
      <c r="Q32" s="357"/>
      <c r="R32" s="357">
        <f>'By Zone Charges'!F42</f>
        <v>0</v>
      </c>
      <c r="S32" s="357"/>
      <c r="T32" s="357">
        <f>'By Zone Charges'!G42</f>
        <v>320</v>
      </c>
      <c r="U32" s="357"/>
      <c r="V32" s="363">
        <f>'By Zone Charges'!H42</f>
        <v>0</v>
      </c>
      <c r="W32" s="357">
        <f>'By Zone Charges'!I42</f>
        <v>0</v>
      </c>
      <c r="X32" s="357">
        <f>'By Zone Charges'!J42</f>
        <v>0</v>
      </c>
      <c r="Y32" s="357">
        <f>'By Zone Charges'!K42</f>
        <v>0</v>
      </c>
    </row>
    <row r="33" spans="1:25" x14ac:dyDescent="0.35">
      <c r="A33">
        <v>32</v>
      </c>
      <c r="B33" t="s">
        <v>1341</v>
      </c>
      <c r="C33" t="s">
        <v>946</v>
      </c>
      <c r="D33" t="s">
        <v>15</v>
      </c>
      <c r="E33" t="s">
        <v>1514</v>
      </c>
      <c r="F33" t="s">
        <v>1512</v>
      </c>
      <c r="G33" s="425" t="s">
        <v>1452</v>
      </c>
      <c r="H33" s="357">
        <v>305</v>
      </c>
      <c r="I33" s="357"/>
      <c r="J33" s="357">
        <v>25</v>
      </c>
      <c r="K33" s="357"/>
      <c r="L33" s="357">
        <v>330</v>
      </c>
      <c r="M33" s="357"/>
      <c r="N33" s="359">
        <f>'By Zone Charges'!C43</f>
        <v>0</v>
      </c>
      <c r="O33" s="359">
        <f>'By Zone Charges'!D43</f>
        <v>0</v>
      </c>
      <c r="P33" s="357">
        <f>'By Zone Charges'!E43</f>
        <v>330</v>
      </c>
      <c r="Q33" s="357"/>
      <c r="R33" s="357">
        <f>'By Zone Charges'!F43</f>
        <v>0</v>
      </c>
      <c r="S33" s="357"/>
      <c r="T33" s="357">
        <f>'By Zone Charges'!G43</f>
        <v>330</v>
      </c>
      <c r="U33" s="357"/>
      <c r="V33" s="363">
        <f>'By Zone Charges'!H43</f>
        <v>0</v>
      </c>
      <c r="W33" s="357">
        <f>'By Zone Charges'!I43</f>
        <v>0</v>
      </c>
      <c r="X33" s="357">
        <f>'By Zone Charges'!J43</f>
        <v>0</v>
      </c>
      <c r="Y33" s="357">
        <f>'By Zone Charges'!K43</f>
        <v>0</v>
      </c>
    </row>
    <row r="34" spans="1:25" x14ac:dyDescent="0.35">
      <c r="A34">
        <v>33</v>
      </c>
      <c r="B34" t="s">
        <v>1341</v>
      </c>
      <c r="C34" t="s">
        <v>946</v>
      </c>
      <c r="D34" t="s">
        <v>15</v>
      </c>
      <c r="E34" t="s">
        <v>1514</v>
      </c>
      <c r="F34" t="s">
        <v>1432</v>
      </c>
      <c r="G34" s="425" t="s">
        <v>1453</v>
      </c>
      <c r="H34" s="357">
        <v>240</v>
      </c>
      <c r="I34" s="357"/>
      <c r="J34" s="357">
        <v>15</v>
      </c>
      <c r="K34" s="357"/>
      <c r="L34" s="357">
        <v>255</v>
      </c>
      <c r="M34" s="357"/>
      <c r="N34" s="359">
        <f>'By Zone Charges'!C45</f>
        <v>0</v>
      </c>
      <c r="O34" s="359">
        <f>'By Zone Charges'!D45</f>
        <v>0</v>
      </c>
      <c r="P34" s="357">
        <f>'By Zone Charges'!E45</f>
        <v>255</v>
      </c>
      <c r="Q34" s="357"/>
      <c r="R34" s="357">
        <f>'By Zone Charges'!F45</f>
        <v>0</v>
      </c>
      <c r="S34" s="357"/>
      <c r="T34" s="357">
        <f>'By Zone Charges'!G45</f>
        <v>255</v>
      </c>
      <c r="U34" s="357"/>
      <c r="V34" s="363">
        <f>'By Zone Charges'!H45</f>
        <v>0</v>
      </c>
      <c r="W34" s="357">
        <f>'By Zone Charges'!I45</f>
        <v>0</v>
      </c>
      <c r="X34" s="357">
        <f>'By Zone Charges'!J45</f>
        <v>0</v>
      </c>
      <c r="Y34" s="357">
        <f>'By Zone Charges'!K45</f>
        <v>0</v>
      </c>
    </row>
    <row r="35" spans="1:25" x14ac:dyDescent="0.35">
      <c r="A35">
        <v>34</v>
      </c>
      <c r="B35" t="s">
        <v>1341</v>
      </c>
      <c r="C35" t="s">
        <v>946</v>
      </c>
      <c r="D35" t="s">
        <v>15</v>
      </c>
      <c r="E35" t="s">
        <v>1514</v>
      </c>
      <c r="F35" t="s">
        <v>1432</v>
      </c>
      <c r="G35" s="425" t="s">
        <v>1454</v>
      </c>
      <c r="H35" s="357">
        <v>260</v>
      </c>
      <c r="I35" s="357"/>
      <c r="J35" s="357">
        <v>15</v>
      </c>
      <c r="K35" s="357"/>
      <c r="L35" s="357">
        <v>275</v>
      </c>
      <c r="M35" s="357"/>
      <c r="N35" s="359">
        <f>'By Zone Charges'!C46</f>
        <v>0</v>
      </c>
      <c r="O35" s="359">
        <f>'By Zone Charges'!D46</f>
        <v>0</v>
      </c>
      <c r="P35" s="357">
        <f>'By Zone Charges'!E46</f>
        <v>275</v>
      </c>
      <c r="Q35" s="357"/>
      <c r="R35" s="357">
        <f>'By Zone Charges'!F46</f>
        <v>0</v>
      </c>
      <c r="S35" s="357"/>
      <c r="T35" s="357">
        <f>'By Zone Charges'!G46</f>
        <v>275</v>
      </c>
      <c r="U35" s="357"/>
      <c r="V35" s="363">
        <f>'By Zone Charges'!H46</f>
        <v>0</v>
      </c>
      <c r="W35" s="357">
        <f>'By Zone Charges'!I46</f>
        <v>0</v>
      </c>
      <c r="X35" s="357">
        <f>'By Zone Charges'!J46</f>
        <v>0</v>
      </c>
      <c r="Y35" s="357">
        <f>'By Zone Charges'!K46</f>
        <v>0</v>
      </c>
    </row>
    <row r="36" spans="1:25" x14ac:dyDescent="0.35">
      <c r="A36">
        <v>35</v>
      </c>
      <c r="B36" t="s">
        <v>1341</v>
      </c>
      <c r="C36" t="s">
        <v>946</v>
      </c>
      <c r="D36" t="s">
        <v>15</v>
      </c>
      <c r="E36" t="s">
        <v>1514</v>
      </c>
      <c r="F36" t="s">
        <v>1432</v>
      </c>
      <c r="G36" s="425" t="s">
        <v>1455</v>
      </c>
      <c r="H36" s="357">
        <v>297.5</v>
      </c>
      <c r="I36" s="357"/>
      <c r="J36" s="357">
        <v>22.5</v>
      </c>
      <c r="K36" s="357"/>
      <c r="L36" s="357">
        <v>320</v>
      </c>
      <c r="M36" s="357"/>
      <c r="N36" s="359">
        <f>'By Zone Charges'!C47</f>
        <v>0</v>
      </c>
      <c r="O36" s="359">
        <f>'By Zone Charges'!D47</f>
        <v>0</v>
      </c>
      <c r="P36" s="357">
        <f>'By Zone Charges'!E47</f>
        <v>320</v>
      </c>
      <c r="Q36" s="357"/>
      <c r="R36" s="357">
        <f>'By Zone Charges'!F47</f>
        <v>0</v>
      </c>
      <c r="S36" s="357"/>
      <c r="T36" s="357">
        <f>'By Zone Charges'!G47</f>
        <v>320</v>
      </c>
      <c r="U36" s="357"/>
      <c r="V36" s="363">
        <f>'By Zone Charges'!H47</f>
        <v>0</v>
      </c>
      <c r="W36" s="357">
        <f>'By Zone Charges'!I47</f>
        <v>0</v>
      </c>
      <c r="X36" s="357">
        <f>'By Zone Charges'!J47</f>
        <v>0</v>
      </c>
      <c r="Y36" s="357">
        <f>'By Zone Charges'!K47</f>
        <v>0</v>
      </c>
    </row>
    <row r="37" spans="1:25" x14ac:dyDescent="0.35">
      <c r="A37">
        <v>36</v>
      </c>
      <c r="B37" t="s">
        <v>1341</v>
      </c>
      <c r="C37" t="s">
        <v>946</v>
      </c>
      <c r="D37" t="s">
        <v>15</v>
      </c>
      <c r="E37" t="s">
        <v>1514</v>
      </c>
      <c r="F37" t="s">
        <v>1432</v>
      </c>
      <c r="G37" s="425" t="s">
        <v>1456</v>
      </c>
      <c r="H37" s="357">
        <v>305</v>
      </c>
      <c r="I37" s="357"/>
      <c r="J37" s="357">
        <v>25</v>
      </c>
      <c r="K37" s="357"/>
      <c r="L37" s="357">
        <v>330</v>
      </c>
      <c r="M37" s="357"/>
      <c r="N37" s="359">
        <f>'By Zone Charges'!C48</f>
        <v>0</v>
      </c>
      <c r="O37" s="359">
        <f>'By Zone Charges'!D48</f>
        <v>0</v>
      </c>
      <c r="P37" s="357">
        <f>'By Zone Charges'!E48</f>
        <v>330</v>
      </c>
      <c r="Q37" s="357"/>
      <c r="R37" s="357">
        <f>'By Zone Charges'!F48</f>
        <v>0</v>
      </c>
      <c r="S37" s="357"/>
      <c r="T37" s="357">
        <f>'By Zone Charges'!G48</f>
        <v>330</v>
      </c>
      <c r="U37" s="357"/>
      <c r="V37" s="363">
        <f>'By Zone Charges'!H48</f>
        <v>0</v>
      </c>
      <c r="W37" s="357">
        <f>'By Zone Charges'!I48</f>
        <v>0</v>
      </c>
      <c r="X37" s="357">
        <f>'By Zone Charges'!J48</f>
        <v>0</v>
      </c>
      <c r="Y37" s="357">
        <f>'By Zone Charges'!K48</f>
        <v>0</v>
      </c>
    </row>
    <row r="38" spans="1:25" x14ac:dyDescent="0.35">
      <c r="A38">
        <v>37</v>
      </c>
      <c r="B38" t="s">
        <v>1350</v>
      </c>
      <c r="C38" t="s">
        <v>946</v>
      </c>
      <c r="D38" t="s">
        <v>14</v>
      </c>
      <c r="E38" t="s">
        <v>66</v>
      </c>
      <c r="F38" t="s">
        <v>922</v>
      </c>
      <c r="G38" s="425" t="s">
        <v>1525</v>
      </c>
      <c r="H38" s="357">
        <v>28</v>
      </c>
      <c r="I38" s="357"/>
      <c r="J38" s="357">
        <v>1.5</v>
      </c>
      <c r="K38" s="357"/>
      <c r="L38" s="357">
        <v>29.5</v>
      </c>
      <c r="M38" s="357"/>
      <c r="N38" s="360">
        <f>'By Zone Charges'!L5</f>
        <v>0</v>
      </c>
      <c r="O38" s="360">
        <f>'By Zone Charges'!M5</f>
        <v>0</v>
      </c>
      <c r="P38" s="362">
        <f>'By Zone Charges'!N5</f>
        <v>29.5</v>
      </c>
      <c r="Q38" s="362"/>
      <c r="R38" s="362">
        <f>'By Zone Charges'!O5</f>
        <v>0</v>
      </c>
      <c r="S38" s="362"/>
      <c r="T38" s="362">
        <f>'By Zone Charges'!P5</f>
        <v>29.5</v>
      </c>
      <c r="U38" s="362"/>
      <c r="V38" s="364">
        <f>'By Zone Charges'!Q5</f>
        <v>0</v>
      </c>
      <c r="W38" s="362">
        <f>'By Zone Charges'!R5</f>
        <v>0</v>
      </c>
      <c r="X38" s="362">
        <f>'By Zone Charges'!S5</f>
        <v>0</v>
      </c>
      <c r="Y38" s="362">
        <f>'By Zone Charges'!T5</f>
        <v>0</v>
      </c>
    </row>
    <row r="39" spans="1:25" x14ac:dyDescent="0.35">
      <c r="A39">
        <v>38</v>
      </c>
      <c r="B39" t="s">
        <v>1350</v>
      </c>
      <c r="C39" t="s">
        <v>946</v>
      </c>
      <c r="D39" t="s">
        <v>14</v>
      </c>
      <c r="E39" t="s">
        <v>66</v>
      </c>
      <c r="F39" t="s">
        <v>922</v>
      </c>
      <c r="G39" s="425" t="s">
        <v>1526</v>
      </c>
      <c r="H39" s="357">
        <v>31</v>
      </c>
      <c r="I39" s="357"/>
      <c r="J39" s="357">
        <v>1.75</v>
      </c>
      <c r="K39" s="357"/>
      <c r="L39" s="357">
        <v>32.75</v>
      </c>
      <c r="M39" s="357"/>
      <c r="N39" s="360">
        <f>'By Zone Charges'!L6</f>
        <v>0</v>
      </c>
      <c r="O39" s="360">
        <f>'By Zone Charges'!M6</f>
        <v>0</v>
      </c>
      <c r="P39" s="362">
        <f>'By Zone Charges'!N6</f>
        <v>32.75</v>
      </c>
      <c r="Q39" s="362"/>
      <c r="R39" s="362">
        <f>'By Zone Charges'!O6</f>
        <v>0</v>
      </c>
      <c r="S39" s="362"/>
      <c r="T39" s="362">
        <f>'By Zone Charges'!P6</f>
        <v>32.75</v>
      </c>
      <c r="U39" s="362"/>
      <c r="V39" s="364">
        <f>'By Zone Charges'!Q6</f>
        <v>0</v>
      </c>
      <c r="W39" s="362">
        <f>'By Zone Charges'!R6</f>
        <v>0</v>
      </c>
      <c r="X39" s="362">
        <f>'By Zone Charges'!S6</f>
        <v>0</v>
      </c>
      <c r="Y39" s="362">
        <f>'By Zone Charges'!T6</f>
        <v>0</v>
      </c>
    </row>
    <row r="40" spans="1:25" x14ac:dyDescent="0.35">
      <c r="A40">
        <v>39</v>
      </c>
      <c r="B40" t="s">
        <v>1350</v>
      </c>
      <c r="C40" t="s">
        <v>946</v>
      </c>
      <c r="D40" t="s">
        <v>14</v>
      </c>
      <c r="E40" t="s">
        <v>66</v>
      </c>
      <c r="F40" t="s">
        <v>922</v>
      </c>
      <c r="G40" s="425" t="s">
        <v>1527</v>
      </c>
      <c r="H40" s="357">
        <v>36</v>
      </c>
      <c r="I40" s="357"/>
      <c r="J40" s="357">
        <v>2.5</v>
      </c>
      <c r="K40" s="357"/>
      <c r="L40" s="357">
        <v>38.5</v>
      </c>
      <c r="M40" s="357"/>
      <c r="N40" s="360">
        <f>'By Zone Charges'!L7</f>
        <v>0</v>
      </c>
      <c r="O40" s="360">
        <f>'By Zone Charges'!M7</f>
        <v>0</v>
      </c>
      <c r="P40" s="362">
        <f>'By Zone Charges'!N7</f>
        <v>38.5</v>
      </c>
      <c r="Q40" s="362"/>
      <c r="R40" s="362">
        <f>'By Zone Charges'!O7</f>
        <v>0</v>
      </c>
      <c r="S40" s="362"/>
      <c r="T40" s="362">
        <f>'By Zone Charges'!P7</f>
        <v>38.5</v>
      </c>
      <c r="U40" s="362"/>
      <c r="V40" s="364">
        <f>'By Zone Charges'!Q7</f>
        <v>0</v>
      </c>
      <c r="W40" s="362">
        <f>'By Zone Charges'!R7</f>
        <v>0</v>
      </c>
      <c r="X40" s="362">
        <f>'By Zone Charges'!S7</f>
        <v>0</v>
      </c>
      <c r="Y40" s="362">
        <f>'By Zone Charges'!T7</f>
        <v>0</v>
      </c>
    </row>
    <row r="41" spans="1:25" x14ac:dyDescent="0.35">
      <c r="A41">
        <v>40</v>
      </c>
      <c r="B41" t="s">
        <v>1350</v>
      </c>
      <c r="C41" t="s">
        <v>946</v>
      </c>
      <c r="D41" t="s">
        <v>14</v>
      </c>
      <c r="E41" t="s">
        <v>66</v>
      </c>
      <c r="F41" t="s">
        <v>922</v>
      </c>
      <c r="G41" s="425" t="s">
        <v>1528</v>
      </c>
      <c r="H41" s="357">
        <v>38</v>
      </c>
      <c r="I41" s="357"/>
      <c r="J41" s="357">
        <v>2.75</v>
      </c>
      <c r="K41" s="357"/>
      <c r="L41" s="357">
        <v>40.75</v>
      </c>
      <c r="M41" s="357"/>
      <c r="N41" s="360">
        <f>'By Zone Charges'!L8</f>
        <v>0</v>
      </c>
      <c r="O41" s="360">
        <f>'By Zone Charges'!M8</f>
        <v>0</v>
      </c>
      <c r="P41" s="362">
        <f>'By Zone Charges'!N8</f>
        <v>40.75</v>
      </c>
      <c r="Q41" s="362"/>
      <c r="R41" s="362">
        <f>'By Zone Charges'!O8</f>
        <v>0</v>
      </c>
      <c r="S41" s="362"/>
      <c r="T41" s="362">
        <f>'By Zone Charges'!P8</f>
        <v>40.75</v>
      </c>
      <c r="U41" s="362"/>
      <c r="V41" s="364">
        <f>'By Zone Charges'!Q8</f>
        <v>0</v>
      </c>
      <c r="W41" s="362">
        <f>'By Zone Charges'!R8</f>
        <v>0</v>
      </c>
      <c r="X41" s="362">
        <f>'By Zone Charges'!S8</f>
        <v>0</v>
      </c>
      <c r="Y41" s="362">
        <f>'By Zone Charges'!T8</f>
        <v>0</v>
      </c>
    </row>
    <row r="42" spans="1:25" x14ac:dyDescent="0.35">
      <c r="A42">
        <v>41</v>
      </c>
      <c r="B42" t="s">
        <v>1350</v>
      </c>
      <c r="C42" t="s">
        <v>946</v>
      </c>
      <c r="D42" t="s">
        <v>14</v>
      </c>
      <c r="E42" t="s">
        <v>66</v>
      </c>
      <c r="F42" t="s">
        <v>925</v>
      </c>
      <c r="G42" s="425" t="s">
        <v>1529</v>
      </c>
      <c r="H42" s="357">
        <v>43.5</v>
      </c>
      <c r="I42" s="357"/>
      <c r="J42" s="357">
        <v>2.5</v>
      </c>
      <c r="K42" s="357"/>
      <c r="L42" s="357">
        <v>46</v>
      </c>
      <c r="M42" s="357"/>
      <c r="N42" s="360">
        <f>'By Zone Charges'!L10</f>
        <v>0</v>
      </c>
      <c r="O42" s="360">
        <f>'By Zone Charges'!M10</f>
        <v>0</v>
      </c>
      <c r="P42" s="362">
        <f>'By Zone Charges'!N10</f>
        <v>46</v>
      </c>
      <c r="Q42" s="362"/>
      <c r="R42" s="362">
        <f>'By Zone Charges'!O10</f>
        <v>0</v>
      </c>
      <c r="S42" s="362"/>
      <c r="T42" s="362">
        <f>'By Zone Charges'!P10</f>
        <v>46</v>
      </c>
      <c r="U42" s="362"/>
      <c r="V42" s="364">
        <f>'By Zone Charges'!Q10</f>
        <v>0</v>
      </c>
      <c r="W42" s="362">
        <f>'By Zone Charges'!R10</f>
        <v>0</v>
      </c>
      <c r="X42" s="362">
        <f>'By Zone Charges'!S10</f>
        <v>0</v>
      </c>
      <c r="Y42" s="362">
        <f>'By Zone Charges'!T10</f>
        <v>0</v>
      </c>
    </row>
    <row r="43" spans="1:25" x14ac:dyDescent="0.35">
      <c r="A43">
        <v>42</v>
      </c>
      <c r="B43" t="s">
        <v>1350</v>
      </c>
      <c r="C43" t="s">
        <v>946</v>
      </c>
      <c r="D43" t="s">
        <v>14</v>
      </c>
      <c r="E43" t="s">
        <v>66</v>
      </c>
      <c r="F43" t="s">
        <v>925</v>
      </c>
      <c r="G43" s="425" t="s">
        <v>1530</v>
      </c>
      <c r="H43" s="357">
        <v>47.5</v>
      </c>
      <c r="I43" s="357"/>
      <c r="J43" s="357">
        <v>2.75</v>
      </c>
      <c r="K43" s="357"/>
      <c r="L43" s="357">
        <v>50.25</v>
      </c>
      <c r="M43" s="357"/>
      <c r="N43" s="360">
        <f>'By Zone Charges'!L11</f>
        <v>0</v>
      </c>
      <c r="O43" s="360">
        <f>'By Zone Charges'!M11</f>
        <v>0</v>
      </c>
      <c r="P43" s="362">
        <f>'By Zone Charges'!N11</f>
        <v>50.25</v>
      </c>
      <c r="Q43" s="362"/>
      <c r="R43" s="362">
        <f>'By Zone Charges'!O11</f>
        <v>0</v>
      </c>
      <c r="S43" s="362"/>
      <c r="T43" s="362">
        <f>'By Zone Charges'!P11</f>
        <v>50.25</v>
      </c>
      <c r="U43" s="362"/>
      <c r="V43" s="364">
        <f>'By Zone Charges'!Q11</f>
        <v>0</v>
      </c>
      <c r="W43" s="362">
        <f>'By Zone Charges'!R11</f>
        <v>0</v>
      </c>
      <c r="X43" s="362">
        <f>'By Zone Charges'!S11</f>
        <v>0</v>
      </c>
      <c r="Y43" s="362">
        <f>'By Zone Charges'!T11</f>
        <v>0</v>
      </c>
    </row>
    <row r="44" spans="1:25" x14ac:dyDescent="0.35">
      <c r="A44">
        <v>43</v>
      </c>
      <c r="B44" t="s">
        <v>1350</v>
      </c>
      <c r="C44" t="s">
        <v>946</v>
      </c>
      <c r="D44" t="s">
        <v>14</v>
      </c>
      <c r="E44" t="s">
        <v>66</v>
      </c>
      <c r="F44" t="s">
        <v>925</v>
      </c>
      <c r="G44" s="425" t="s">
        <v>1531</v>
      </c>
      <c r="H44" s="357">
        <v>52.75</v>
      </c>
      <c r="I44" s="357"/>
      <c r="J44" s="357">
        <v>3.5</v>
      </c>
      <c r="K44" s="357"/>
      <c r="L44" s="357">
        <v>56.25</v>
      </c>
      <c r="M44" s="357"/>
      <c r="N44" s="360">
        <f>'By Zone Charges'!L12</f>
        <v>0</v>
      </c>
      <c r="O44" s="360">
        <f>'By Zone Charges'!M12</f>
        <v>0</v>
      </c>
      <c r="P44" s="362">
        <f>'By Zone Charges'!N12</f>
        <v>56.25</v>
      </c>
      <c r="Q44" s="362"/>
      <c r="R44" s="362">
        <f>'By Zone Charges'!O12</f>
        <v>0</v>
      </c>
      <c r="S44" s="362"/>
      <c r="T44" s="362">
        <f>'By Zone Charges'!P12</f>
        <v>56.25</v>
      </c>
      <c r="U44" s="362"/>
      <c r="V44" s="364">
        <f>'By Zone Charges'!Q12</f>
        <v>0</v>
      </c>
      <c r="W44" s="362">
        <f>'By Zone Charges'!R12</f>
        <v>0</v>
      </c>
      <c r="X44" s="362">
        <f>'By Zone Charges'!S12</f>
        <v>0</v>
      </c>
      <c r="Y44" s="362">
        <f>'By Zone Charges'!T12</f>
        <v>0</v>
      </c>
    </row>
    <row r="45" spans="1:25" x14ac:dyDescent="0.35">
      <c r="A45">
        <v>44</v>
      </c>
      <c r="B45" t="s">
        <v>1350</v>
      </c>
      <c r="C45" t="s">
        <v>946</v>
      </c>
      <c r="D45" t="s">
        <v>14</v>
      </c>
      <c r="E45" t="s">
        <v>66</v>
      </c>
      <c r="F45" t="s">
        <v>925</v>
      </c>
      <c r="G45" s="425" t="s">
        <v>1532</v>
      </c>
      <c r="H45" s="357">
        <v>55</v>
      </c>
      <c r="I45" s="357"/>
      <c r="J45" s="357">
        <v>3.75</v>
      </c>
      <c r="K45" s="357"/>
      <c r="L45" s="357">
        <v>58.75</v>
      </c>
      <c r="M45" s="357"/>
      <c r="N45" s="360">
        <f>'By Zone Charges'!L13</f>
        <v>0</v>
      </c>
      <c r="O45" s="360">
        <f>'By Zone Charges'!M13</f>
        <v>0</v>
      </c>
      <c r="P45" s="362">
        <f>'By Zone Charges'!N13</f>
        <v>58.75</v>
      </c>
      <c r="Q45" s="362"/>
      <c r="R45" s="362">
        <f>'By Zone Charges'!O13</f>
        <v>0</v>
      </c>
      <c r="S45" s="362"/>
      <c r="T45" s="362">
        <f>'By Zone Charges'!P13</f>
        <v>58.75</v>
      </c>
      <c r="U45" s="362"/>
      <c r="V45" s="364">
        <f>'By Zone Charges'!Q13</f>
        <v>0</v>
      </c>
      <c r="W45" s="362">
        <f>'By Zone Charges'!R13</f>
        <v>0</v>
      </c>
      <c r="X45" s="362">
        <f>'By Zone Charges'!S13</f>
        <v>0</v>
      </c>
      <c r="Y45" s="362">
        <f>'By Zone Charges'!T13</f>
        <v>0</v>
      </c>
    </row>
    <row r="46" spans="1:25" x14ac:dyDescent="0.35">
      <c r="A46">
        <v>45</v>
      </c>
      <c r="B46" t="s">
        <v>1350</v>
      </c>
      <c r="C46" t="s">
        <v>946</v>
      </c>
      <c r="D46" t="s">
        <v>14</v>
      </c>
      <c r="E46" t="s">
        <v>66</v>
      </c>
      <c r="F46" t="s">
        <v>926</v>
      </c>
      <c r="G46" s="425" t="s">
        <v>1533</v>
      </c>
      <c r="H46" s="357">
        <v>25</v>
      </c>
      <c r="I46" s="357"/>
      <c r="J46" s="357">
        <v>1.5</v>
      </c>
      <c r="K46" s="357"/>
      <c r="L46" s="357">
        <v>26.5</v>
      </c>
      <c r="M46" s="357"/>
      <c r="N46" s="360">
        <f>'By Zone Charges'!L15</f>
        <v>0</v>
      </c>
      <c r="O46" s="360">
        <f>'By Zone Charges'!M15</f>
        <v>0</v>
      </c>
      <c r="P46" s="362">
        <f>'By Zone Charges'!N15</f>
        <v>26.5</v>
      </c>
      <c r="Q46" s="362"/>
      <c r="R46" s="362">
        <f>'By Zone Charges'!O15</f>
        <v>0</v>
      </c>
      <c r="S46" s="362"/>
      <c r="T46" s="362">
        <f>'By Zone Charges'!P15</f>
        <v>26.5</v>
      </c>
      <c r="U46" s="362"/>
      <c r="V46" s="364">
        <f>'By Zone Charges'!Q15</f>
        <v>0</v>
      </c>
      <c r="W46" s="362">
        <f>'By Zone Charges'!R15</f>
        <v>0</v>
      </c>
      <c r="X46" s="362">
        <f>'By Zone Charges'!S15</f>
        <v>0</v>
      </c>
      <c r="Y46" s="362">
        <f>'By Zone Charges'!T15</f>
        <v>0</v>
      </c>
    </row>
    <row r="47" spans="1:25" x14ac:dyDescent="0.35">
      <c r="A47">
        <v>46</v>
      </c>
      <c r="B47" t="s">
        <v>1350</v>
      </c>
      <c r="C47" t="s">
        <v>946</v>
      </c>
      <c r="D47" t="s">
        <v>14</v>
      </c>
      <c r="E47" t="s">
        <v>66</v>
      </c>
      <c r="F47" t="s">
        <v>926</v>
      </c>
      <c r="G47" s="425" t="s">
        <v>1534</v>
      </c>
      <c r="H47" s="357">
        <v>29</v>
      </c>
      <c r="I47" s="357"/>
      <c r="J47" s="357">
        <v>1.75</v>
      </c>
      <c r="K47" s="357"/>
      <c r="L47" s="357">
        <v>30.75</v>
      </c>
      <c r="M47" s="357"/>
      <c r="N47" s="360">
        <f>'By Zone Charges'!L16</f>
        <v>0</v>
      </c>
      <c r="O47" s="360">
        <f>'By Zone Charges'!M16</f>
        <v>0</v>
      </c>
      <c r="P47" s="362">
        <f>'By Zone Charges'!N16</f>
        <v>30.75</v>
      </c>
      <c r="Q47" s="362"/>
      <c r="R47" s="362">
        <f>'By Zone Charges'!O16</f>
        <v>0</v>
      </c>
      <c r="S47" s="362"/>
      <c r="T47" s="362">
        <f>'By Zone Charges'!P16</f>
        <v>30.75</v>
      </c>
      <c r="U47" s="362"/>
      <c r="V47" s="364">
        <f>'By Zone Charges'!Q16</f>
        <v>0</v>
      </c>
      <c r="W47" s="362">
        <f>'By Zone Charges'!R16</f>
        <v>0</v>
      </c>
      <c r="X47" s="362">
        <f>'By Zone Charges'!S16</f>
        <v>0</v>
      </c>
      <c r="Y47" s="362">
        <f>'By Zone Charges'!T16</f>
        <v>0</v>
      </c>
    </row>
    <row r="48" spans="1:25" x14ac:dyDescent="0.35">
      <c r="A48">
        <v>47</v>
      </c>
      <c r="B48" t="s">
        <v>1350</v>
      </c>
      <c r="C48" t="s">
        <v>946</v>
      </c>
      <c r="D48" t="s">
        <v>14</v>
      </c>
      <c r="E48" t="s">
        <v>66</v>
      </c>
      <c r="F48" t="s">
        <v>926</v>
      </c>
      <c r="G48" s="425" t="s">
        <v>1535</v>
      </c>
      <c r="H48" s="357">
        <v>31</v>
      </c>
      <c r="I48" s="357"/>
      <c r="J48" s="357">
        <v>2</v>
      </c>
      <c r="K48" s="357"/>
      <c r="L48" s="357">
        <v>33</v>
      </c>
      <c r="M48" s="357"/>
      <c r="N48" s="360">
        <f>'By Zone Charges'!L17</f>
        <v>0</v>
      </c>
      <c r="O48" s="360">
        <f>'By Zone Charges'!M17</f>
        <v>0</v>
      </c>
      <c r="P48" s="362">
        <f>'By Zone Charges'!N17</f>
        <v>33</v>
      </c>
      <c r="Q48" s="362"/>
      <c r="R48" s="362">
        <f>'By Zone Charges'!O17</f>
        <v>0</v>
      </c>
      <c r="S48" s="362"/>
      <c r="T48" s="362">
        <f>'By Zone Charges'!P17</f>
        <v>33</v>
      </c>
      <c r="U48" s="362"/>
      <c r="V48" s="364">
        <f>'By Zone Charges'!Q17</f>
        <v>0</v>
      </c>
      <c r="W48" s="362">
        <f>'By Zone Charges'!R17</f>
        <v>0</v>
      </c>
      <c r="X48" s="362">
        <f>'By Zone Charges'!S17</f>
        <v>0</v>
      </c>
      <c r="Y48" s="362">
        <f>'By Zone Charges'!T17</f>
        <v>0</v>
      </c>
    </row>
    <row r="49" spans="1:25" x14ac:dyDescent="0.35">
      <c r="A49">
        <v>48</v>
      </c>
      <c r="B49" t="s">
        <v>1350</v>
      </c>
      <c r="C49" t="s">
        <v>946</v>
      </c>
      <c r="D49" t="s">
        <v>14</v>
      </c>
      <c r="E49" t="s">
        <v>66</v>
      </c>
      <c r="F49" t="s">
        <v>926</v>
      </c>
      <c r="G49" s="425" t="s">
        <v>1536</v>
      </c>
      <c r="H49" s="357">
        <v>31.5</v>
      </c>
      <c r="I49" s="357"/>
      <c r="J49" s="357">
        <v>2.25</v>
      </c>
      <c r="K49" s="357"/>
      <c r="L49" s="357">
        <v>33.75</v>
      </c>
      <c r="M49" s="357"/>
      <c r="N49" s="360">
        <f>'By Zone Charges'!L18</f>
        <v>0</v>
      </c>
      <c r="O49" s="360">
        <f>'By Zone Charges'!M18</f>
        <v>0</v>
      </c>
      <c r="P49" s="362">
        <f>'By Zone Charges'!N18</f>
        <v>33.75</v>
      </c>
      <c r="Q49" s="362"/>
      <c r="R49" s="362">
        <f>'By Zone Charges'!O18</f>
        <v>0</v>
      </c>
      <c r="S49" s="362"/>
      <c r="T49" s="362">
        <f>'By Zone Charges'!P18</f>
        <v>33.75</v>
      </c>
      <c r="U49" s="362"/>
      <c r="V49" s="364">
        <f>'By Zone Charges'!Q18</f>
        <v>0</v>
      </c>
      <c r="W49" s="362">
        <f>'By Zone Charges'!R18</f>
        <v>0</v>
      </c>
      <c r="X49" s="362">
        <f>'By Zone Charges'!S18</f>
        <v>0</v>
      </c>
      <c r="Y49" s="362">
        <f>'By Zone Charges'!T18</f>
        <v>0</v>
      </c>
    </row>
    <row r="50" spans="1:25" x14ac:dyDescent="0.35">
      <c r="A50">
        <v>49</v>
      </c>
      <c r="B50" t="s">
        <v>1350</v>
      </c>
      <c r="C50" t="s">
        <v>946</v>
      </c>
      <c r="D50" t="s">
        <v>15</v>
      </c>
      <c r="E50" t="s">
        <v>66</v>
      </c>
      <c r="F50" t="s">
        <v>927</v>
      </c>
      <c r="G50" s="425" t="s">
        <v>1433</v>
      </c>
      <c r="H50" s="357">
        <v>28</v>
      </c>
      <c r="I50" s="357"/>
      <c r="J50" s="357">
        <v>1.5</v>
      </c>
      <c r="K50" s="357"/>
      <c r="L50" s="357">
        <v>29.5</v>
      </c>
      <c r="M50" s="357"/>
      <c r="N50" s="360">
        <f>'By Zone Charges'!L20</f>
        <v>0</v>
      </c>
      <c r="O50" s="360">
        <f>'By Zone Charges'!M20</f>
        <v>0</v>
      </c>
      <c r="P50" s="362">
        <f>'By Zone Charges'!N20</f>
        <v>29.5</v>
      </c>
      <c r="Q50" s="362"/>
      <c r="R50" s="362">
        <f>'By Zone Charges'!O20</f>
        <v>0</v>
      </c>
      <c r="S50" s="362"/>
      <c r="T50" s="362">
        <f>'By Zone Charges'!P20</f>
        <v>29.5</v>
      </c>
      <c r="U50" s="362"/>
      <c r="V50" s="364">
        <f>'By Zone Charges'!Q20</f>
        <v>0</v>
      </c>
      <c r="W50" s="362">
        <f>'By Zone Charges'!R20</f>
        <v>0</v>
      </c>
      <c r="X50" s="362">
        <f>'By Zone Charges'!S20</f>
        <v>0</v>
      </c>
      <c r="Y50" s="362">
        <f>'By Zone Charges'!T20</f>
        <v>0</v>
      </c>
    </row>
    <row r="51" spans="1:25" x14ac:dyDescent="0.35">
      <c r="A51">
        <v>50</v>
      </c>
      <c r="B51" t="s">
        <v>1350</v>
      </c>
      <c r="C51" t="s">
        <v>946</v>
      </c>
      <c r="D51" t="s">
        <v>15</v>
      </c>
      <c r="E51" t="s">
        <v>66</v>
      </c>
      <c r="F51" t="s">
        <v>927</v>
      </c>
      <c r="G51" s="425" t="s">
        <v>1434</v>
      </c>
      <c r="H51" s="357">
        <v>31</v>
      </c>
      <c r="I51" s="357"/>
      <c r="J51" s="357">
        <v>1.75</v>
      </c>
      <c r="K51" s="357"/>
      <c r="L51" s="357">
        <v>32.75</v>
      </c>
      <c r="M51" s="357"/>
      <c r="N51" s="360">
        <f>'By Zone Charges'!L21</f>
        <v>0</v>
      </c>
      <c r="O51" s="360">
        <f>'By Zone Charges'!M21</f>
        <v>0</v>
      </c>
      <c r="P51" s="362">
        <f>'By Zone Charges'!N21</f>
        <v>32.75</v>
      </c>
      <c r="Q51" s="362"/>
      <c r="R51" s="362">
        <f>'By Zone Charges'!O21</f>
        <v>0</v>
      </c>
      <c r="S51" s="362"/>
      <c r="T51" s="362">
        <f>'By Zone Charges'!P21</f>
        <v>32.75</v>
      </c>
      <c r="U51" s="362"/>
      <c r="V51" s="364">
        <f>'By Zone Charges'!Q21</f>
        <v>0</v>
      </c>
      <c r="W51" s="362">
        <f>'By Zone Charges'!R21</f>
        <v>0</v>
      </c>
      <c r="X51" s="362">
        <f>'By Zone Charges'!S21</f>
        <v>0</v>
      </c>
      <c r="Y51" s="362">
        <f>'By Zone Charges'!T21</f>
        <v>0</v>
      </c>
    </row>
    <row r="52" spans="1:25" x14ac:dyDescent="0.35">
      <c r="A52">
        <v>51</v>
      </c>
      <c r="B52" t="s">
        <v>1350</v>
      </c>
      <c r="C52" t="s">
        <v>946</v>
      </c>
      <c r="D52" t="s">
        <v>15</v>
      </c>
      <c r="E52" t="s">
        <v>66</v>
      </c>
      <c r="F52" t="s">
        <v>927</v>
      </c>
      <c r="G52" s="425" t="s">
        <v>1435</v>
      </c>
      <c r="H52" s="357">
        <v>36</v>
      </c>
      <c r="I52" s="357"/>
      <c r="J52" s="357">
        <v>2.5</v>
      </c>
      <c r="K52" s="357"/>
      <c r="L52" s="357">
        <v>38.5</v>
      </c>
      <c r="M52" s="357"/>
      <c r="N52" s="360">
        <f>'By Zone Charges'!L22</f>
        <v>0</v>
      </c>
      <c r="O52" s="360">
        <f>'By Zone Charges'!M22</f>
        <v>0</v>
      </c>
      <c r="P52" s="362">
        <f>'By Zone Charges'!N22</f>
        <v>38.5</v>
      </c>
      <c r="Q52" s="362"/>
      <c r="R52" s="362">
        <f>'By Zone Charges'!O22</f>
        <v>0</v>
      </c>
      <c r="S52" s="362"/>
      <c r="T52" s="362">
        <f>'By Zone Charges'!P22</f>
        <v>38.5</v>
      </c>
      <c r="U52" s="362"/>
      <c r="V52" s="364">
        <f>'By Zone Charges'!Q22</f>
        <v>0</v>
      </c>
      <c r="W52" s="362">
        <f>'By Zone Charges'!R22</f>
        <v>0</v>
      </c>
      <c r="X52" s="362">
        <f>'By Zone Charges'!S22</f>
        <v>0</v>
      </c>
      <c r="Y52" s="362">
        <f>'By Zone Charges'!T22</f>
        <v>0</v>
      </c>
    </row>
    <row r="53" spans="1:25" x14ac:dyDescent="0.35">
      <c r="A53">
        <v>52</v>
      </c>
      <c r="B53" t="s">
        <v>1350</v>
      </c>
      <c r="C53" t="s">
        <v>946</v>
      </c>
      <c r="D53" t="s">
        <v>15</v>
      </c>
      <c r="E53" t="s">
        <v>66</v>
      </c>
      <c r="F53" t="s">
        <v>927</v>
      </c>
      <c r="G53" s="425" t="s">
        <v>1436</v>
      </c>
      <c r="H53" s="357">
        <v>38</v>
      </c>
      <c r="I53" s="357"/>
      <c r="J53" s="357">
        <v>2.75</v>
      </c>
      <c r="K53" s="357"/>
      <c r="L53" s="357">
        <v>40.75</v>
      </c>
      <c r="M53" s="357"/>
      <c r="N53" s="360">
        <f>'By Zone Charges'!L23</f>
        <v>0</v>
      </c>
      <c r="O53" s="360">
        <f>'By Zone Charges'!M23</f>
        <v>0</v>
      </c>
      <c r="P53" s="362">
        <f>'By Zone Charges'!N23</f>
        <v>40.75</v>
      </c>
      <c r="Q53" s="362"/>
      <c r="R53" s="362">
        <f>'By Zone Charges'!O23</f>
        <v>0</v>
      </c>
      <c r="S53" s="362"/>
      <c r="T53" s="362">
        <f>'By Zone Charges'!P23</f>
        <v>40.75</v>
      </c>
      <c r="U53" s="362"/>
      <c r="V53" s="364">
        <f>'By Zone Charges'!Q23</f>
        <v>0</v>
      </c>
      <c r="W53" s="362">
        <f>'By Zone Charges'!R23</f>
        <v>0</v>
      </c>
      <c r="X53" s="362">
        <f>'By Zone Charges'!S23</f>
        <v>0</v>
      </c>
      <c r="Y53" s="362">
        <f>'By Zone Charges'!T23</f>
        <v>0</v>
      </c>
    </row>
    <row r="54" spans="1:25" x14ac:dyDescent="0.35">
      <c r="A54">
        <v>53</v>
      </c>
      <c r="B54" t="s">
        <v>1350</v>
      </c>
      <c r="C54" t="s">
        <v>946</v>
      </c>
      <c r="D54" t="s">
        <v>15</v>
      </c>
      <c r="E54" t="s">
        <v>66</v>
      </c>
      <c r="F54" t="s">
        <v>928</v>
      </c>
      <c r="G54" s="425" t="s">
        <v>1437</v>
      </c>
      <c r="H54" s="357">
        <v>43.5</v>
      </c>
      <c r="I54" s="357"/>
      <c r="J54" s="357">
        <v>2.5</v>
      </c>
      <c r="K54" s="357"/>
      <c r="L54" s="357">
        <v>46</v>
      </c>
      <c r="M54" s="357"/>
      <c r="N54" s="360">
        <f>'By Zone Charges'!L25</f>
        <v>0</v>
      </c>
      <c r="O54" s="360">
        <f>'By Zone Charges'!M25</f>
        <v>0</v>
      </c>
      <c r="P54" s="362">
        <f>'By Zone Charges'!N25</f>
        <v>46</v>
      </c>
      <c r="Q54" s="362"/>
      <c r="R54" s="362">
        <f>'By Zone Charges'!O25</f>
        <v>0</v>
      </c>
      <c r="S54" s="362"/>
      <c r="T54" s="362">
        <f>'By Zone Charges'!P25</f>
        <v>46</v>
      </c>
      <c r="U54" s="362"/>
      <c r="V54" s="364">
        <f>'By Zone Charges'!Q25</f>
        <v>0</v>
      </c>
      <c r="W54" s="362">
        <f>'By Zone Charges'!R25</f>
        <v>0</v>
      </c>
      <c r="X54" s="362">
        <f>'By Zone Charges'!S25</f>
        <v>0</v>
      </c>
      <c r="Y54" s="362">
        <f>'By Zone Charges'!T25</f>
        <v>0</v>
      </c>
    </row>
    <row r="55" spans="1:25" x14ac:dyDescent="0.35">
      <c r="A55">
        <v>54</v>
      </c>
      <c r="B55" t="s">
        <v>1350</v>
      </c>
      <c r="C55" t="s">
        <v>946</v>
      </c>
      <c r="D55" t="s">
        <v>15</v>
      </c>
      <c r="E55" t="s">
        <v>66</v>
      </c>
      <c r="F55" t="s">
        <v>928</v>
      </c>
      <c r="G55" s="425" t="s">
        <v>1438</v>
      </c>
      <c r="H55" s="357">
        <v>47.5</v>
      </c>
      <c r="I55" s="357"/>
      <c r="J55" s="357">
        <v>2.75</v>
      </c>
      <c r="K55" s="357"/>
      <c r="L55" s="357">
        <v>50.25</v>
      </c>
      <c r="M55" s="357"/>
      <c r="N55" s="360">
        <f>'By Zone Charges'!L26</f>
        <v>0</v>
      </c>
      <c r="O55" s="360">
        <f>'By Zone Charges'!M26</f>
        <v>0</v>
      </c>
      <c r="P55" s="362">
        <f>'By Zone Charges'!N26</f>
        <v>50.25</v>
      </c>
      <c r="Q55" s="362"/>
      <c r="R55" s="362">
        <f>'By Zone Charges'!O26</f>
        <v>0</v>
      </c>
      <c r="S55" s="362"/>
      <c r="T55" s="362">
        <f>'By Zone Charges'!P26</f>
        <v>50.25</v>
      </c>
      <c r="U55" s="362"/>
      <c r="V55" s="364">
        <f>'By Zone Charges'!Q26</f>
        <v>0</v>
      </c>
      <c r="W55" s="362">
        <f>'By Zone Charges'!R26</f>
        <v>0</v>
      </c>
      <c r="X55" s="362">
        <f>'By Zone Charges'!S26</f>
        <v>0</v>
      </c>
      <c r="Y55" s="362">
        <f>'By Zone Charges'!T26</f>
        <v>0</v>
      </c>
    </row>
    <row r="56" spans="1:25" x14ac:dyDescent="0.35">
      <c r="A56">
        <v>55</v>
      </c>
      <c r="B56" t="s">
        <v>1350</v>
      </c>
      <c r="C56" t="s">
        <v>946</v>
      </c>
      <c r="D56" t="s">
        <v>15</v>
      </c>
      <c r="E56" t="s">
        <v>66</v>
      </c>
      <c r="F56" t="s">
        <v>928</v>
      </c>
      <c r="G56" s="425" t="s">
        <v>1439</v>
      </c>
      <c r="H56" s="357">
        <v>52.75</v>
      </c>
      <c r="I56" s="357"/>
      <c r="J56" s="357">
        <v>3.5</v>
      </c>
      <c r="K56" s="357"/>
      <c r="L56" s="357">
        <v>56.25</v>
      </c>
      <c r="M56" s="357"/>
      <c r="N56" s="360">
        <f>'By Zone Charges'!L27</f>
        <v>0</v>
      </c>
      <c r="O56" s="360">
        <f>'By Zone Charges'!M27</f>
        <v>0</v>
      </c>
      <c r="P56" s="362">
        <f>'By Zone Charges'!N27</f>
        <v>56.25</v>
      </c>
      <c r="Q56" s="362"/>
      <c r="R56" s="362">
        <f>'By Zone Charges'!O27</f>
        <v>0</v>
      </c>
      <c r="S56" s="362"/>
      <c r="T56" s="362">
        <f>'By Zone Charges'!P27</f>
        <v>56.25</v>
      </c>
      <c r="U56" s="362"/>
      <c r="V56" s="364">
        <f>'By Zone Charges'!Q27</f>
        <v>0</v>
      </c>
      <c r="W56" s="362">
        <f>'By Zone Charges'!R27</f>
        <v>0</v>
      </c>
      <c r="X56" s="362">
        <f>'By Zone Charges'!S27</f>
        <v>0</v>
      </c>
      <c r="Y56" s="362">
        <f>'By Zone Charges'!T27</f>
        <v>0</v>
      </c>
    </row>
    <row r="57" spans="1:25" x14ac:dyDescent="0.35">
      <c r="A57">
        <v>56</v>
      </c>
      <c r="B57" t="s">
        <v>1350</v>
      </c>
      <c r="C57" t="s">
        <v>946</v>
      </c>
      <c r="D57" t="s">
        <v>15</v>
      </c>
      <c r="E57" t="s">
        <v>66</v>
      </c>
      <c r="F57" t="s">
        <v>928</v>
      </c>
      <c r="G57" s="425" t="s">
        <v>1440</v>
      </c>
      <c r="H57" s="357">
        <v>55</v>
      </c>
      <c r="I57" s="357"/>
      <c r="J57" s="357">
        <v>3.75</v>
      </c>
      <c r="K57" s="357"/>
      <c r="L57" s="357">
        <v>58.75</v>
      </c>
      <c r="M57" s="357"/>
      <c r="N57" s="360">
        <f>'By Zone Charges'!L28</f>
        <v>0</v>
      </c>
      <c r="O57" s="360">
        <f>'By Zone Charges'!M28</f>
        <v>0</v>
      </c>
      <c r="P57" s="362">
        <f>'By Zone Charges'!N28</f>
        <v>58.75</v>
      </c>
      <c r="Q57" s="362"/>
      <c r="R57" s="362">
        <f>'By Zone Charges'!O28</f>
        <v>0</v>
      </c>
      <c r="S57" s="362"/>
      <c r="T57" s="362">
        <f>'By Zone Charges'!P28</f>
        <v>58.75</v>
      </c>
      <c r="U57" s="362"/>
      <c r="V57" s="364">
        <f>'By Zone Charges'!Q28</f>
        <v>0</v>
      </c>
      <c r="W57" s="362">
        <f>'By Zone Charges'!R28</f>
        <v>0</v>
      </c>
      <c r="X57" s="362">
        <f>'By Zone Charges'!S28</f>
        <v>0</v>
      </c>
      <c r="Y57" s="362">
        <f>'By Zone Charges'!T28</f>
        <v>0</v>
      </c>
    </row>
    <row r="58" spans="1:25" x14ac:dyDescent="0.35">
      <c r="A58">
        <v>57</v>
      </c>
      <c r="B58" t="s">
        <v>1350</v>
      </c>
      <c r="C58" t="s">
        <v>946</v>
      </c>
      <c r="D58" t="s">
        <v>15</v>
      </c>
      <c r="E58" t="s">
        <v>66</v>
      </c>
      <c r="F58" t="s">
        <v>929</v>
      </c>
      <c r="G58" s="425" t="s">
        <v>1441</v>
      </c>
      <c r="H58" s="357">
        <v>25</v>
      </c>
      <c r="I58" s="357"/>
      <c r="J58" s="357">
        <v>1.5</v>
      </c>
      <c r="K58" s="357"/>
      <c r="L58" s="357">
        <v>26.5</v>
      </c>
      <c r="M58" s="357"/>
      <c r="N58" s="360">
        <f>'By Zone Charges'!L30</f>
        <v>0</v>
      </c>
      <c r="O58" s="360">
        <f>'By Zone Charges'!M30</f>
        <v>0</v>
      </c>
      <c r="P58" s="362">
        <f>'By Zone Charges'!N30</f>
        <v>26.5</v>
      </c>
      <c r="Q58" s="362"/>
      <c r="R58" s="362">
        <f>'By Zone Charges'!O30</f>
        <v>0</v>
      </c>
      <c r="S58" s="362"/>
      <c r="T58" s="362">
        <f>'By Zone Charges'!P30</f>
        <v>26.5</v>
      </c>
      <c r="U58" s="362"/>
      <c r="V58" s="364">
        <f>'By Zone Charges'!Q30</f>
        <v>0</v>
      </c>
      <c r="W58" s="362">
        <f>'By Zone Charges'!R30</f>
        <v>0</v>
      </c>
      <c r="X58" s="362">
        <f>'By Zone Charges'!S30</f>
        <v>0</v>
      </c>
      <c r="Y58" s="362">
        <f>'By Zone Charges'!T30</f>
        <v>0</v>
      </c>
    </row>
    <row r="59" spans="1:25" x14ac:dyDescent="0.35">
      <c r="A59">
        <v>58</v>
      </c>
      <c r="B59" t="s">
        <v>1350</v>
      </c>
      <c r="C59" t="s">
        <v>946</v>
      </c>
      <c r="D59" t="s">
        <v>15</v>
      </c>
      <c r="E59" t="s">
        <v>66</v>
      </c>
      <c r="F59" t="s">
        <v>929</v>
      </c>
      <c r="G59" s="425" t="s">
        <v>1442</v>
      </c>
      <c r="H59" s="357">
        <v>29</v>
      </c>
      <c r="I59" s="357"/>
      <c r="J59" s="357">
        <v>1.75</v>
      </c>
      <c r="K59" s="357"/>
      <c r="L59" s="357">
        <v>30.75</v>
      </c>
      <c r="M59" s="357"/>
      <c r="N59" s="360">
        <f>'By Zone Charges'!L31</f>
        <v>0</v>
      </c>
      <c r="O59" s="360">
        <f>'By Zone Charges'!M31</f>
        <v>0</v>
      </c>
      <c r="P59" s="362">
        <f>'By Zone Charges'!N31</f>
        <v>30.75</v>
      </c>
      <c r="Q59" s="362"/>
      <c r="R59" s="362">
        <f>'By Zone Charges'!O31</f>
        <v>0</v>
      </c>
      <c r="S59" s="362"/>
      <c r="T59" s="362">
        <f>'By Zone Charges'!P31</f>
        <v>30.75</v>
      </c>
      <c r="U59" s="362"/>
      <c r="V59" s="364">
        <f>'By Zone Charges'!Q31</f>
        <v>0</v>
      </c>
      <c r="W59" s="362">
        <f>'By Zone Charges'!R31</f>
        <v>0</v>
      </c>
      <c r="X59" s="362">
        <f>'By Zone Charges'!S31</f>
        <v>0</v>
      </c>
      <c r="Y59" s="362">
        <f>'By Zone Charges'!T31</f>
        <v>0</v>
      </c>
    </row>
    <row r="60" spans="1:25" x14ac:dyDescent="0.35">
      <c r="A60">
        <v>59</v>
      </c>
      <c r="B60" t="s">
        <v>1350</v>
      </c>
      <c r="C60" t="s">
        <v>946</v>
      </c>
      <c r="D60" t="s">
        <v>15</v>
      </c>
      <c r="E60" t="s">
        <v>66</v>
      </c>
      <c r="F60" t="s">
        <v>929</v>
      </c>
      <c r="G60" s="425" t="s">
        <v>1443</v>
      </c>
      <c r="H60" s="357">
        <v>31</v>
      </c>
      <c r="I60" s="357"/>
      <c r="J60" s="357">
        <v>2</v>
      </c>
      <c r="K60" s="357"/>
      <c r="L60" s="357">
        <v>33</v>
      </c>
      <c r="M60" s="357"/>
      <c r="N60" s="360">
        <f>'By Zone Charges'!L32</f>
        <v>0</v>
      </c>
      <c r="O60" s="360">
        <f>'By Zone Charges'!M32</f>
        <v>0</v>
      </c>
      <c r="P60" s="362">
        <f>'By Zone Charges'!N32</f>
        <v>33</v>
      </c>
      <c r="Q60" s="362"/>
      <c r="R60" s="362">
        <f>'By Zone Charges'!O32</f>
        <v>0</v>
      </c>
      <c r="S60" s="362"/>
      <c r="T60" s="362">
        <f>'By Zone Charges'!P32</f>
        <v>33</v>
      </c>
      <c r="U60" s="362"/>
      <c r="V60" s="364">
        <f>'By Zone Charges'!Q32</f>
        <v>0</v>
      </c>
      <c r="W60" s="362">
        <f>'By Zone Charges'!R32</f>
        <v>0</v>
      </c>
      <c r="X60" s="362">
        <f>'By Zone Charges'!S32</f>
        <v>0</v>
      </c>
      <c r="Y60" s="362">
        <f>'By Zone Charges'!T32</f>
        <v>0</v>
      </c>
    </row>
    <row r="61" spans="1:25" x14ac:dyDescent="0.35">
      <c r="A61">
        <v>60</v>
      </c>
      <c r="B61" t="s">
        <v>1350</v>
      </c>
      <c r="C61" t="s">
        <v>946</v>
      </c>
      <c r="D61" t="s">
        <v>15</v>
      </c>
      <c r="E61" t="s">
        <v>66</v>
      </c>
      <c r="F61" t="s">
        <v>929</v>
      </c>
      <c r="G61" s="425" t="s">
        <v>1444</v>
      </c>
      <c r="H61" s="357">
        <v>31.5</v>
      </c>
      <c r="I61" s="357"/>
      <c r="J61" s="357">
        <v>2.25</v>
      </c>
      <c r="K61" s="357"/>
      <c r="L61" s="357">
        <v>33.75</v>
      </c>
      <c r="M61" s="357"/>
      <c r="N61" s="360">
        <f>'By Zone Charges'!L33</f>
        <v>0</v>
      </c>
      <c r="O61" s="360">
        <f>'By Zone Charges'!M33</f>
        <v>0</v>
      </c>
      <c r="P61" s="362">
        <f>'By Zone Charges'!N33</f>
        <v>33.75</v>
      </c>
      <c r="Q61" s="362"/>
      <c r="R61" s="362">
        <f>'By Zone Charges'!O33</f>
        <v>0</v>
      </c>
      <c r="S61" s="362"/>
      <c r="T61" s="362">
        <f>'By Zone Charges'!P33</f>
        <v>33.75</v>
      </c>
      <c r="U61" s="362"/>
      <c r="V61" s="364">
        <f>'By Zone Charges'!Q33</f>
        <v>0</v>
      </c>
      <c r="W61" s="362">
        <f>'By Zone Charges'!R33</f>
        <v>0</v>
      </c>
      <c r="X61" s="362">
        <f>'By Zone Charges'!S33</f>
        <v>0</v>
      </c>
      <c r="Y61" s="362">
        <f>'By Zone Charges'!T33</f>
        <v>0</v>
      </c>
    </row>
    <row r="62" spans="1:25" x14ac:dyDescent="0.35">
      <c r="A62">
        <v>61</v>
      </c>
      <c r="B62" t="s">
        <v>1350</v>
      </c>
      <c r="C62" t="s">
        <v>946</v>
      </c>
      <c r="D62" t="s">
        <v>14</v>
      </c>
      <c r="E62" t="s">
        <v>1514</v>
      </c>
      <c r="F62" t="s">
        <v>1513</v>
      </c>
      <c r="G62" s="425" t="s">
        <v>1537</v>
      </c>
      <c r="H62" s="357">
        <v>240</v>
      </c>
      <c r="I62" s="357"/>
      <c r="J62" s="357">
        <v>15</v>
      </c>
      <c r="K62" s="357"/>
      <c r="L62" s="357">
        <v>255</v>
      </c>
      <c r="M62" s="357"/>
      <c r="N62" s="360">
        <f>'By Zone Charges'!L35</f>
        <v>0</v>
      </c>
      <c r="O62" s="360">
        <f>'By Zone Charges'!M35</f>
        <v>0</v>
      </c>
      <c r="P62" s="362">
        <f>'By Zone Charges'!N35</f>
        <v>255</v>
      </c>
      <c r="Q62" s="362"/>
      <c r="R62" s="362">
        <f>'By Zone Charges'!O35</f>
        <v>0</v>
      </c>
      <c r="S62" s="362"/>
      <c r="T62" s="362">
        <f>'By Zone Charges'!P35</f>
        <v>255</v>
      </c>
      <c r="U62" s="362"/>
      <c r="V62" s="364">
        <f>'By Zone Charges'!Q35</f>
        <v>0</v>
      </c>
      <c r="W62" s="362">
        <f>'By Zone Charges'!R35</f>
        <v>0</v>
      </c>
      <c r="X62" s="362">
        <f>'By Zone Charges'!S35</f>
        <v>0</v>
      </c>
      <c r="Y62" s="362">
        <f>'By Zone Charges'!T35</f>
        <v>0</v>
      </c>
    </row>
    <row r="63" spans="1:25" x14ac:dyDescent="0.35">
      <c r="A63">
        <v>62</v>
      </c>
      <c r="B63" t="s">
        <v>1350</v>
      </c>
      <c r="C63" t="s">
        <v>946</v>
      </c>
      <c r="D63" t="s">
        <v>14</v>
      </c>
      <c r="E63" t="s">
        <v>1514</v>
      </c>
      <c r="F63" t="s">
        <v>1513</v>
      </c>
      <c r="G63" s="425" t="s">
        <v>1538</v>
      </c>
      <c r="H63" s="357">
        <v>260</v>
      </c>
      <c r="I63" s="357"/>
      <c r="J63" s="357">
        <v>15</v>
      </c>
      <c r="K63" s="357"/>
      <c r="L63" s="357">
        <v>275</v>
      </c>
      <c r="M63" s="357"/>
      <c r="N63" s="360">
        <f>'By Zone Charges'!L36</f>
        <v>0</v>
      </c>
      <c r="O63" s="360">
        <f>'By Zone Charges'!M36</f>
        <v>0</v>
      </c>
      <c r="P63" s="362">
        <f>'By Zone Charges'!N36</f>
        <v>275</v>
      </c>
      <c r="Q63" s="362"/>
      <c r="R63" s="362">
        <f>'By Zone Charges'!O36</f>
        <v>0</v>
      </c>
      <c r="S63" s="362"/>
      <c r="T63" s="362">
        <f>'By Zone Charges'!P36</f>
        <v>275</v>
      </c>
      <c r="U63" s="362"/>
      <c r="V63" s="364">
        <f>'By Zone Charges'!Q36</f>
        <v>0</v>
      </c>
      <c r="W63" s="362">
        <f>'By Zone Charges'!R36</f>
        <v>0</v>
      </c>
      <c r="X63" s="362">
        <f>'By Zone Charges'!S36</f>
        <v>0</v>
      </c>
      <c r="Y63" s="362">
        <f>'By Zone Charges'!T36</f>
        <v>0</v>
      </c>
    </row>
    <row r="64" spans="1:25" x14ac:dyDescent="0.35">
      <c r="A64">
        <v>63</v>
      </c>
      <c r="B64" t="s">
        <v>1350</v>
      </c>
      <c r="C64" t="s">
        <v>946</v>
      </c>
      <c r="D64" t="s">
        <v>14</v>
      </c>
      <c r="E64" t="s">
        <v>1514</v>
      </c>
      <c r="F64" t="s">
        <v>1513</v>
      </c>
      <c r="G64" s="425" t="s">
        <v>1539</v>
      </c>
      <c r="H64" s="357">
        <v>297.5</v>
      </c>
      <c r="I64" s="357"/>
      <c r="J64" s="357">
        <v>22.5</v>
      </c>
      <c r="K64" s="357"/>
      <c r="L64" s="357">
        <v>320</v>
      </c>
      <c r="M64" s="357"/>
      <c r="N64" s="360">
        <f>'By Zone Charges'!L37</f>
        <v>0</v>
      </c>
      <c r="O64" s="360">
        <f>'By Zone Charges'!M37</f>
        <v>0</v>
      </c>
      <c r="P64" s="362">
        <f>'By Zone Charges'!N37</f>
        <v>320</v>
      </c>
      <c r="Q64" s="362"/>
      <c r="R64" s="362">
        <f>'By Zone Charges'!O37</f>
        <v>0</v>
      </c>
      <c r="S64" s="362"/>
      <c r="T64" s="362">
        <f>'By Zone Charges'!P37</f>
        <v>320</v>
      </c>
      <c r="U64" s="362"/>
      <c r="V64" s="364">
        <f>'By Zone Charges'!Q37</f>
        <v>0</v>
      </c>
      <c r="W64" s="362">
        <f>'By Zone Charges'!R37</f>
        <v>0</v>
      </c>
      <c r="X64" s="362">
        <f>'By Zone Charges'!S37</f>
        <v>0</v>
      </c>
      <c r="Y64" s="362">
        <f>'By Zone Charges'!T37</f>
        <v>0</v>
      </c>
    </row>
    <row r="65" spans="1:25" x14ac:dyDescent="0.35">
      <c r="A65">
        <v>64</v>
      </c>
      <c r="B65" t="s">
        <v>1350</v>
      </c>
      <c r="C65" t="s">
        <v>946</v>
      </c>
      <c r="D65" t="s">
        <v>14</v>
      </c>
      <c r="E65" t="s">
        <v>1514</v>
      </c>
      <c r="F65" t="s">
        <v>1513</v>
      </c>
      <c r="G65" s="425" t="s">
        <v>1540</v>
      </c>
      <c r="H65" s="357">
        <v>305</v>
      </c>
      <c r="I65" s="357"/>
      <c r="J65" s="357">
        <v>25</v>
      </c>
      <c r="K65" s="357"/>
      <c r="L65" s="357">
        <v>330</v>
      </c>
      <c r="M65" s="357"/>
      <c r="N65" s="360">
        <f>'By Zone Charges'!L38</f>
        <v>0</v>
      </c>
      <c r="O65" s="360">
        <f>'By Zone Charges'!M38</f>
        <v>0</v>
      </c>
      <c r="P65" s="362">
        <f>'By Zone Charges'!N38</f>
        <v>330</v>
      </c>
      <c r="Q65" s="362"/>
      <c r="R65" s="362">
        <f>'By Zone Charges'!O38</f>
        <v>0</v>
      </c>
      <c r="S65" s="362"/>
      <c r="T65" s="362">
        <f>'By Zone Charges'!P38</f>
        <v>330</v>
      </c>
      <c r="U65" s="362"/>
      <c r="V65" s="364">
        <f>'By Zone Charges'!Q38</f>
        <v>0</v>
      </c>
      <c r="W65" s="362">
        <f>'By Zone Charges'!R38</f>
        <v>0</v>
      </c>
      <c r="X65" s="362">
        <f>'By Zone Charges'!S38</f>
        <v>0</v>
      </c>
      <c r="Y65" s="362">
        <f>'By Zone Charges'!T38</f>
        <v>0</v>
      </c>
    </row>
    <row r="66" spans="1:25" x14ac:dyDescent="0.35">
      <c r="A66">
        <v>65</v>
      </c>
      <c r="B66" t="s">
        <v>1350</v>
      </c>
      <c r="C66" t="s">
        <v>946</v>
      </c>
      <c r="D66" t="s">
        <v>15</v>
      </c>
      <c r="E66" t="s">
        <v>1514</v>
      </c>
      <c r="F66" t="s">
        <v>1512</v>
      </c>
      <c r="G66" s="425" t="s">
        <v>1449</v>
      </c>
      <c r="H66" s="357">
        <v>240</v>
      </c>
      <c r="I66" s="357"/>
      <c r="J66" s="357">
        <v>15</v>
      </c>
      <c r="K66" s="357"/>
      <c r="L66" s="357">
        <v>255</v>
      </c>
      <c r="M66" s="357"/>
      <c r="N66" s="360">
        <f>'By Zone Charges'!L40</f>
        <v>0</v>
      </c>
      <c r="O66" s="360">
        <f>'By Zone Charges'!M40</f>
        <v>0</v>
      </c>
      <c r="P66" s="362">
        <f>'By Zone Charges'!N40</f>
        <v>255</v>
      </c>
      <c r="Q66" s="362"/>
      <c r="R66" s="362">
        <f>'By Zone Charges'!O40</f>
        <v>0</v>
      </c>
      <c r="S66" s="362"/>
      <c r="T66" s="362">
        <f>'By Zone Charges'!P40</f>
        <v>255</v>
      </c>
      <c r="U66" s="362"/>
      <c r="V66" s="364">
        <f>'By Zone Charges'!Q40</f>
        <v>0</v>
      </c>
      <c r="W66" s="362">
        <f>'By Zone Charges'!R40</f>
        <v>0</v>
      </c>
      <c r="X66" s="362">
        <f>'By Zone Charges'!S40</f>
        <v>0</v>
      </c>
      <c r="Y66" s="362">
        <f>'By Zone Charges'!T40</f>
        <v>0</v>
      </c>
    </row>
    <row r="67" spans="1:25" x14ac:dyDescent="0.35">
      <c r="A67">
        <v>66</v>
      </c>
      <c r="B67" t="s">
        <v>1350</v>
      </c>
      <c r="C67" t="s">
        <v>946</v>
      </c>
      <c r="D67" t="s">
        <v>15</v>
      </c>
      <c r="E67" t="s">
        <v>1514</v>
      </c>
      <c r="F67" t="s">
        <v>1512</v>
      </c>
      <c r="G67" s="425" t="s">
        <v>1450</v>
      </c>
      <c r="H67" s="357">
        <v>260</v>
      </c>
      <c r="I67" s="357"/>
      <c r="J67" s="357">
        <v>15</v>
      </c>
      <c r="K67" s="357"/>
      <c r="L67" s="357">
        <v>275</v>
      </c>
      <c r="M67" s="357"/>
      <c r="N67" s="360">
        <f>'By Zone Charges'!L41</f>
        <v>0</v>
      </c>
      <c r="O67" s="360">
        <f>'By Zone Charges'!M41</f>
        <v>0</v>
      </c>
      <c r="P67" s="362">
        <f>'By Zone Charges'!N41</f>
        <v>275</v>
      </c>
      <c r="Q67" s="362"/>
      <c r="R67" s="362">
        <f>'By Zone Charges'!O41</f>
        <v>0</v>
      </c>
      <c r="S67" s="362"/>
      <c r="T67" s="362">
        <f>'By Zone Charges'!P41</f>
        <v>275</v>
      </c>
      <c r="U67" s="362"/>
      <c r="V67" s="364">
        <f>'By Zone Charges'!Q41</f>
        <v>0</v>
      </c>
      <c r="W67" s="362">
        <f>'By Zone Charges'!R41</f>
        <v>0</v>
      </c>
      <c r="X67" s="362">
        <f>'By Zone Charges'!S41</f>
        <v>0</v>
      </c>
      <c r="Y67" s="362">
        <f>'By Zone Charges'!T41</f>
        <v>0</v>
      </c>
    </row>
    <row r="68" spans="1:25" x14ac:dyDescent="0.35">
      <c r="A68">
        <v>67</v>
      </c>
      <c r="B68" t="s">
        <v>1350</v>
      </c>
      <c r="C68" t="s">
        <v>946</v>
      </c>
      <c r="D68" t="s">
        <v>15</v>
      </c>
      <c r="E68" t="s">
        <v>1514</v>
      </c>
      <c r="F68" t="s">
        <v>1512</v>
      </c>
      <c r="G68" s="425" t="s">
        <v>1451</v>
      </c>
      <c r="H68" s="357">
        <v>297.5</v>
      </c>
      <c r="I68" s="357"/>
      <c r="J68" s="357">
        <v>22.5</v>
      </c>
      <c r="K68" s="357"/>
      <c r="L68" s="357">
        <v>320</v>
      </c>
      <c r="M68" s="357"/>
      <c r="N68" s="360">
        <f>'By Zone Charges'!L42</f>
        <v>0</v>
      </c>
      <c r="O68" s="360">
        <f>'By Zone Charges'!M42</f>
        <v>0</v>
      </c>
      <c r="P68" s="362">
        <f>'By Zone Charges'!N42</f>
        <v>320</v>
      </c>
      <c r="Q68" s="362"/>
      <c r="R68" s="362">
        <f>'By Zone Charges'!O42</f>
        <v>0</v>
      </c>
      <c r="S68" s="362"/>
      <c r="T68" s="362">
        <f>'By Zone Charges'!P42</f>
        <v>320</v>
      </c>
      <c r="U68" s="362"/>
      <c r="V68" s="364">
        <f>'By Zone Charges'!Q42</f>
        <v>0</v>
      </c>
      <c r="W68" s="362">
        <f>'By Zone Charges'!R42</f>
        <v>0</v>
      </c>
      <c r="X68" s="362">
        <f>'By Zone Charges'!S42</f>
        <v>0</v>
      </c>
      <c r="Y68" s="362">
        <f>'By Zone Charges'!T42</f>
        <v>0</v>
      </c>
    </row>
    <row r="69" spans="1:25" x14ac:dyDescent="0.35">
      <c r="A69">
        <v>68</v>
      </c>
      <c r="B69" t="s">
        <v>1350</v>
      </c>
      <c r="C69" t="s">
        <v>946</v>
      </c>
      <c r="D69" t="s">
        <v>15</v>
      </c>
      <c r="E69" t="s">
        <v>1514</v>
      </c>
      <c r="F69" t="s">
        <v>1512</v>
      </c>
      <c r="G69" s="425" t="s">
        <v>1452</v>
      </c>
      <c r="H69" s="357">
        <v>305</v>
      </c>
      <c r="I69" s="357"/>
      <c r="J69" s="357">
        <v>25</v>
      </c>
      <c r="K69" s="357"/>
      <c r="L69" s="357">
        <v>330</v>
      </c>
      <c r="M69" s="357"/>
      <c r="N69" s="360">
        <f>'By Zone Charges'!L43</f>
        <v>0</v>
      </c>
      <c r="O69" s="360">
        <f>'By Zone Charges'!M43</f>
        <v>0</v>
      </c>
      <c r="P69" s="362">
        <f>'By Zone Charges'!N43</f>
        <v>330</v>
      </c>
      <c r="Q69" s="362"/>
      <c r="R69" s="362">
        <f>'By Zone Charges'!O43</f>
        <v>0</v>
      </c>
      <c r="S69" s="362"/>
      <c r="T69" s="362">
        <f>'By Zone Charges'!P43</f>
        <v>330</v>
      </c>
      <c r="U69" s="362"/>
      <c r="V69" s="364">
        <f>'By Zone Charges'!Q43</f>
        <v>0</v>
      </c>
      <c r="W69" s="362">
        <f>'By Zone Charges'!R43</f>
        <v>0</v>
      </c>
      <c r="X69" s="362">
        <f>'By Zone Charges'!S43</f>
        <v>0</v>
      </c>
      <c r="Y69" s="362">
        <f>'By Zone Charges'!T43</f>
        <v>0</v>
      </c>
    </row>
    <row r="70" spans="1:25" x14ac:dyDescent="0.35">
      <c r="A70">
        <v>69</v>
      </c>
      <c r="B70" t="s">
        <v>1350</v>
      </c>
      <c r="C70" t="s">
        <v>946</v>
      </c>
      <c r="D70" t="s">
        <v>15</v>
      </c>
      <c r="E70" t="s">
        <v>1514</v>
      </c>
      <c r="F70" t="s">
        <v>1432</v>
      </c>
      <c r="G70" s="425" t="s">
        <v>1453</v>
      </c>
      <c r="H70" s="357">
        <v>240</v>
      </c>
      <c r="I70" s="357"/>
      <c r="J70" s="357">
        <v>15</v>
      </c>
      <c r="K70" s="357"/>
      <c r="L70" s="357">
        <v>255</v>
      </c>
      <c r="M70" s="357"/>
      <c r="N70" s="360">
        <f>'By Zone Charges'!L45</f>
        <v>0</v>
      </c>
      <c r="O70" s="360">
        <f>'By Zone Charges'!M45</f>
        <v>0</v>
      </c>
      <c r="P70" s="362">
        <f>'By Zone Charges'!N45</f>
        <v>255</v>
      </c>
      <c r="Q70" s="362"/>
      <c r="R70" s="362">
        <f>'By Zone Charges'!O45</f>
        <v>0</v>
      </c>
      <c r="S70" s="362"/>
      <c r="T70" s="362">
        <f>'By Zone Charges'!P45</f>
        <v>255</v>
      </c>
      <c r="U70" s="362"/>
      <c r="V70" s="364">
        <f>'By Zone Charges'!Q45</f>
        <v>0</v>
      </c>
      <c r="W70" s="362">
        <f>'By Zone Charges'!R45</f>
        <v>0</v>
      </c>
      <c r="X70" s="362">
        <f>'By Zone Charges'!S45</f>
        <v>0</v>
      </c>
      <c r="Y70" s="362">
        <f>'By Zone Charges'!T45</f>
        <v>0</v>
      </c>
    </row>
    <row r="71" spans="1:25" x14ac:dyDescent="0.35">
      <c r="A71">
        <v>70</v>
      </c>
      <c r="B71" t="s">
        <v>1350</v>
      </c>
      <c r="C71" t="s">
        <v>946</v>
      </c>
      <c r="D71" t="s">
        <v>15</v>
      </c>
      <c r="E71" t="s">
        <v>1514</v>
      </c>
      <c r="F71" t="s">
        <v>1432</v>
      </c>
      <c r="G71" s="425" t="s">
        <v>1454</v>
      </c>
      <c r="H71" s="357">
        <v>260</v>
      </c>
      <c r="I71" s="357"/>
      <c r="J71" s="357">
        <v>15</v>
      </c>
      <c r="K71" s="357"/>
      <c r="L71" s="357">
        <v>275</v>
      </c>
      <c r="M71" s="357"/>
      <c r="N71" s="360">
        <f>'By Zone Charges'!L46</f>
        <v>0</v>
      </c>
      <c r="O71" s="360">
        <f>'By Zone Charges'!M46</f>
        <v>0</v>
      </c>
      <c r="P71" s="362">
        <f>'By Zone Charges'!N46</f>
        <v>275</v>
      </c>
      <c r="Q71" s="362"/>
      <c r="R71" s="362">
        <f>'By Zone Charges'!O46</f>
        <v>0</v>
      </c>
      <c r="S71" s="362"/>
      <c r="T71" s="362">
        <f>'By Zone Charges'!P46</f>
        <v>275</v>
      </c>
      <c r="U71" s="362"/>
      <c r="V71" s="364">
        <f>'By Zone Charges'!Q46</f>
        <v>0</v>
      </c>
      <c r="W71" s="362">
        <f>'By Zone Charges'!R46</f>
        <v>0</v>
      </c>
      <c r="X71" s="362">
        <f>'By Zone Charges'!S46</f>
        <v>0</v>
      </c>
      <c r="Y71" s="362">
        <f>'By Zone Charges'!T46</f>
        <v>0</v>
      </c>
    </row>
    <row r="72" spans="1:25" x14ac:dyDescent="0.35">
      <c r="A72">
        <v>71</v>
      </c>
      <c r="B72" t="s">
        <v>1350</v>
      </c>
      <c r="C72" t="s">
        <v>946</v>
      </c>
      <c r="D72" t="s">
        <v>15</v>
      </c>
      <c r="E72" t="s">
        <v>1514</v>
      </c>
      <c r="F72" t="s">
        <v>1432</v>
      </c>
      <c r="G72" s="425" t="s">
        <v>1455</v>
      </c>
      <c r="H72" s="357">
        <v>297.5</v>
      </c>
      <c r="I72" s="357"/>
      <c r="J72" s="357">
        <v>22.5</v>
      </c>
      <c r="K72" s="357"/>
      <c r="L72" s="357">
        <v>320</v>
      </c>
      <c r="M72" s="357"/>
      <c r="N72" s="360">
        <f>'By Zone Charges'!L47</f>
        <v>0</v>
      </c>
      <c r="O72" s="360">
        <f>'By Zone Charges'!M47</f>
        <v>0</v>
      </c>
      <c r="P72" s="362">
        <f>'By Zone Charges'!N47</f>
        <v>320</v>
      </c>
      <c r="Q72" s="362"/>
      <c r="R72" s="362">
        <f>'By Zone Charges'!O47</f>
        <v>0</v>
      </c>
      <c r="S72" s="362"/>
      <c r="T72" s="362">
        <f>'By Zone Charges'!P47</f>
        <v>320</v>
      </c>
      <c r="U72" s="362"/>
      <c r="V72" s="364">
        <f>'By Zone Charges'!Q47</f>
        <v>0</v>
      </c>
      <c r="W72" s="362">
        <f>'By Zone Charges'!R47</f>
        <v>0</v>
      </c>
      <c r="X72" s="362">
        <f>'By Zone Charges'!S47</f>
        <v>0</v>
      </c>
      <c r="Y72" s="362">
        <f>'By Zone Charges'!T47</f>
        <v>0</v>
      </c>
    </row>
    <row r="73" spans="1:25" x14ac:dyDescent="0.35">
      <c r="A73">
        <v>72</v>
      </c>
      <c r="B73" t="s">
        <v>1350</v>
      </c>
      <c r="C73" t="s">
        <v>946</v>
      </c>
      <c r="D73" t="s">
        <v>15</v>
      </c>
      <c r="E73" t="s">
        <v>1514</v>
      </c>
      <c r="F73" t="s">
        <v>1432</v>
      </c>
      <c r="G73" s="425" t="s">
        <v>1456</v>
      </c>
      <c r="H73" s="357">
        <v>305</v>
      </c>
      <c r="I73" s="357"/>
      <c r="J73" s="357">
        <v>25</v>
      </c>
      <c r="K73" s="357"/>
      <c r="L73" s="357">
        <v>330</v>
      </c>
      <c r="M73" s="357"/>
      <c r="N73" s="360">
        <f>'By Zone Charges'!L48</f>
        <v>0</v>
      </c>
      <c r="O73" s="360">
        <f>'By Zone Charges'!M48</f>
        <v>0</v>
      </c>
      <c r="P73" s="362">
        <f>'By Zone Charges'!N48</f>
        <v>330</v>
      </c>
      <c r="Q73" s="362"/>
      <c r="R73" s="362">
        <f>'By Zone Charges'!O48</f>
        <v>0</v>
      </c>
      <c r="S73" s="362"/>
      <c r="T73" s="362">
        <f>'By Zone Charges'!P48</f>
        <v>330</v>
      </c>
      <c r="U73" s="362"/>
      <c r="V73" s="364">
        <f>'By Zone Charges'!Q48</f>
        <v>0</v>
      </c>
      <c r="W73" s="362">
        <f>'By Zone Charges'!R48</f>
        <v>0</v>
      </c>
      <c r="X73" s="362">
        <f>'By Zone Charges'!S48</f>
        <v>0</v>
      </c>
      <c r="Y73" s="362">
        <f>'By Zone Charges'!T48</f>
        <v>0</v>
      </c>
    </row>
    <row r="74" spans="1:25" x14ac:dyDescent="0.35">
      <c r="A74">
        <v>73</v>
      </c>
      <c r="B74" t="s">
        <v>1351</v>
      </c>
      <c r="C74" t="s">
        <v>946</v>
      </c>
      <c r="D74" t="s">
        <v>14</v>
      </c>
      <c r="E74" t="s">
        <v>66</v>
      </c>
      <c r="F74" t="s">
        <v>922</v>
      </c>
      <c r="G74" s="425" t="s">
        <v>1525</v>
      </c>
      <c r="H74" s="357">
        <v>28</v>
      </c>
      <c r="I74" s="357"/>
      <c r="J74" s="357">
        <v>1.5</v>
      </c>
      <c r="K74" s="357"/>
      <c r="L74" s="357">
        <v>29.5</v>
      </c>
      <c r="M74" s="357"/>
      <c r="N74" s="361">
        <f>'By Zone Charges'!U5</f>
        <v>0</v>
      </c>
      <c r="O74" s="361">
        <f>'By Zone Charges'!V5</f>
        <v>0</v>
      </c>
      <c r="P74" s="358">
        <f>'By Zone Charges'!W5</f>
        <v>29.5</v>
      </c>
      <c r="R74" s="358">
        <f>'By Zone Charges'!X5</f>
        <v>0</v>
      </c>
      <c r="T74" s="358">
        <f>'By Zone Charges'!Y5</f>
        <v>29.5</v>
      </c>
      <c r="V74" s="365">
        <f>'By Zone Charges'!Z5</f>
        <v>0</v>
      </c>
      <c r="W74" s="358">
        <f>'By Zone Charges'!AA5</f>
        <v>0</v>
      </c>
      <c r="X74" s="358">
        <f>'By Zone Charges'!AB5</f>
        <v>0</v>
      </c>
      <c r="Y74" s="358">
        <f>'By Zone Charges'!AC5</f>
        <v>0</v>
      </c>
    </row>
    <row r="75" spans="1:25" x14ac:dyDescent="0.35">
      <c r="A75">
        <v>74</v>
      </c>
      <c r="B75" t="s">
        <v>1351</v>
      </c>
      <c r="C75" t="s">
        <v>946</v>
      </c>
      <c r="D75" t="s">
        <v>14</v>
      </c>
      <c r="E75" t="s">
        <v>66</v>
      </c>
      <c r="F75" t="s">
        <v>922</v>
      </c>
      <c r="G75" s="425" t="s">
        <v>1526</v>
      </c>
      <c r="H75" s="357">
        <v>31</v>
      </c>
      <c r="I75" s="357"/>
      <c r="J75" s="357">
        <v>1.75</v>
      </c>
      <c r="K75" s="357"/>
      <c r="L75" s="357">
        <v>32.75</v>
      </c>
      <c r="M75" s="357"/>
      <c r="N75" s="361">
        <f>'By Zone Charges'!U6</f>
        <v>0</v>
      </c>
      <c r="O75" s="361">
        <f>'By Zone Charges'!V6</f>
        <v>0</v>
      </c>
      <c r="P75" s="358">
        <f>'By Zone Charges'!W6</f>
        <v>32.75</v>
      </c>
      <c r="R75" s="358">
        <f>'By Zone Charges'!X6</f>
        <v>0</v>
      </c>
      <c r="T75" s="358">
        <f>'By Zone Charges'!Y6</f>
        <v>32.75</v>
      </c>
      <c r="V75" s="365">
        <f>'By Zone Charges'!Z6</f>
        <v>0</v>
      </c>
      <c r="W75" s="358">
        <f>'By Zone Charges'!AA6</f>
        <v>0</v>
      </c>
      <c r="X75" s="358">
        <f>'By Zone Charges'!AB6</f>
        <v>0</v>
      </c>
      <c r="Y75" s="358">
        <f>'By Zone Charges'!AC6</f>
        <v>0</v>
      </c>
    </row>
    <row r="76" spans="1:25" x14ac:dyDescent="0.35">
      <c r="A76">
        <v>75</v>
      </c>
      <c r="B76" t="s">
        <v>1351</v>
      </c>
      <c r="C76" t="s">
        <v>946</v>
      </c>
      <c r="D76" t="s">
        <v>14</v>
      </c>
      <c r="E76" t="s">
        <v>66</v>
      </c>
      <c r="F76" t="s">
        <v>922</v>
      </c>
      <c r="G76" s="425" t="s">
        <v>1527</v>
      </c>
      <c r="H76" s="357">
        <v>36</v>
      </c>
      <c r="I76" s="357"/>
      <c r="J76" s="357">
        <v>2.5</v>
      </c>
      <c r="K76" s="357"/>
      <c r="L76" s="357">
        <v>38.5</v>
      </c>
      <c r="M76" s="357"/>
      <c r="N76" s="361">
        <f>'By Zone Charges'!U7</f>
        <v>0</v>
      </c>
      <c r="O76" s="361">
        <f>'By Zone Charges'!V7</f>
        <v>0</v>
      </c>
      <c r="P76" s="358">
        <f>'By Zone Charges'!W7</f>
        <v>38.5</v>
      </c>
      <c r="R76" s="358">
        <f>'By Zone Charges'!X7</f>
        <v>0</v>
      </c>
      <c r="T76" s="358">
        <f>'By Zone Charges'!Y7</f>
        <v>38.5</v>
      </c>
      <c r="V76" s="365">
        <f>'By Zone Charges'!Z7</f>
        <v>0</v>
      </c>
      <c r="W76" s="358">
        <f>'By Zone Charges'!AA7</f>
        <v>0</v>
      </c>
      <c r="X76" s="358">
        <f>'By Zone Charges'!AB7</f>
        <v>0</v>
      </c>
      <c r="Y76" s="358">
        <f>'By Zone Charges'!AC7</f>
        <v>0</v>
      </c>
    </row>
    <row r="77" spans="1:25" x14ac:dyDescent="0.35">
      <c r="A77">
        <v>76</v>
      </c>
      <c r="B77" t="s">
        <v>1351</v>
      </c>
      <c r="C77" t="s">
        <v>946</v>
      </c>
      <c r="D77" t="s">
        <v>14</v>
      </c>
      <c r="E77" t="s">
        <v>66</v>
      </c>
      <c r="F77" t="s">
        <v>922</v>
      </c>
      <c r="G77" s="425" t="s">
        <v>1528</v>
      </c>
      <c r="H77" s="357">
        <v>38</v>
      </c>
      <c r="I77" s="357"/>
      <c r="J77" s="357">
        <v>2.75</v>
      </c>
      <c r="K77" s="357"/>
      <c r="L77" s="357">
        <v>40.75</v>
      </c>
      <c r="M77" s="357"/>
      <c r="N77" s="361">
        <f>'By Zone Charges'!U8</f>
        <v>0</v>
      </c>
      <c r="O77" s="361">
        <f>'By Zone Charges'!V8</f>
        <v>0</v>
      </c>
      <c r="P77" s="358">
        <f>'By Zone Charges'!W8</f>
        <v>40.75</v>
      </c>
      <c r="R77" s="358">
        <f>'By Zone Charges'!X8</f>
        <v>0</v>
      </c>
      <c r="T77" s="358">
        <f>'By Zone Charges'!Y8</f>
        <v>40.75</v>
      </c>
      <c r="V77" s="365">
        <f>'By Zone Charges'!Z8</f>
        <v>0</v>
      </c>
      <c r="W77" s="358">
        <f>'By Zone Charges'!AA8</f>
        <v>0</v>
      </c>
      <c r="X77" s="358">
        <f>'By Zone Charges'!AB8</f>
        <v>0</v>
      </c>
      <c r="Y77" s="358">
        <f>'By Zone Charges'!AC8</f>
        <v>0</v>
      </c>
    </row>
    <row r="78" spans="1:25" x14ac:dyDescent="0.35">
      <c r="A78">
        <v>77</v>
      </c>
      <c r="B78" t="s">
        <v>1351</v>
      </c>
      <c r="C78" t="s">
        <v>946</v>
      </c>
      <c r="D78" t="s">
        <v>14</v>
      </c>
      <c r="E78" t="s">
        <v>66</v>
      </c>
      <c r="F78" t="s">
        <v>925</v>
      </c>
      <c r="G78" s="425" t="s">
        <v>1529</v>
      </c>
      <c r="H78" s="357">
        <v>43.5</v>
      </c>
      <c r="I78" s="357"/>
      <c r="J78" s="357">
        <v>2.5</v>
      </c>
      <c r="K78" s="357"/>
      <c r="L78" s="357">
        <v>46</v>
      </c>
      <c r="M78" s="357"/>
      <c r="N78" s="361">
        <f>'By Zone Charges'!U10</f>
        <v>0</v>
      </c>
      <c r="O78" s="361">
        <f>'By Zone Charges'!V10</f>
        <v>0</v>
      </c>
      <c r="P78" s="358">
        <f>'By Zone Charges'!W10</f>
        <v>46</v>
      </c>
      <c r="R78" s="358">
        <f>'By Zone Charges'!X10</f>
        <v>0</v>
      </c>
      <c r="T78" s="358">
        <f>'By Zone Charges'!Y10</f>
        <v>46</v>
      </c>
      <c r="V78" s="365">
        <f>'By Zone Charges'!Z10</f>
        <v>0</v>
      </c>
      <c r="W78" s="358">
        <f>'By Zone Charges'!AA10</f>
        <v>0</v>
      </c>
      <c r="X78" s="358">
        <f>'By Zone Charges'!AB10</f>
        <v>0</v>
      </c>
      <c r="Y78" s="358">
        <f>'By Zone Charges'!AC10</f>
        <v>0</v>
      </c>
    </row>
    <row r="79" spans="1:25" x14ac:dyDescent="0.35">
      <c r="A79">
        <v>78</v>
      </c>
      <c r="B79" t="s">
        <v>1351</v>
      </c>
      <c r="C79" t="s">
        <v>946</v>
      </c>
      <c r="D79" t="s">
        <v>14</v>
      </c>
      <c r="E79" t="s">
        <v>66</v>
      </c>
      <c r="F79" t="s">
        <v>925</v>
      </c>
      <c r="G79" s="425" t="s">
        <v>1530</v>
      </c>
      <c r="H79" s="357">
        <v>47.5</v>
      </c>
      <c r="I79" s="357"/>
      <c r="J79" s="357">
        <v>2.75</v>
      </c>
      <c r="K79" s="357"/>
      <c r="L79" s="357">
        <v>50.25</v>
      </c>
      <c r="M79" s="357"/>
      <c r="N79" s="361">
        <f>'By Zone Charges'!U11</f>
        <v>0</v>
      </c>
      <c r="O79" s="361">
        <f>'By Zone Charges'!V11</f>
        <v>0</v>
      </c>
      <c r="P79" s="358">
        <f>'By Zone Charges'!W11</f>
        <v>50.25</v>
      </c>
      <c r="R79" s="358">
        <f>'By Zone Charges'!X11</f>
        <v>0</v>
      </c>
      <c r="T79" s="358">
        <f>'By Zone Charges'!Y11</f>
        <v>50.25</v>
      </c>
      <c r="V79" s="365">
        <f>'By Zone Charges'!Z11</f>
        <v>0</v>
      </c>
      <c r="W79" s="358">
        <f>'By Zone Charges'!AA11</f>
        <v>0</v>
      </c>
      <c r="X79" s="358">
        <f>'By Zone Charges'!AB11</f>
        <v>0</v>
      </c>
      <c r="Y79" s="358">
        <f>'By Zone Charges'!AC11</f>
        <v>0</v>
      </c>
    </row>
    <row r="80" spans="1:25" x14ac:dyDescent="0.35">
      <c r="A80">
        <v>79</v>
      </c>
      <c r="B80" t="s">
        <v>1351</v>
      </c>
      <c r="C80" t="s">
        <v>946</v>
      </c>
      <c r="D80" t="s">
        <v>14</v>
      </c>
      <c r="E80" t="s">
        <v>66</v>
      </c>
      <c r="F80" t="s">
        <v>925</v>
      </c>
      <c r="G80" s="425" t="s">
        <v>1531</v>
      </c>
      <c r="H80" s="357">
        <v>52.75</v>
      </c>
      <c r="I80" s="357"/>
      <c r="J80" s="357">
        <v>3.5</v>
      </c>
      <c r="K80" s="357"/>
      <c r="L80" s="357">
        <v>56.25</v>
      </c>
      <c r="M80" s="357"/>
      <c r="N80" s="361">
        <f>'By Zone Charges'!U12</f>
        <v>0</v>
      </c>
      <c r="O80" s="361">
        <f>'By Zone Charges'!V12</f>
        <v>0</v>
      </c>
      <c r="P80" s="358">
        <f>'By Zone Charges'!W12</f>
        <v>56.25</v>
      </c>
      <c r="R80" s="358">
        <f>'By Zone Charges'!X12</f>
        <v>0</v>
      </c>
      <c r="T80" s="358">
        <f>'By Zone Charges'!Y12</f>
        <v>56.25</v>
      </c>
      <c r="V80" s="365">
        <f>'By Zone Charges'!Z12</f>
        <v>0</v>
      </c>
      <c r="W80" s="358">
        <f>'By Zone Charges'!AA12</f>
        <v>0</v>
      </c>
      <c r="X80" s="358">
        <f>'By Zone Charges'!AB12</f>
        <v>0</v>
      </c>
      <c r="Y80" s="358">
        <f>'By Zone Charges'!AC12</f>
        <v>0</v>
      </c>
    </row>
    <row r="81" spans="1:25" x14ac:dyDescent="0.35">
      <c r="A81">
        <v>80</v>
      </c>
      <c r="B81" t="s">
        <v>1351</v>
      </c>
      <c r="C81" t="s">
        <v>946</v>
      </c>
      <c r="D81" t="s">
        <v>14</v>
      </c>
      <c r="E81" t="s">
        <v>66</v>
      </c>
      <c r="F81" t="s">
        <v>925</v>
      </c>
      <c r="G81" s="425" t="s">
        <v>1532</v>
      </c>
      <c r="H81" s="357">
        <v>55</v>
      </c>
      <c r="I81" s="357"/>
      <c r="J81" s="357">
        <v>3.75</v>
      </c>
      <c r="K81" s="357"/>
      <c r="L81" s="357">
        <v>58.75</v>
      </c>
      <c r="M81" s="357"/>
      <c r="N81" s="361">
        <f>'By Zone Charges'!U13</f>
        <v>0</v>
      </c>
      <c r="O81" s="361">
        <f>'By Zone Charges'!V13</f>
        <v>0</v>
      </c>
      <c r="P81" s="358">
        <f>'By Zone Charges'!W13</f>
        <v>58.75</v>
      </c>
      <c r="R81" s="358">
        <f>'By Zone Charges'!X13</f>
        <v>0</v>
      </c>
      <c r="T81" s="358">
        <f>'By Zone Charges'!Y13</f>
        <v>58.75</v>
      </c>
      <c r="V81" s="365">
        <f>'By Zone Charges'!Z13</f>
        <v>0</v>
      </c>
      <c r="W81" s="358">
        <f>'By Zone Charges'!AA13</f>
        <v>0</v>
      </c>
      <c r="X81" s="358">
        <f>'By Zone Charges'!AB13</f>
        <v>0</v>
      </c>
      <c r="Y81" s="358">
        <f>'By Zone Charges'!AC13</f>
        <v>0</v>
      </c>
    </row>
    <row r="82" spans="1:25" x14ac:dyDescent="0.35">
      <c r="A82">
        <v>81</v>
      </c>
      <c r="B82" t="s">
        <v>1351</v>
      </c>
      <c r="C82" t="s">
        <v>946</v>
      </c>
      <c r="D82" t="s">
        <v>14</v>
      </c>
      <c r="E82" t="s">
        <v>66</v>
      </c>
      <c r="F82" t="s">
        <v>926</v>
      </c>
      <c r="G82" s="425" t="s">
        <v>1533</v>
      </c>
      <c r="H82" s="357">
        <v>25</v>
      </c>
      <c r="I82" s="357"/>
      <c r="J82" s="357">
        <v>1.5</v>
      </c>
      <c r="K82" s="357"/>
      <c r="L82" s="357">
        <v>26.5</v>
      </c>
      <c r="M82" s="357"/>
      <c r="N82" s="361">
        <f>'By Zone Charges'!U15</f>
        <v>0</v>
      </c>
      <c r="O82" s="361">
        <f>'By Zone Charges'!V15</f>
        <v>0</v>
      </c>
      <c r="P82" s="358">
        <f>'By Zone Charges'!W15</f>
        <v>26.5</v>
      </c>
      <c r="R82" s="358">
        <f>'By Zone Charges'!X15</f>
        <v>0</v>
      </c>
      <c r="T82" s="358">
        <f>'By Zone Charges'!Y15</f>
        <v>26.5</v>
      </c>
      <c r="V82" s="365">
        <f>'By Zone Charges'!Z15</f>
        <v>0</v>
      </c>
      <c r="W82" s="358">
        <f>'By Zone Charges'!AA15</f>
        <v>0</v>
      </c>
      <c r="X82" s="358">
        <f>'By Zone Charges'!AB15</f>
        <v>0</v>
      </c>
      <c r="Y82" s="358">
        <f>'By Zone Charges'!AC15</f>
        <v>0</v>
      </c>
    </row>
    <row r="83" spans="1:25" x14ac:dyDescent="0.35">
      <c r="A83">
        <v>82</v>
      </c>
      <c r="B83" t="s">
        <v>1351</v>
      </c>
      <c r="C83" t="s">
        <v>946</v>
      </c>
      <c r="D83" t="s">
        <v>14</v>
      </c>
      <c r="E83" t="s">
        <v>66</v>
      </c>
      <c r="F83" t="s">
        <v>926</v>
      </c>
      <c r="G83" s="425" t="s">
        <v>1534</v>
      </c>
      <c r="H83" s="357">
        <v>29</v>
      </c>
      <c r="I83" s="357"/>
      <c r="J83" s="357">
        <v>1.75</v>
      </c>
      <c r="K83" s="357"/>
      <c r="L83" s="357">
        <v>30.75</v>
      </c>
      <c r="M83" s="357"/>
      <c r="N83" s="361">
        <f>'By Zone Charges'!U16</f>
        <v>0</v>
      </c>
      <c r="O83" s="361">
        <f>'By Zone Charges'!V16</f>
        <v>0</v>
      </c>
      <c r="P83" s="358">
        <f>'By Zone Charges'!W16</f>
        <v>30.75</v>
      </c>
      <c r="R83" s="358">
        <f>'By Zone Charges'!X16</f>
        <v>0</v>
      </c>
      <c r="T83" s="358">
        <f>'By Zone Charges'!Y16</f>
        <v>30.75</v>
      </c>
      <c r="V83" s="365">
        <f>'By Zone Charges'!Z16</f>
        <v>0</v>
      </c>
      <c r="W83" s="358">
        <f>'By Zone Charges'!AA16</f>
        <v>0</v>
      </c>
      <c r="X83" s="358">
        <f>'By Zone Charges'!AB16</f>
        <v>0</v>
      </c>
      <c r="Y83" s="358">
        <f>'By Zone Charges'!AC16</f>
        <v>0</v>
      </c>
    </row>
    <row r="84" spans="1:25" x14ac:dyDescent="0.35">
      <c r="A84">
        <v>83</v>
      </c>
      <c r="B84" t="s">
        <v>1351</v>
      </c>
      <c r="C84" t="s">
        <v>946</v>
      </c>
      <c r="D84" t="s">
        <v>14</v>
      </c>
      <c r="E84" t="s">
        <v>66</v>
      </c>
      <c r="F84" t="s">
        <v>926</v>
      </c>
      <c r="G84" s="425" t="s">
        <v>1535</v>
      </c>
      <c r="H84" s="357">
        <v>31</v>
      </c>
      <c r="I84" s="357"/>
      <c r="J84" s="357">
        <v>2</v>
      </c>
      <c r="K84" s="357"/>
      <c r="L84" s="357">
        <v>33</v>
      </c>
      <c r="M84" s="357"/>
      <c r="N84" s="361">
        <f>'By Zone Charges'!U17</f>
        <v>0</v>
      </c>
      <c r="O84" s="361">
        <f>'By Zone Charges'!V17</f>
        <v>0</v>
      </c>
      <c r="P84" s="358">
        <f>'By Zone Charges'!W17</f>
        <v>33</v>
      </c>
      <c r="R84" s="358">
        <f>'By Zone Charges'!X17</f>
        <v>0</v>
      </c>
      <c r="T84" s="358">
        <f>'By Zone Charges'!Y17</f>
        <v>33</v>
      </c>
      <c r="V84" s="365">
        <f>'By Zone Charges'!Z17</f>
        <v>0</v>
      </c>
      <c r="W84" s="358">
        <f>'By Zone Charges'!AA17</f>
        <v>0</v>
      </c>
      <c r="X84" s="358">
        <f>'By Zone Charges'!AB17</f>
        <v>0</v>
      </c>
      <c r="Y84" s="358">
        <f>'By Zone Charges'!AC17</f>
        <v>0</v>
      </c>
    </row>
    <row r="85" spans="1:25" x14ac:dyDescent="0.35">
      <c r="A85">
        <v>84</v>
      </c>
      <c r="B85" t="s">
        <v>1351</v>
      </c>
      <c r="C85" t="s">
        <v>946</v>
      </c>
      <c r="D85" t="s">
        <v>14</v>
      </c>
      <c r="E85" t="s">
        <v>66</v>
      </c>
      <c r="F85" t="s">
        <v>926</v>
      </c>
      <c r="G85" s="425" t="s">
        <v>1536</v>
      </c>
      <c r="H85" s="357">
        <v>31.5</v>
      </c>
      <c r="I85" s="357"/>
      <c r="J85" s="357">
        <v>2.25</v>
      </c>
      <c r="K85" s="357"/>
      <c r="L85" s="357">
        <v>33.75</v>
      </c>
      <c r="M85" s="357"/>
      <c r="N85" s="361">
        <f>'By Zone Charges'!U18</f>
        <v>0</v>
      </c>
      <c r="O85" s="361">
        <f>'By Zone Charges'!V18</f>
        <v>0</v>
      </c>
      <c r="P85" s="358">
        <f>'By Zone Charges'!W18</f>
        <v>33.75</v>
      </c>
      <c r="R85" s="358">
        <f>'By Zone Charges'!X18</f>
        <v>0</v>
      </c>
      <c r="T85" s="358">
        <f>'By Zone Charges'!Y18</f>
        <v>33.75</v>
      </c>
      <c r="V85" s="365">
        <f>'By Zone Charges'!Z18</f>
        <v>0</v>
      </c>
      <c r="W85" s="358">
        <f>'By Zone Charges'!AA18</f>
        <v>0</v>
      </c>
      <c r="X85" s="358">
        <f>'By Zone Charges'!AB18</f>
        <v>0</v>
      </c>
      <c r="Y85" s="358">
        <f>'By Zone Charges'!AC18</f>
        <v>0</v>
      </c>
    </row>
    <row r="86" spans="1:25" x14ac:dyDescent="0.35">
      <c r="A86">
        <v>85</v>
      </c>
      <c r="B86" t="s">
        <v>1351</v>
      </c>
      <c r="C86" t="s">
        <v>946</v>
      </c>
      <c r="D86" t="s">
        <v>15</v>
      </c>
      <c r="E86" t="s">
        <v>66</v>
      </c>
      <c r="F86" t="s">
        <v>927</v>
      </c>
      <c r="G86" s="425" t="s">
        <v>1433</v>
      </c>
      <c r="H86" s="357">
        <v>28</v>
      </c>
      <c r="I86" s="357"/>
      <c r="J86" s="357">
        <v>1.5</v>
      </c>
      <c r="K86" s="357"/>
      <c r="L86" s="357">
        <v>29.5</v>
      </c>
      <c r="M86" s="357"/>
      <c r="N86" s="361">
        <f>'By Zone Charges'!U20</f>
        <v>0</v>
      </c>
      <c r="O86" s="361">
        <f>'By Zone Charges'!V20</f>
        <v>0</v>
      </c>
      <c r="P86" s="358">
        <f>'By Zone Charges'!W20</f>
        <v>29.5</v>
      </c>
      <c r="R86" s="358">
        <f>'By Zone Charges'!X20</f>
        <v>0</v>
      </c>
      <c r="T86" s="358">
        <f>'By Zone Charges'!Y20</f>
        <v>29.5</v>
      </c>
      <c r="V86" s="365">
        <f>'By Zone Charges'!Z20</f>
        <v>0</v>
      </c>
      <c r="W86" s="358">
        <f>'By Zone Charges'!AA20</f>
        <v>0</v>
      </c>
      <c r="X86" s="358">
        <f>'By Zone Charges'!AB20</f>
        <v>0</v>
      </c>
      <c r="Y86" s="358">
        <f>'By Zone Charges'!AC20</f>
        <v>0</v>
      </c>
    </row>
    <row r="87" spans="1:25" x14ac:dyDescent="0.35">
      <c r="A87">
        <v>86</v>
      </c>
      <c r="B87" t="s">
        <v>1351</v>
      </c>
      <c r="C87" t="s">
        <v>946</v>
      </c>
      <c r="D87" t="s">
        <v>15</v>
      </c>
      <c r="E87" t="s">
        <v>66</v>
      </c>
      <c r="F87" t="s">
        <v>927</v>
      </c>
      <c r="G87" s="425" t="s">
        <v>1434</v>
      </c>
      <c r="H87" s="357">
        <v>31</v>
      </c>
      <c r="I87" s="357"/>
      <c r="J87" s="357">
        <v>1.75</v>
      </c>
      <c r="K87" s="357"/>
      <c r="L87" s="357">
        <v>32.75</v>
      </c>
      <c r="M87" s="357"/>
      <c r="N87" s="361">
        <f>'By Zone Charges'!U21</f>
        <v>0</v>
      </c>
      <c r="O87" s="361">
        <f>'By Zone Charges'!V21</f>
        <v>0</v>
      </c>
      <c r="P87" s="358">
        <f>'By Zone Charges'!W21</f>
        <v>32.75</v>
      </c>
      <c r="R87" s="358">
        <f>'By Zone Charges'!X21</f>
        <v>0</v>
      </c>
      <c r="T87" s="358">
        <f>'By Zone Charges'!Y21</f>
        <v>32.75</v>
      </c>
      <c r="V87" s="365">
        <f>'By Zone Charges'!Z21</f>
        <v>0</v>
      </c>
      <c r="W87" s="358">
        <f>'By Zone Charges'!AA21</f>
        <v>0</v>
      </c>
      <c r="X87" s="358">
        <f>'By Zone Charges'!AB21</f>
        <v>0</v>
      </c>
      <c r="Y87" s="358">
        <f>'By Zone Charges'!AC21</f>
        <v>0</v>
      </c>
    </row>
    <row r="88" spans="1:25" x14ac:dyDescent="0.35">
      <c r="A88">
        <v>87</v>
      </c>
      <c r="B88" t="s">
        <v>1351</v>
      </c>
      <c r="C88" t="s">
        <v>946</v>
      </c>
      <c r="D88" t="s">
        <v>15</v>
      </c>
      <c r="E88" t="s">
        <v>66</v>
      </c>
      <c r="F88" t="s">
        <v>927</v>
      </c>
      <c r="G88" s="425" t="s">
        <v>1435</v>
      </c>
      <c r="H88" s="357">
        <v>36</v>
      </c>
      <c r="I88" s="357"/>
      <c r="J88" s="357">
        <v>2.5</v>
      </c>
      <c r="K88" s="357"/>
      <c r="L88" s="357">
        <v>38.5</v>
      </c>
      <c r="M88" s="357"/>
      <c r="N88" s="361">
        <f>'By Zone Charges'!U22</f>
        <v>0</v>
      </c>
      <c r="O88" s="361">
        <f>'By Zone Charges'!V22</f>
        <v>0</v>
      </c>
      <c r="P88" s="358">
        <f>'By Zone Charges'!W22</f>
        <v>38.5</v>
      </c>
      <c r="R88" s="358">
        <f>'By Zone Charges'!X22</f>
        <v>0</v>
      </c>
      <c r="T88" s="358">
        <f>'By Zone Charges'!Y22</f>
        <v>38.5</v>
      </c>
      <c r="V88" s="365">
        <f>'By Zone Charges'!Z22</f>
        <v>0</v>
      </c>
      <c r="W88" s="358">
        <f>'By Zone Charges'!AA22</f>
        <v>0</v>
      </c>
      <c r="X88" s="358">
        <f>'By Zone Charges'!AB22</f>
        <v>0</v>
      </c>
      <c r="Y88" s="358">
        <f>'By Zone Charges'!AC22</f>
        <v>0</v>
      </c>
    </row>
    <row r="89" spans="1:25" x14ac:dyDescent="0.35">
      <c r="A89">
        <v>88</v>
      </c>
      <c r="B89" t="s">
        <v>1351</v>
      </c>
      <c r="C89" t="s">
        <v>946</v>
      </c>
      <c r="D89" t="s">
        <v>15</v>
      </c>
      <c r="E89" t="s">
        <v>66</v>
      </c>
      <c r="F89" t="s">
        <v>927</v>
      </c>
      <c r="G89" s="425" t="s">
        <v>1436</v>
      </c>
      <c r="H89" s="357">
        <v>38</v>
      </c>
      <c r="I89" s="357"/>
      <c r="J89" s="357">
        <v>2.75</v>
      </c>
      <c r="K89" s="357"/>
      <c r="L89" s="357">
        <v>40.75</v>
      </c>
      <c r="M89" s="357"/>
      <c r="N89" s="361">
        <f>'By Zone Charges'!U23</f>
        <v>0</v>
      </c>
      <c r="O89" s="361">
        <f>'By Zone Charges'!V23</f>
        <v>0</v>
      </c>
      <c r="P89" s="358">
        <f>'By Zone Charges'!W23</f>
        <v>40.75</v>
      </c>
      <c r="R89" s="358">
        <f>'By Zone Charges'!X23</f>
        <v>0</v>
      </c>
      <c r="T89" s="358">
        <f>'By Zone Charges'!Y23</f>
        <v>40.75</v>
      </c>
      <c r="V89" s="365">
        <f>'By Zone Charges'!Z23</f>
        <v>0</v>
      </c>
      <c r="W89" s="358">
        <f>'By Zone Charges'!AA23</f>
        <v>0</v>
      </c>
      <c r="X89" s="358">
        <f>'By Zone Charges'!AB23</f>
        <v>0</v>
      </c>
      <c r="Y89" s="358">
        <f>'By Zone Charges'!AC23</f>
        <v>0</v>
      </c>
    </row>
    <row r="90" spans="1:25" x14ac:dyDescent="0.35">
      <c r="A90">
        <v>89</v>
      </c>
      <c r="B90" t="s">
        <v>1351</v>
      </c>
      <c r="C90" t="s">
        <v>946</v>
      </c>
      <c r="D90" t="s">
        <v>15</v>
      </c>
      <c r="E90" t="s">
        <v>66</v>
      </c>
      <c r="F90" t="s">
        <v>928</v>
      </c>
      <c r="G90" s="425" t="s">
        <v>1437</v>
      </c>
      <c r="H90" s="357">
        <v>43.5</v>
      </c>
      <c r="I90" s="357"/>
      <c r="J90" s="357">
        <v>2.5</v>
      </c>
      <c r="K90" s="357"/>
      <c r="L90" s="357">
        <v>46</v>
      </c>
      <c r="M90" s="357"/>
      <c r="N90" s="361">
        <f>'By Zone Charges'!U25</f>
        <v>0</v>
      </c>
      <c r="O90" s="361">
        <f>'By Zone Charges'!V25</f>
        <v>0</v>
      </c>
      <c r="P90" s="358">
        <f>'By Zone Charges'!W25</f>
        <v>46</v>
      </c>
      <c r="R90" s="358">
        <f>'By Zone Charges'!X25</f>
        <v>0</v>
      </c>
      <c r="T90" s="358">
        <f>'By Zone Charges'!Y25</f>
        <v>46</v>
      </c>
      <c r="V90" s="365">
        <f>'By Zone Charges'!Z25</f>
        <v>0</v>
      </c>
      <c r="W90" s="358">
        <f>'By Zone Charges'!AA25</f>
        <v>0</v>
      </c>
      <c r="X90" s="358">
        <f>'By Zone Charges'!AB25</f>
        <v>0</v>
      </c>
      <c r="Y90" s="358">
        <f>'By Zone Charges'!AC25</f>
        <v>0</v>
      </c>
    </row>
    <row r="91" spans="1:25" x14ac:dyDescent="0.35">
      <c r="A91">
        <v>90</v>
      </c>
      <c r="B91" t="s">
        <v>1351</v>
      </c>
      <c r="C91" t="s">
        <v>946</v>
      </c>
      <c r="D91" t="s">
        <v>15</v>
      </c>
      <c r="E91" t="s">
        <v>66</v>
      </c>
      <c r="F91" t="s">
        <v>928</v>
      </c>
      <c r="G91" s="425" t="s">
        <v>1438</v>
      </c>
      <c r="H91" s="357">
        <v>47.5</v>
      </c>
      <c r="I91" s="357"/>
      <c r="J91" s="357">
        <v>2.75</v>
      </c>
      <c r="K91" s="357"/>
      <c r="L91" s="357">
        <v>50.25</v>
      </c>
      <c r="M91" s="357"/>
      <c r="N91" s="361">
        <f>'By Zone Charges'!U26</f>
        <v>0</v>
      </c>
      <c r="O91" s="361">
        <f>'By Zone Charges'!V26</f>
        <v>0</v>
      </c>
      <c r="P91" s="358">
        <f>'By Zone Charges'!W26</f>
        <v>50.25</v>
      </c>
      <c r="R91" s="358">
        <f>'By Zone Charges'!X26</f>
        <v>0</v>
      </c>
      <c r="T91" s="358">
        <f>'By Zone Charges'!Y26</f>
        <v>50.25</v>
      </c>
      <c r="V91" s="365">
        <f>'By Zone Charges'!Z26</f>
        <v>0</v>
      </c>
      <c r="W91" s="358">
        <f>'By Zone Charges'!AA26</f>
        <v>0</v>
      </c>
      <c r="X91" s="358">
        <f>'By Zone Charges'!AB26</f>
        <v>0</v>
      </c>
      <c r="Y91" s="358">
        <f>'By Zone Charges'!AC26</f>
        <v>0</v>
      </c>
    </row>
    <row r="92" spans="1:25" x14ac:dyDescent="0.35">
      <c r="A92">
        <v>91</v>
      </c>
      <c r="B92" t="s">
        <v>1351</v>
      </c>
      <c r="C92" t="s">
        <v>946</v>
      </c>
      <c r="D92" t="s">
        <v>15</v>
      </c>
      <c r="E92" t="s">
        <v>66</v>
      </c>
      <c r="F92" t="s">
        <v>928</v>
      </c>
      <c r="G92" s="425" t="s">
        <v>1439</v>
      </c>
      <c r="H92" s="357">
        <v>52.75</v>
      </c>
      <c r="I92" s="357"/>
      <c r="J92" s="357">
        <v>3.5</v>
      </c>
      <c r="K92" s="357"/>
      <c r="L92" s="357">
        <v>56.25</v>
      </c>
      <c r="M92" s="357"/>
      <c r="N92" s="361">
        <f>'By Zone Charges'!U27</f>
        <v>0</v>
      </c>
      <c r="O92" s="361">
        <f>'By Zone Charges'!V27</f>
        <v>0</v>
      </c>
      <c r="P92" s="358">
        <f>'By Zone Charges'!W27</f>
        <v>56.25</v>
      </c>
      <c r="R92" s="358">
        <f>'By Zone Charges'!X27</f>
        <v>0</v>
      </c>
      <c r="T92" s="358">
        <f>'By Zone Charges'!Y27</f>
        <v>56.25</v>
      </c>
      <c r="V92" s="365">
        <f>'By Zone Charges'!Z27</f>
        <v>0</v>
      </c>
      <c r="W92" s="358">
        <f>'By Zone Charges'!AA27</f>
        <v>0</v>
      </c>
      <c r="X92" s="358">
        <f>'By Zone Charges'!AB27</f>
        <v>0</v>
      </c>
      <c r="Y92" s="358">
        <f>'By Zone Charges'!AC27</f>
        <v>0</v>
      </c>
    </row>
    <row r="93" spans="1:25" x14ac:dyDescent="0.35">
      <c r="A93">
        <v>92</v>
      </c>
      <c r="B93" t="s">
        <v>1351</v>
      </c>
      <c r="C93" t="s">
        <v>946</v>
      </c>
      <c r="D93" t="s">
        <v>15</v>
      </c>
      <c r="E93" t="s">
        <v>66</v>
      </c>
      <c r="F93" t="s">
        <v>928</v>
      </c>
      <c r="G93" s="425" t="s">
        <v>1440</v>
      </c>
      <c r="H93" s="357">
        <v>55</v>
      </c>
      <c r="I93" s="357"/>
      <c r="J93" s="357">
        <v>3.75</v>
      </c>
      <c r="K93" s="357"/>
      <c r="L93" s="357">
        <v>58.75</v>
      </c>
      <c r="M93" s="357"/>
      <c r="N93" s="361">
        <f>'By Zone Charges'!U28</f>
        <v>0</v>
      </c>
      <c r="O93" s="361">
        <f>'By Zone Charges'!V28</f>
        <v>0</v>
      </c>
      <c r="P93" s="358">
        <f>'By Zone Charges'!W28</f>
        <v>58.75</v>
      </c>
      <c r="R93" s="358">
        <f>'By Zone Charges'!X28</f>
        <v>0</v>
      </c>
      <c r="T93" s="358">
        <f>'By Zone Charges'!Y28</f>
        <v>58.75</v>
      </c>
      <c r="V93" s="365">
        <f>'By Zone Charges'!Z28</f>
        <v>0</v>
      </c>
      <c r="W93" s="358">
        <f>'By Zone Charges'!AA28</f>
        <v>0</v>
      </c>
      <c r="X93" s="358">
        <f>'By Zone Charges'!AB28</f>
        <v>0</v>
      </c>
      <c r="Y93" s="358">
        <f>'By Zone Charges'!AC28</f>
        <v>0</v>
      </c>
    </row>
    <row r="94" spans="1:25" x14ac:dyDescent="0.35">
      <c r="A94">
        <v>93</v>
      </c>
      <c r="B94" t="s">
        <v>1351</v>
      </c>
      <c r="C94" t="s">
        <v>946</v>
      </c>
      <c r="D94" t="s">
        <v>15</v>
      </c>
      <c r="E94" t="s">
        <v>66</v>
      </c>
      <c r="F94" t="s">
        <v>929</v>
      </c>
      <c r="G94" s="425" t="s">
        <v>1441</v>
      </c>
      <c r="H94" s="357">
        <v>25</v>
      </c>
      <c r="I94" s="357"/>
      <c r="J94" s="357">
        <v>1.5</v>
      </c>
      <c r="K94" s="357"/>
      <c r="L94" s="357">
        <v>26.5</v>
      </c>
      <c r="M94" s="357"/>
      <c r="N94" s="361">
        <f>'By Zone Charges'!U30</f>
        <v>0</v>
      </c>
      <c r="O94" s="361">
        <f>'By Zone Charges'!V30</f>
        <v>0</v>
      </c>
      <c r="P94" s="358">
        <f>'By Zone Charges'!W30</f>
        <v>26.5</v>
      </c>
      <c r="R94" s="358">
        <f>'By Zone Charges'!X30</f>
        <v>0</v>
      </c>
      <c r="T94" s="358">
        <f>'By Zone Charges'!Y30</f>
        <v>26.5</v>
      </c>
      <c r="V94" s="365">
        <f>'By Zone Charges'!Z30</f>
        <v>0</v>
      </c>
      <c r="W94" s="358">
        <f>'By Zone Charges'!AA30</f>
        <v>0</v>
      </c>
      <c r="X94" s="358">
        <f>'By Zone Charges'!AB30</f>
        <v>0</v>
      </c>
      <c r="Y94" s="358">
        <f>'By Zone Charges'!AC30</f>
        <v>0</v>
      </c>
    </row>
    <row r="95" spans="1:25" x14ac:dyDescent="0.35">
      <c r="A95">
        <v>94</v>
      </c>
      <c r="B95" t="s">
        <v>1351</v>
      </c>
      <c r="C95" t="s">
        <v>946</v>
      </c>
      <c r="D95" t="s">
        <v>15</v>
      </c>
      <c r="E95" t="s">
        <v>66</v>
      </c>
      <c r="F95" t="s">
        <v>929</v>
      </c>
      <c r="G95" s="425" t="s">
        <v>1442</v>
      </c>
      <c r="H95" s="357">
        <v>29</v>
      </c>
      <c r="I95" s="357"/>
      <c r="J95" s="357">
        <v>1.75</v>
      </c>
      <c r="K95" s="357"/>
      <c r="L95" s="357">
        <v>30.75</v>
      </c>
      <c r="M95" s="357"/>
      <c r="N95" s="361">
        <f>'By Zone Charges'!U31</f>
        <v>0</v>
      </c>
      <c r="O95" s="361">
        <f>'By Zone Charges'!V31</f>
        <v>0</v>
      </c>
      <c r="P95" s="358">
        <f>'By Zone Charges'!W31</f>
        <v>30.75</v>
      </c>
      <c r="R95" s="358">
        <f>'By Zone Charges'!X31</f>
        <v>0</v>
      </c>
      <c r="T95" s="358">
        <f>'By Zone Charges'!Y31</f>
        <v>30.75</v>
      </c>
      <c r="V95" s="365">
        <f>'By Zone Charges'!Z31</f>
        <v>0</v>
      </c>
      <c r="W95" s="358">
        <f>'By Zone Charges'!AA31</f>
        <v>0</v>
      </c>
      <c r="X95" s="358">
        <f>'By Zone Charges'!AB31</f>
        <v>0</v>
      </c>
      <c r="Y95" s="358">
        <f>'By Zone Charges'!AC31</f>
        <v>0</v>
      </c>
    </row>
    <row r="96" spans="1:25" x14ac:dyDescent="0.35">
      <c r="A96">
        <v>95</v>
      </c>
      <c r="B96" t="s">
        <v>1351</v>
      </c>
      <c r="C96" t="s">
        <v>946</v>
      </c>
      <c r="D96" t="s">
        <v>15</v>
      </c>
      <c r="E96" t="s">
        <v>66</v>
      </c>
      <c r="F96" t="s">
        <v>929</v>
      </c>
      <c r="G96" s="425" t="s">
        <v>1443</v>
      </c>
      <c r="H96" s="357">
        <v>31</v>
      </c>
      <c r="I96" s="357"/>
      <c r="J96" s="357">
        <v>2</v>
      </c>
      <c r="K96" s="357"/>
      <c r="L96" s="357">
        <v>33</v>
      </c>
      <c r="M96" s="357"/>
      <c r="N96" s="361">
        <f>'By Zone Charges'!U32</f>
        <v>0</v>
      </c>
      <c r="O96" s="361">
        <f>'By Zone Charges'!V32</f>
        <v>0</v>
      </c>
      <c r="P96" s="358">
        <f>'By Zone Charges'!W32</f>
        <v>33</v>
      </c>
      <c r="R96" s="358">
        <f>'By Zone Charges'!X32</f>
        <v>0</v>
      </c>
      <c r="T96" s="358">
        <f>'By Zone Charges'!Y32</f>
        <v>33</v>
      </c>
      <c r="V96" s="365">
        <f>'By Zone Charges'!Z32</f>
        <v>0</v>
      </c>
      <c r="W96" s="358">
        <f>'By Zone Charges'!AA32</f>
        <v>0</v>
      </c>
      <c r="X96" s="358">
        <f>'By Zone Charges'!AB32</f>
        <v>0</v>
      </c>
      <c r="Y96" s="358">
        <f>'By Zone Charges'!AC32</f>
        <v>0</v>
      </c>
    </row>
    <row r="97" spans="1:25" x14ac:dyDescent="0.35">
      <c r="A97">
        <v>96</v>
      </c>
      <c r="B97" t="s">
        <v>1351</v>
      </c>
      <c r="C97" t="s">
        <v>946</v>
      </c>
      <c r="D97" t="s">
        <v>15</v>
      </c>
      <c r="E97" t="s">
        <v>66</v>
      </c>
      <c r="F97" t="s">
        <v>929</v>
      </c>
      <c r="G97" s="425" t="s">
        <v>1444</v>
      </c>
      <c r="H97" s="357">
        <v>31.5</v>
      </c>
      <c r="I97" s="357"/>
      <c r="J97" s="357">
        <v>2.25</v>
      </c>
      <c r="K97" s="357"/>
      <c r="L97" s="357">
        <v>33.75</v>
      </c>
      <c r="M97" s="357"/>
      <c r="N97" s="361">
        <f>'By Zone Charges'!U33</f>
        <v>0</v>
      </c>
      <c r="O97" s="361">
        <f>'By Zone Charges'!V33</f>
        <v>0</v>
      </c>
      <c r="P97" s="358">
        <f>'By Zone Charges'!W33</f>
        <v>33.75</v>
      </c>
      <c r="R97" s="358">
        <f>'By Zone Charges'!X33</f>
        <v>0</v>
      </c>
      <c r="T97" s="358">
        <f>'By Zone Charges'!Y33</f>
        <v>33.75</v>
      </c>
      <c r="V97" s="365">
        <f>'By Zone Charges'!Z33</f>
        <v>0</v>
      </c>
      <c r="W97" s="358">
        <f>'By Zone Charges'!AA33</f>
        <v>0</v>
      </c>
      <c r="X97" s="358">
        <f>'By Zone Charges'!AB33</f>
        <v>0</v>
      </c>
      <c r="Y97" s="358">
        <f>'By Zone Charges'!AC33</f>
        <v>0</v>
      </c>
    </row>
    <row r="98" spans="1:25" x14ac:dyDescent="0.35">
      <c r="A98">
        <v>97</v>
      </c>
      <c r="B98" t="s">
        <v>1351</v>
      </c>
      <c r="C98" t="s">
        <v>946</v>
      </c>
      <c r="D98" t="s">
        <v>14</v>
      </c>
      <c r="E98" t="s">
        <v>1514</v>
      </c>
      <c r="F98" t="s">
        <v>1513</v>
      </c>
      <c r="G98" s="425" t="s">
        <v>1537</v>
      </c>
      <c r="H98" s="357">
        <v>240</v>
      </c>
      <c r="I98" s="357"/>
      <c r="J98" s="357">
        <v>15</v>
      </c>
      <c r="K98" s="357"/>
      <c r="L98" s="357">
        <v>255</v>
      </c>
      <c r="M98" s="357"/>
      <c r="N98" s="361">
        <f>'By Zone Charges'!U35</f>
        <v>0</v>
      </c>
      <c r="O98" s="361">
        <f>'By Zone Charges'!V35</f>
        <v>0</v>
      </c>
      <c r="P98" s="358">
        <f>'By Zone Charges'!W35</f>
        <v>255</v>
      </c>
      <c r="R98" s="358">
        <f>'By Zone Charges'!X35</f>
        <v>0</v>
      </c>
      <c r="T98" s="358">
        <f>'By Zone Charges'!Y35</f>
        <v>255</v>
      </c>
      <c r="V98" s="365">
        <f>'By Zone Charges'!Z35</f>
        <v>0</v>
      </c>
      <c r="W98" s="358">
        <f>'By Zone Charges'!AA35</f>
        <v>0</v>
      </c>
      <c r="X98" s="358">
        <f>'By Zone Charges'!AB35</f>
        <v>0</v>
      </c>
      <c r="Y98" s="358">
        <f>'By Zone Charges'!AC35</f>
        <v>0</v>
      </c>
    </row>
    <row r="99" spans="1:25" x14ac:dyDescent="0.35">
      <c r="A99">
        <v>98</v>
      </c>
      <c r="B99" t="s">
        <v>1351</v>
      </c>
      <c r="C99" t="s">
        <v>946</v>
      </c>
      <c r="D99" t="s">
        <v>14</v>
      </c>
      <c r="E99" t="s">
        <v>1514</v>
      </c>
      <c r="F99" t="s">
        <v>1513</v>
      </c>
      <c r="G99" s="425" t="s">
        <v>1538</v>
      </c>
      <c r="H99" s="357">
        <v>260</v>
      </c>
      <c r="I99" s="357"/>
      <c r="J99" s="357">
        <v>15</v>
      </c>
      <c r="K99" s="357"/>
      <c r="L99" s="357">
        <v>275</v>
      </c>
      <c r="M99" s="357"/>
      <c r="N99" s="361">
        <f>'By Zone Charges'!U36</f>
        <v>0</v>
      </c>
      <c r="O99" s="361">
        <f>'By Zone Charges'!V36</f>
        <v>0</v>
      </c>
      <c r="P99" s="358">
        <f>'By Zone Charges'!W36</f>
        <v>275</v>
      </c>
      <c r="R99" s="358">
        <f>'By Zone Charges'!X36</f>
        <v>0</v>
      </c>
      <c r="T99" s="358">
        <f>'By Zone Charges'!Y36</f>
        <v>275</v>
      </c>
      <c r="V99" s="365">
        <f>'By Zone Charges'!Z36</f>
        <v>0</v>
      </c>
      <c r="W99" s="358">
        <f>'By Zone Charges'!AA36</f>
        <v>0</v>
      </c>
      <c r="X99" s="358">
        <f>'By Zone Charges'!AB36</f>
        <v>0</v>
      </c>
      <c r="Y99" s="358">
        <f>'By Zone Charges'!AC36</f>
        <v>0</v>
      </c>
    </row>
    <row r="100" spans="1:25" x14ac:dyDescent="0.35">
      <c r="A100">
        <v>99</v>
      </c>
      <c r="B100" t="s">
        <v>1351</v>
      </c>
      <c r="C100" t="s">
        <v>946</v>
      </c>
      <c r="D100" t="s">
        <v>14</v>
      </c>
      <c r="E100" t="s">
        <v>1514</v>
      </c>
      <c r="F100" t="s">
        <v>1513</v>
      </c>
      <c r="G100" s="425" t="s">
        <v>1539</v>
      </c>
      <c r="H100" s="357">
        <v>297.5</v>
      </c>
      <c r="I100" s="357"/>
      <c r="J100" s="357">
        <v>22.5</v>
      </c>
      <c r="K100" s="357"/>
      <c r="L100" s="357">
        <v>320</v>
      </c>
      <c r="M100" s="357"/>
      <c r="N100" s="361">
        <f>'By Zone Charges'!U37</f>
        <v>0</v>
      </c>
      <c r="O100" s="361">
        <f>'By Zone Charges'!V37</f>
        <v>0</v>
      </c>
      <c r="P100" s="358">
        <f>'By Zone Charges'!W37</f>
        <v>320</v>
      </c>
      <c r="R100" s="358">
        <f>'By Zone Charges'!X37</f>
        <v>0</v>
      </c>
      <c r="T100" s="358">
        <f>'By Zone Charges'!Y37</f>
        <v>320</v>
      </c>
      <c r="V100" s="365">
        <f>'By Zone Charges'!Z37</f>
        <v>0</v>
      </c>
      <c r="W100" s="358">
        <f>'By Zone Charges'!AA37</f>
        <v>0</v>
      </c>
      <c r="X100" s="358">
        <f>'By Zone Charges'!AB37</f>
        <v>0</v>
      </c>
      <c r="Y100" s="358">
        <f>'By Zone Charges'!AC37</f>
        <v>0</v>
      </c>
    </row>
    <row r="101" spans="1:25" x14ac:dyDescent="0.35">
      <c r="A101">
        <v>100</v>
      </c>
      <c r="B101" t="s">
        <v>1351</v>
      </c>
      <c r="C101" t="s">
        <v>946</v>
      </c>
      <c r="D101" t="s">
        <v>14</v>
      </c>
      <c r="E101" t="s">
        <v>1514</v>
      </c>
      <c r="F101" t="s">
        <v>1513</v>
      </c>
      <c r="G101" s="425" t="s">
        <v>1540</v>
      </c>
      <c r="H101" s="357">
        <v>305</v>
      </c>
      <c r="I101" s="357"/>
      <c r="J101" s="357">
        <v>25</v>
      </c>
      <c r="K101" s="357"/>
      <c r="L101" s="357">
        <v>330</v>
      </c>
      <c r="M101" s="357"/>
      <c r="N101" s="361">
        <f>'By Zone Charges'!U38</f>
        <v>0</v>
      </c>
      <c r="O101" s="361">
        <f>'By Zone Charges'!V38</f>
        <v>0</v>
      </c>
      <c r="P101" s="358">
        <f>'By Zone Charges'!W38</f>
        <v>330</v>
      </c>
      <c r="R101" s="358">
        <f>'By Zone Charges'!X38</f>
        <v>0</v>
      </c>
      <c r="T101" s="358">
        <f>'By Zone Charges'!Y38</f>
        <v>330</v>
      </c>
      <c r="V101" s="365">
        <f>'By Zone Charges'!Z38</f>
        <v>0</v>
      </c>
      <c r="W101" s="358">
        <f>'By Zone Charges'!AA38</f>
        <v>0</v>
      </c>
      <c r="X101" s="358">
        <f>'By Zone Charges'!AB38</f>
        <v>0</v>
      </c>
      <c r="Y101" s="358">
        <f>'By Zone Charges'!AC38</f>
        <v>0</v>
      </c>
    </row>
    <row r="102" spans="1:25" x14ac:dyDescent="0.35">
      <c r="A102">
        <v>101</v>
      </c>
      <c r="B102" t="s">
        <v>1351</v>
      </c>
      <c r="C102" t="s">
        <v>946</v>
      </c>
      <c r="D102" t="s">
        <v>15</v>
      </c>
      <c r="E102" t="s">
        <v>1514</v>
      </c>
      <c r="F102" t="s">
        <v>1512</v>
      </c>
      <c r="G102" s="425" t="s">
        <v>1449</v>
      </c>
      <c r="H102" s="357">
        <v>240</v>
      </c>
      <c r="I102" s="357"/>
      <c r="J102" s="357">
        <v>15</v>
      </c>
      <c r="K102" s="357"/>
      <c r="L102" s="357">
        <v>255</v>
      </c>
      <c r="M102" s="357"/>
      <c r="N102" s="361">
        <f>'By Zone Charges'!U40</f>
        <v>0</v>
      </c>
      <c r="O102" s="361">
        <f>'By Zone Charges'!V40</f>
        <v>0</v>
      </c>
      <c r="P102" s="358">
        <f>'By Zone Charges'!W40</f>
        <v>255</v>
      </c>
      <c r="R102" s="358">
        <f>'By Zone Charges'!X40</f>
        <v>0</v>
      </c>
      <c r="T102" s="358">
        <f>'By Zone Charges'!Y40</f>
        <v>255</v>
      </c>
      <c r="V102" s="365">
        <f>'By Zone Charges'!Z40</f>
        <v>0</v>
      </c>
      <c r="W102" s="358">
        <f>'By Zone Charges'!AA40</f>
        <v>0</v>
      </c>
      <c r="X102" s="358">
        <f>'By Zone Charges'!AB40</f>
        <v>0</v>
      </c>
      <c r="Y102" s="358">
        <f>'By Zone Charges'!AC40</f>
        <v>0</v>
      </c>
    </row>
    <row r="103" spans="1:25" x14ac:dyDescent="0.35">
      <c r="A103">
        <v>102</v>
      </c>
      <c r="B103" t="s">
        <v>1351</v>
      </c>
      <c r="C103" t="s">
        <v>946</v>
      </c>
      <c r="D103" t="s">
        <v>15</v>
      </c>
      <c r="E103" t="s">
        <v>1514</v>
      </c>
      <c r="F103" t="s">
        <v>1512</v>
      </c>
      <c r="G103" s="425" t="s">
        <v>1450</v>
      </c>
      <c r="H103" s="357">
        <v>260</v>
      </c>
      <c r="I103" s="357"/>
      <c r="J103" s="357">
        <v>15</v>
      </c>
      <c r="K103" s="357"/>
      <c r="L103" s="357">
        <v>275</v>
      </c>
      <c r="M103" s="357"/>
      <c r="N103" s="361">
        <f>'By Zone Charges'!U41</f>
        <v>0</v>
      </c>
      <c r="O103" s="361">
        <f>'By Zone Charges'!V41</f>
        <v>0</v>
      </c>
      <c r="P103" s="358">
        <f>'By Zone Charges'!W41</f>
        <v>275</v>
      </c>
      <c r="R103" s="358">
        <f>'By Zone Charges'!X41</f>
        <v>0</v>
      </c>
      <c r="T103" s="358">
        <f>'By Zone Charges'!Y41</f>
        <v>275</v>
      </c>
      <c r="V103" s="365">
        <f>'By Zone Charges'!Z41</f>
        <v>0</v>
      </c>
      <c r="W103" s="358">
        <f>'By Zone Charges'!AA41</f>
        <v>0</v>
      </c>
      <c r="X103" s="358">
        <f>'By Zone Charges'!AB41</f>
        <v>0</v>
      </c>
      <c r="Y103" s="358">
        <f>'By Zone Charges'!AC41</f>
        <v>0</v>
      </c>
    </row>
    <row r="104" spans="1:25" x14ac:dyDescent="0.35">
      <c r="A104">
        <v>103</v>
      </c>
      <c r="B104" t="s">
        <v>1351</v>
      </c>
      <c r="C104" t="s">
        <v>946</v>
      </c>
      <c r="D104" t="s">
        <v>15</v>
      </c>
      <c r="E104" t="s">
        <v>1514</v>
      </c>
      <c r="F104" t="s">
        <v>1512</v>
      </c>
      <c r="G104" s="425" t="s">
        <v>1451</v>
      </c>
      <c r="H104" s="357">
        <v>297.5</v>
      </c>
      <c r="I104" s="357"/>
      <c r="J104" s="357">
        <v>22.5</v>
      </c>
      <c r="K104" s="357"/>
      <c r="L104" s="357">
        <v>320</v>
      </c>
      <c r="M104" s="357"/>
      <c r="N104" s="361">
        <f>'By Zone Charges'!U42</f>
        <v>0</v>
      </c>
      <c r="O104" s="361">
        <f>'By Zone Charges'!V42</f>
        <v>0</v>
      </c>
      <c r="P104" s="358">
        <f>'By Zone Charges'!W42</f>
        <v>320</v>
      </c>
      <c r="R104" s="358">
        <f>'By Zone Charges'!X42</f>
        <v>0</v>
      </c>
      <c r="T104" s="358">
        <f>'By Zone Charges'!Y42</f>
        <v>320</v>
      </c>
      <c r="V104" s="365">
        <f>'By Zone Charges'!Z42</f>
        <v>0</v>
      </c>
      <c r="W104" s="358">
        <f>'By Zone Charges'!AA42</f>
        <v>0</v>
      </c>
      <c r="X104" s="358">
        <f>'By Zone Charges'!AB42</f>
        <v>0</v>
      </c>
      <c r="Y104" s="358">
        <f>'By Zone Charges'!AC42</f>
        <v>0</v>
      </c>
    </row>
    <row r="105" spans="1:25" x14ac:dyDescent="0.35">
      <c r="A105">
        <v>104</v>
      </c>
      <c r="B105" t="s">
        <v>1351</v>
      </c>
      <c r="C105" t="s">
        <v>946</v>
      </c>
      <c r="D105" t="s">
        <v>15</v>
      </c>
      <c r="E105" t="s">
        <v>1514</v>
      </c>
      <c r="F105" t="s">
        <v>1512</v>
      </c>
      <c r="G105" s="425" t="s">
        <v>1452</v>
      </c>
      <c r="H105" s="357">
        <v>305</v>
      </c>
      <c r="I105" s="357"/>
      <c r="J105" s="357">
        <v>25</v>
      </c>
      <c r="K105" s="357"/>
      <c r="L105" s="357">
        <v>330</v>
      </c>
      <c r="M105" s="357"/>
      <c r="N105" s="361">
        <f>'By Zone Charges'!U43</f>
        <v>0</v>
      </c>
      <c r="O105" s="361">
        <f>'By Zone Charges'!V43</f>
        <v>0</v>
      </c>
      <c r="P105" s="358">
        <f>'By Zone Charges'!W43</f>
        <v>330</v>
      </c>
      <c r="R105" s="358">
        <f>'By Zone Charges'!X43</f>
        <v>0</v>
      </c>
      <c r="T105" s="358">
        <f>'By Zone Charges'!Y43</f>
        <v>330</v>
      </c>
      <c r="V105" s="365">
        <f>'By Zone Charges'!Z43</f>
        <v>0</v>
      </c>
      <c r="W105" s="358">
        <f>'By Zone Charges'!AA43</f>
        <v>0</v>
      </c>
      <c r="X105" s="358">
        <f>'By Zone Charges'!AB43</f>
        <v>0</v>
      </c>
      <c r="Y105" s="358">
        <f>'By Zone Charges'!AC43</f>
        <v>0</v>
      </c>
    </row>
    <row r="106" spans="1:25" x14ac:dyDescent="0.35">
      <c r="A106">
        <v>105</v>
      </c>
      <c r="B106" t="s">
        <v>1351</v>
      </c>
      <c r="C106" t="s">
        <v>946</v>
      </c>
      <c r="D106" t="s">
        <v>15</v>
      </c>
      <c r="E106" t="s">
        <v>1514</v>
      </c>
      <c r="F106" t="s">
        <v>1432</v>
      </c>
      <c r="G106" s="425" t="s">
        <v>1453</v>
      </c>
      <c r="H106" s="357">
        <v>240</v>
      </c>
      <c r="I106" s="357"/>
      <c r="J106" s="357">
        <v>15</v>
      </c>
      <c r="K106" s="357"/>
      <c r="L106" s="357">
        <v>255</v>
      </c>
      <c r="M106" s="357"/>
      <c r="N106" s="361">
        <f>'By Zone Charges'!U45</f>
        <v>0</v>
      </c>
      <c r="O106" s="361">
        <f>'By Zone Charges'!V45</f>
        <v>0</v>
      </c>
      <c r="P106" s="358">
        <f>'By Zone Charges'!W45</f>
        <v>255</v>
      </c>
      <c r="R106" s="358">
        <f>'By Zone Charges'!X45</f>
        <v>0</v>
      </c>
      <c r="T106" s="358">
        <f>'By Zone Charges'!Y45</f>
        <v>255</v>
      </c>
      <c r="V106" s="365">
        <f>'By Zone Charges'!Z45</f>
        <v>0</v>
      </c>
      <c r="W106" s="358">
        <f>'By Zone Charges'!AA45</f>
        <v>0</v>
      </c>
      <c r="X106" s="358">
        <f>'By Zone Charges'!AB45</f>
        <v>0</v>
      </c>
      <c r="Y106" s="358">
        <f>'By Zone Charges'!AC45</f>
        <v>0</v>
      </c>
    </row>
    <row r="107" spans="1:25" x14ac:dyDescent="0.35">
      <c r="A107">
        <v>106</v>
      </c>
      <c r="B107" t="s">
        <v>1351</v>
      </c>
      <c r="C107" t="s">
        <v>946</v>
      </c>
      <c r="D107" t="s">
        <v>15</v>
      </c>
      <c r="E107" t="s">
        <v>1514</v>
      </c>
      <c r="F107" t="s">
        <v>1432</v>
      </c>
      <c r="G107" s="425" t="s">
        <v>1454</v>
      </c>
      <c r="H107" s="357">
        <v>260</v>
      </c>
      <c r="I107" s="357"/>
      <c r="J107" s="357">
        <v>15</v>
      </c>
      <c r="K107" s="357"/>
      <c r="L107" s="357">
        <v>275</v>
      </c>
      <c r="M107" s="357"/>
      <c r="N107" s="361">
        <f>'By Zone Charges'!U46</f>
        <v>0</v>
      </c>
      <c r="O107" s="361">
        <f>'By Zone Charges'!V46</f>
        <v>0</v>
      </c>
      <c r="P107" s="358">
        <f>'By Zone Charges'!W46</f>
        <v>275</v>
      </c>
      <c r="R107" s="358">
        <f>'By Zone Charges'!X46</f>
        <v>0</v>
      </c>
      <c r="T107" s="358">
        <f>'By Zone Charges'!Y46</f>
        <v>275</v>
      </c>
      <c r="V107" s="365">
        <f>'By Zone Charges'!Z46</f>
        <v>0</v>
      </c>
      <c r="W107" s="358">
        <f>'By Zone Charges'!AA46</f>
        <v>0</v>
      </c>
      <c r="X107" s="358">
        <f>'By Zone Charges'!AB46</f>
        <v>0</v>
      </c>
      <c r="Y107" s="358">
        <f>'By Zone Charges'!AC46</f>
        <v>0</v>
      </c>
    </row>
    <row r="108" spans="1:25" x14ac:dyDescent="0.35">
      <c r="A108">
        <v>107</v>
      </c>
      <c r="B108" t="s">
        <v>1351</v>
      </c>
      <c r="C108" t="s">
        <v>946</v>
      </c>
      <c r="D108" t="s">
        <v>15</v>
      </c>
      <c r="E108" t="s">
        <v>1514</v>
      </c>
      <c r="F108" t="s">
        <v>1432</v>
      </c>
      <c r="G108" s="425" t="s">
        <v>1455</v>
      </c>
      <c r="H108" s="357">
        <v>297.5</v>
      </c>
      <c r="I108" s="357"/>
      <c r="J108" s="357">
        <v>22.5</v>
      </c>
      <c r="K108" s="357"/>
      <c r="L108" s="357">
        <v>320</v>
      </c>
      <c r="M108" s="357"/>
      <c r="N108" s="361">
        <f>'By Zone Charges'!U47</f>
        <v>0</v>
      </c>
      <c r="O108" s="361">
        <f>'By Zone Charges'!V47</f>
        <v>0</v>
      </c>
      <c r="P108" s="358">
        <f>'By Zone Charges'!W47</f>
        <v>320</v>
      </c>
      <c r="R108" s="358">
        <f>'By Zone Charges'!X47</f>
        <v>0</v>
      </c>
      <c r="T108" s="358">
        <f>'By Zone Charges'!Y47</f>
        <v>320</v>
      </c>
      <c r="V108" s="365">
        <f>'By Zone Charges'!Z47</f>
        <v>0</v>
      </c>
      <c r="W108" s="358">
        <f>'By Zone Charges'!AA47</f>
        <v>0</v>
      </c>
      <c r="X108" s="358">
        <f>'By Zone Charges'!AB47</f>
        <v>0</v>
      </c>
      <c r="Y108" s="358">
        <f>'By Zone Charges'!AC47</f>
        <v>0</v>
      </c>
    </row>
    <row r="109" spans="1:25" x14ac:dyDescent="0.35">
      <c r="A109">
        <v>108</v>
      </c>
      <c r="B109" t="s">
        <v>1351</v>
      </c>
      <c r="C109" t="s">
        <v>946</v>
      </c>
      <c r="D109" t="s">
        <v>15</v>
      </c>
      <c r="E109" t="s">
        <v>1514</v>
      </c>
      <c r="F109" t="s">
        <v>1432</v>
      </c>
      <c r="G109" s="425" t="s">
        <v>1456</v>
      </c>
      <c r="H109" s="357">
        <v>305</v>
      </c>
      <c r="I109" s="357"/>
      <c r="J109" s="357">
        <v>25</v>
      </c>
      <c r="K109" s="357"/>
      <c r="L109" s="357">
        <v>330</v>
      </c>
      <c r="M109" s="357"/>
      <c r="N109" s="361">
        <f>'By Zone Charges'!U48</f>
        <v>0</v>
      </c>
      <c r="O109" s="361">
        <f>'By Zone Charges'!V48</f>
        <v>0</v>
      </c>
      <c r="P109" s="358">
        <f>'By Zone Charges'!W48</f>
        <v>330</v>
      </c>
      <c r="R109" s="358">
        <f>'By Zone Charges'!X48</f>
        <v>0</v>
      </c>
      <c r="T109" s="358">
        <f>'By Zone Charges'!Y48</f>
        <v>330</v>
      </c>
      <c r="V109" s="365">
        <f>'By Zone Charges'!Z48</f>
        <v>0</v>
      </c>
      <c r="W109" s="358">
        <f>'By Zone Charges'!AA48</f>
        <v>0</v>
      </c>
      <c r="X109" s="358">
        <f>'By Zone Charges'!AB48</f>
        <v>0</v>
      </c>
      <c r="Y109" s="358">
        <f>'By Zone Charges'!AC48</f>
        <v>0</v>
      </c>
    </row>
    <row r="110" spans="1:25" x14ac:dyDescent="0.35">
      <c r="A110">
        <v>109</v>
      </c>
      <c r="B110" t="s">
        <v>1341</v>
      </c>
      <c r="C110" t="s">
        <v>946</v>
      </c>
      <c r="D110" t="s">
        <v>14</v>
      </c>
      <c r="E110" t="s">
        <v>31</v>
      </c>
      <c r="F110" t="s">
        <v>31</v>
      </c>
      <c r="G110" s="63" t="s">
        <v>1541</v>
      </c>
      <c r="H110" s="358">
        <v>24</v>
      </c>
      <c r="J110" s="357">
        <v>1.5</v>
      </c>
      <c r="L110" s="358">
        <v>25.5</v>
      </c>
      <c r="N110" s="361">
        <f>'ExDom Parcel'!C4</f>
        <v>0</v>
      </c>
      <c r="O110" s="361">
        <f>'ExDom Parcel'!D4</f>
        <v>0</v>
      </c>
      <c r="P110" s="358">
        <f>'ExDom Parcel'!E4</f>
        <v>25.5</v>
      </c>
      <c r="R110" s="358">
        <f>'ExDom Parcel'!F4</f>
        <v>0</v>
      </c>
      <c r="T110" s="358">
        <f>'ExDom Parcel'!G4</f>
        <v>25.5</v>
      </c>
      <c r="V110" s="365">
        <f>'ExDom Parcel'!H4</f>
        <v>0</v>
      </c>
      <c r="W110" s="358">
        <f>'ExDom Parcel'!I4</f>
        <v>0</v>
      </c>
      <c r="X110" s="358">
        <f>'ExDom Parcel'!J4</f>
        <v>0</v>
      </c>
      <c r="Y110" s="358">
        <f>'ExDom Parcel'!K4</f>
        <v>0</v>
      </c>
    </row>
    <row r="111" spans="1:25" x14ac:dyDescent="0.35">
      <c r="A111">
        <v>110</v>
      </c>
      <c r="B111" t="s">
        <v>1341</v>
      </c>
      <c r="C111" t="s">
        <v>946</v>
      </c>
      <c r="D111" t="s">
        <v>14</v>
      </c>
      <c r="E111" t="s">
        <v>332</v>
      </c>
      <c r="F111" t="s">
        <v>332</v>
      </c>
      <c r="G111" s="63" t="s">
        <v>1542</v>
      </c>
      <c r="H111" s="358">
        <v>19</v>
      </c>
      <c r="J111" s="357">
        <v>0</v>
      </c>
      <c r="L111" s="358">
        <v>19</v>
      </c>
      <c r="N111" s="361">
        <f>'ExDom Parcel'!C5</f>
        <v>0</v>
      </c>
      <c r="O111" s="361">
        <f>'ExDom Parcel'!D5</f>
        <v>0</v>
      </c>
      <c r="P111" s="358">
        <f>'ExDom Parcel'!E5</f>
        <v>19</v>
      </c>
      <c r="R111" s="358">
        <f>'ExDom Parcel'!F5</f>
        <v>0</v>
      </c>
      <c r="T111" s="358">
        <f>'ExDom Parcel'!G5</f>
        <v>19</v>
      </c>
      <c r="V111" s="365">
        <f>'ExDom Parcel'!H5</f>
        <v>0</v>
      </c>
      <c r="W111" s="358">
        <f>'ExDom Parcel'!I5</f>
        <v>0</v>
      </c>
      <c r="X111" s="358">
        <f>'ExDom Parcel'!J5</f>
        <v>0</v>
      </c>
      <c r="Y111" s="358">
        <f>'ExDom Parcel'!K5</f>
        <v>0</v>
      </c>
    </row>
    <row r="112" spans="1:25" x14ac:dyDescent="0.35">
      <c r="A112">
        <v>111</v>
      </c>
      <c r="B112" t="s">
        <v>1341</v>
      </c>
      <c r="C112" t="s">
        <v>946</v>
      </c>
      <c r="D112" t="s">
        <v>14</v>
      </c>
      <c r="E112" t="s">
        <v>51</v>
      </c>
      <c r="F112" t="s">
        <v>62</v>
      </c>
      <c r="G112" s="63" t="s">
        <v>1543</v>
      </c>
      <c r="H112" s="358">
        <v>175</v>
      </c>
      <c r="J112" s="357">
        <v>10</v>
      </c>
      <c r="L112" s="358">
        <v>185</v>
      </c>
      <c r="N112" s="361">
        <f>'ExDom Parcel'!C7</f>
        <v>0</v>
      </c>
      <c r="O112" s="361">
        <f>'ExDom Parcel'!D7</f>
        <v>0</v>
      </c>
      <c r="P112" s="358">
        <f>'ExDom Parcel'!E7</f>
        <v>185</v>
      </c>
      <c r="R112" s="358">
        <f>'ExDom Parcel'!F7</f>
        <v>0</v>
      </c>
      <c r="T112" s="358">
        <f>'ExDom Parcel'!G7</f>
        <v>185</v>
      </c>
      <c r="V112" s="365">
        <f>'ExDom Parcel'!H7</f>
        <v>0</v>
      </c>
      <c r="W112" s="358">
        <f>'ExDom Parcel'!I7</f>
        <v>0</v>
      </c>
      <c r="X112" s="358">
        <f>'ExDom Parcel'!J7</f>
        <v>0</v>
      </c>
      <c r="Y112" s="358">
        <f>'ExDom Parcel'!K7</f>
        <v>0</v>
      </c>
    </row>
    <row r="113" spans="1:25" x14ac:dyDescent="0.35">
      <c r="A113">
        <v>112</v>
      </c>
      <c r="B113" t="s">
        <v>1341</v>
      </c>
      <c r="C113" t="s">
        <v>946</v>
      </c>
      <c r="D113" t="s">
        <v>14</v>
      </c>
      <c r="E113" t="s">
        <v>51</v>
      </c>
      <c r="F113" t="s">
        <v>977</v>
      </c>
      <c r="G113" s="63" t="s">
        <v>1544</v>
      </c>
      <c r="H113" s="358">
        <v>80</v>
      </c>
      <c r="J113" s="357">
        <v>5</v>
      </c>
      <c r="L113" s="358">
        <v>85</v>
      </c>
      <c r="N113" s="361">
        <f>'ExDom Parcel'!C8</f>
        <v>0</v>
      </c>
      <c r="O113" s="361">
        <f>'ExDom Parcel'!D8</f>
        <v>0</v>
      </c>
      <c r="P113" s="358">
        <f>'ExDom Parcel'!E8</f>
        <v>85</v>
      </c>
      <c r="R113" s="358">
        <f>'ExDom Parcel'!F8</f>
        <v>0</v>
      </c>
      <c r="T113" s="358">
        <f>'ExDom Parcel'!G8</f>
        <v>85</v>
      </c>
      <c r="V113" s="365">
        <f>'ExDom Parcel'!H8</f>
        <v>0</v>
      </c>
      <c r="W113" s="358">
        <f>'ExDom Parcel'!I8</f>
        <v>0</v>
      </c>
      <c r="X113" s="358">
        <f>'ExDom Parcel'!J8</f>
        <v>0</v>
      </c>
      <c r="Y113" s="358">
        <f>'ExDom Parcel'!K8</f>
        <v>0</v>
      </c>
    </row>
    <row r="114" spans="1:25" x14ac:dyDescent="0.35">
      <c r="A114">
        <v>113</v>
      </c>
      <c r="B114" t="s">
        <v>1341</v>
      </c>
      <c r="C114" t="s">
        <v>946</v>
      </c>
      <c r="D114" t="s">
        <v>14</v>
      </c>
      <c r="E114" t="s">
        <v>52</v>
      </c>
      <c r="F114" t="s">
        <v>52</v>
      </c>
      <c r="G114" s="63" t="s">
        <v>1545</v>
      </c>
      <c r="H114" s="358">
        <v>8</v>
      </c>
      <c r="J114" s="357">
        <v>0.5</v>
      </c>
      <c r="L114" s="358">
        <v>8.5</v>
      </c>
      <c r="N114" s="361">
        <f>'ExDom Parcel'!C9</f>
        <v>0</v>
      </c>
      <c r="O114" s="361">
        <f>'ExDom Parcel'!D9</f>
        <v>0</v>
      </c>
      <c r="P114" s="358">
        <f>'ExDom Parcel'!E9</f>
        <v>8.5</v>
      </c>
      <c r="R114" s="358">
        <f>'ExDom Parcel'!F9</f>
        <v>0</v>
      </c>
      <c r="T114" s="358">
        <f>'ExDom Parcel'!G9</f>
        <v>8.5</v>
      </c>
      <c r="V114" s="365">
        <f>'ExDom Parcel'!H9</f>
        <v>0</v>
      </c>
      <c r="W114" s="358">
        <f>'ExDom Parcel'!I9</f>
        <v>0</v>
      </c>
      <c r="X114" s="358">
        <f>'ExDom Parcel'!J9</f>
        <v>0</v>
      </c>
      <c r="Y114" s="358">
        <f>'ExDom Parcel'!K9</f>
        <v>0</v>
      </c>
    </row>
    <row r="115" spans="1:25" x14ac:dyDescent="0.35">
      <c r="A115">
        <v>114</v>
      </c>
      <c r="B115" t="s">
        <v>1341</v>
      </c>
      <c r="C115" t="s">
        <v>946</v>
      </c>
      <c r="D115" t="s">
        <v>14</v>
      </c>
      <c r="E115" t="s">
        <v>28</v>
      </c>
      <c r="F115" t="s">
        <v>28</v>
      </c>
      <c r="G115" s="63" t="s">
        <v>1546</v>
      </c>
      <c r="H115" s="358">
        <v>1.5</v>
      </c>
      <c r="J115" s="357">
        <v>0.14999999999999991</v>
      </c>
      <c r="L115" s="358">
        <v>1.65</v>
      </c>
      <c r="N115" s="361">
        <f>'ExDom Parcel'!C10</f>
        <v>0</v>
      </c>
      <c r="O115" s="361">
        <f>'ExDom Parcel'!D10</f>
        <v>0</v>
      </c>
      <c r="P115" s="358">
        <f>'ExDom Parcel'!E10</f>
        <v>1.65</v>
      </c>
      <c r="R115" s="358">
        <f>'ExDom Parcel'!F10</f>
        <v>0</v>
      </c>
      <c r="T115" s="358">
        <f>'ExDom Parcel'!G10</f>
        <v>1.65</v>
      </c>
      <c r="V115" s="365">
        <f>'ExDom Parcel'!H10</f>
        <v>0</v>
      </c>
    </row>
    <row r="116" spans="1:25" x14ac:dyDescent="0.35">
      <c r="A116">
        <v>115</v>
      </c>
      <c r="B116" t="s">
        <v>1341</v>
      </c>
      <c r="C116" t="s">
        <v>946</v>
      </c>
      <c r="D116" t="s">
        <v>14</v>
      </c>
      <c r="E116" t="s">
        <v>69</v>
      </c>
      <c r="F116" t="s">
        <v>281</v>
      </c>
      <c r="G116" s="63" t="s">
        <v>1547</v>
      </c>
      <c r="H116" s="358">
        <v>4.2</v>
      </c>
      <c r="J116" s="357">
        <v>0.25</v>
      </c>
      <c r="L116" s="358">
        <v>4.45</v>
      </c>
      <c r="N116" s="361">
        <f>'ExDom Parcel'!C12</f>
        <v>0</v>
      </c>
      <c r="O116" s="361">
        <f>'ExDom Parcel'!D12</f>
        <v>0</v>
      </c>
      <c r="P116" s="358">
        <f>'ExDom Parcel'!E12</f>
        <v>4.45</v>
      </c>
      <c r="R116" s="358">
        <f>'ExDom Parcel'!F12</f>
        <v>0</v>
      </c>
      <c r="T116" s="358">
        <f>'ExDom Parcel'!G12</f>
        <v>4.45</v>
      </c>
      <c r="V116" s="365">
        <f>'ExDom Parcel'!H12</f>
        <v>0</v>
      </c>
      <c r="W116" s="358">
        <f>'ExDom Parcel'!I12</f>
        <v>0</v>
      </c>
      <c r="X116" s="358">
        <f>'ExDom Parcel'!J12</f>
        <v>0</v>
      </c>
      <c r="Y116" s="358">
        <f>'ExDom Parcel'!K12</f>
        <v>0</v>
      </c>
    </row>
    <row r="117" spans="1:25" x14ac:dyDescent="0.35">
      <c r="A117">
        <v>116</v>
      </c>
      <c r="B117" t="s">
        <v>1341</v>
      </c>
      <c r="C117" t="s">
        <v>946</v>
      </c>
      <c r="D117" t="s">
        <v>14</v>
      </c>
      <c r="E117" t="s">
        <v>69</v>
      </c>
      <c r="F117" t="s">
        <v>306</v>
      </c>
      <c r="G117" s="63" t="s">
        <v>1548</v>
      </c>
      <c r="H117" s="358">
        <v>5.25</v>
      </c>
      <c r="J117" s="357">
        <v>0.29999999999999982</v>
      </c>
      <c r="L117" s="358">
        <v>5.55</v>
      </c>
      <c r="N117" s="361">
        <f>'ExDom Parcel'!C13</f>
        <v>0</v>
      </c>
      <c r="O117" s="361">
        <f>'ExDom Parcel'!D13</f>
        <v>0</v>
      </c>
      <c r="P117" s="358">
        <f>'ExDom Parcel'!E13</f>
        <v>5.55</v>
      </c>
      <c r="R117" s="358">
        <f>'ExDom Parcel'!F13</f>
        <v>0</v>
      </c>
      <c r="T117" s="358">
        <f>'ExDom Parcel'!G13</f>
        <v>5.55</v>
      </c>
      <c r="V117" s="365">
        <f>'ExDom Parcel'!H13</f>
        <v>0</v>
      </c>
      <c r="W117" s="358">
        <f>'ExDom Parcel'!I13</f>
        <v>0</v>
      </c>
      <c r="X117" s="358">
        <f>'ExDom Parcel'!J13</f>
        <v>0</v>
      </c>
      <c r="Y117" s="358">
        <f>'ExDom Parcel'!K13</f>
        <v>0</v>
      </c>
    </row>
    <row r="118" spans="1:25" x14ac:dyDescent="0.35">
      <c r="A118">
        <v>117</v>
      </c>
      <c r="B118" t="s">
        <v>1341</v>
      </c>
      <c r="C118" t="s">
        <v>946</v>
      </c>
      <c r="D118" t="s">
        <v>14</v>
      </c>
      <c r="E118" t="s">
        <v>69</v>
      </c>
      <c r="F118" t="s">
        <v>951</v>
      </c>
      <c r="G118" s="63" t="s">
        <v>1549</v>
      </c>
      <c r="H118" s="358">
        <v>15.5</v>
      </c>
      <c r="J118" s="357">
        <v>1.25</v>
      </c>
      <c r="L118" s="358">
        <v>16.75</v>
      </c>
      <c r="N118" s="361">
        <f>'ExDom Parcel'!C14</f>
        <v>0</v>
      </c>
      <c r="O118" s="361">
        <f>'ExDom Parcel'!D14</f>
        <v>0</v>
      </c>
      <c r="P118" s="358">
        <f>'ExDom Parcel'!E14</f>
        <v>16.75</v>
      </c>
      <c r="R118" s="358">
        <f>'ExDom Parcel'!F14</f>
        <v>0</v>
      </c>
      <c r="T118" s="358">
        <f>'ExDom Parcel'!G14</f>
        <v>16.75</v>
      </c>
      <c r="V118" s="365">
        <f>'ExDom Parcel'!H14</f>
        <v>0</v>
      </c>
      <c r="W118" s="358">
        <f>'ExDom Parcel'!I14</f>
        <v>0</v>
      </c>
      <c r="X118" s="358">
        <f>'ExDom Parcel'!J14</f>
        <v>0</v>
      </c>
      <c r="Y118" s="358">
        <f>'ExDom Parcel'!K14</f>
        <v>0</v>
      </c>
    </row>
    <row r="119" spans="1:25" x14ac:dyDescent="0.35">
      <c r="A119">
        <v>118</v>
      </c>
      <c r="B119" t="s">
        <v>1341</v>
      </c>
      <c r="C119" t="s">
        <v>946</v>
      </c>
      <c r="D119" t="s">
        <v>14</v>
      </c>
      <c r="E119" t="s">
        <v>69</v>
      </c>
      <c r="F119" t="s">
        <v>282</v>
      </c>
      <c r="G119" s="63" t="s">
        <v>1550</v>
      </c>
      <c r="H119" s="358">
        <v>6.2</v>
      </c>
      <c r="J119" s="357">
        <v>0.39999999999999947</v>
      </c>
      <c r="L119" s="358">
        <v>6.6</v>
      </c>
      <c r="N119" s="361">
        <f>'ExDom Parcel'!C15</f>
        <v>0</v>
      </c>
      <c r="O119" s="361">
        <f>'ExDom Parcel'!D15</f>
        <v>0</v>
      </c>
      <c r="P119" s="358">
        <f>'ExDom Parcel'!E15</f>
        <v>6.6</v>
      </c>
      <c r="R119" s="358">
        <f>'ExDom Parcel'!F15</f>
        <v>0</v>
      </c>
      <c r="T119" s="358">
        <f>'ExDom Parcel'!G15</f>
        <v>6.6</v>
      </c>
      <c r="V119" s="365">
        <f>'ExDom Parcel'!H15</f>
        <v>0</v>
      </c>
      <c r="W119" s="358">
        <f>'ExDom Parcel'!I15</f>
        <v>0</v>
      </c>
      <c r="X119" s="358">
        <f>'ExDom Parcel'!J15</f>
        <v>0</v>
      </c>
      <c r="Y119" s="358">
        <f>'ExDom Parcel'!K15</f>
        <v>0</v>
      </c>
    </row>
    <row r="120" spans="1:25" x14ac:dyDescent="0.35">
      <c r="A120">
        <v>119</v>
      </c>
      <c r="B120" t="s">
        <v>1341</v>
      </c>
      <c r="C120" t="s">
        <v>946</v>
      </c>
      <c r="D120" t="s">
        <v>14</v>
      </c>
      <c r="E120" t="s">
        <v>69</v>
      </c>
      <c r="F120" t="s">
        <v>307</v>
      </c>
      <c r="G120" s="63" t="s">
        <v>1551</v>
      </c>
      <c r="H120" s="358">
        <v>8.3000000000000007</v>
      </c>
      <c r="J120" s="357">
        <v>0.5</v>
      </c>
      <c r="L120" s="358">
        <v>8.8000000000000007</v>
      </c>
      <c r="N120" s="361">
        <f>'ExDom Parcel'!C16</f>
        <v>0</v>
      </c>
      <c r="O120" s="361">
        <f>'ExDom Parcel'!D16</f>
        <v>0</v>
      </c>
      <c r="P120" s="358">
        <f>'ExDom Parcel'!E16</f>
        <v>8.8000000000000007</v>
      </c>
      <c r="R120" s="358">
        <f>'ExDom Parcel'!F16</f>
        <v>0</v>
      </c>
      <c r="T120" s="358">
        <f>'ExDom Parcel'!G16</f>
        <v>8.8000000000000007</v>
      </c>
      <c r="V120" s="365">
        <f>'ExDom Parcel'!H16</f>
        <v>0</v>
      </c>
      <c r="W120" s="358">
        <f>'ExDom Parcel'!I16</f>
        <v>0</v>
      </c>
      <c r="X120" s="358">
        <f>'ExDom Parcel'!J16</f>
        <v>0</v>
      </c>
      <c r="Y120" s="358">
        <f>'ExDom Parcel'!K16</f>
        <v>0</v>
      </c>
    </row>
    <row r="121" spans="1:25" x14ac:dyDescent="0.35">
      <c r="A121">
        <v>120</v>
      </c>
      <c r="B121" t="s">
        <v>1341</v>
      </c>
      <c r="C121" t="s">
        <v>946</v>
      </c>
      <c r="D121" t="s">
        <v>14</v>
      </c>
      <c r="E121" t="s">
        <v>69</v>
      </c>
      <c r="F121" t="s">
        <v>952</v>
      </c>
      <c r="G121" s="63" t="s">
        <v>1552</v>
      </c>
      <c r="H121" s="358">
        <v>15.5</v>
      </c>
      <c r="J121" s="357">
        <v>1.25</v>
      </c>
      <c r="L121" s="358">
        <v>16.75</v>
      </c>
      <c r="N121" s="361">
        <f>'ExDom Parcel'!C17</f>
        <v>0</v>
      </c>
      <c r="O121" s="361">
        <f>'ExDom Parcel'!D17</f>
        <v>0</v>
      </c>
      <c r="P121" s="358">
        <f>'ExDom Parcel'!E17</f>
        <v>16.75</v>
      </c>
      <c r="R121" s="358">
        <f>'ExDom Parcel'!F17</f>
        <v>0</v>
      </c>
      <c r="T121" s="358">
        <f>'ExDom Parcel'!G17</f>
        <v>16.75</v>
      </c>
      <c r="V121" s="365">
        <f>'ExDom Parcel'!H17</f>
        <v>0</v>
      </c>
      <c r="W121" s="358">
        <f>'ExDom Parcel'!I17</f>
        <v>0</v>
      </c>
      <c r="X121" s="358">
        <f>'ExDom Parcel'!J17</f>
        <v>0</v>
      </c>
      <c r="Y121" s="358">
        <f>'ExDom Parcel'!K17</f>
        <v>0</v>
      </c>
    </row>
    <row r="122" spans="1:25" x14ac:dyDescent="0.35">
      <c r="A122">
        <v>121</v>
      </c>
      <c r="B122" t="s">
        <v>1341</v>
      </c>
      <c r="C122" t="s">
        <v>946</v>
      </c>
      <c r="D122" t="s">
        <v>14</v>
      </c>
      <c r="E122" t="s">
        <v>69</v>
      </c>
      <c r="F122" t="s">
        <v>304</v>
      </c>
      <c r="G122" s="63" t="s">
        <v>1553</v>
      </c>
      <c r="H122" s="358">
        <v>43</v>
      </c>
      <c r="J122" s="357">
        <v>3</v>
      </c>
      <c r="L122" s="358">
        <v>46</v>
      </c>
      <c r="N122" s="361">
        <f>'ExDom Parcel'!C18</f>
        <v>0</v>
      </c>
      <c r="O122" s="361">
        <f>'ExDom Parcel'!D18</f>
        <v>0</v>
      </c>
      <c r="P122" s="358">
        <f>'ExDom Parcel'!E18</f>
        <v>46</v>
      </c>
      <c r="R122" s="358">
        <f>'ExDom Parcel'!F18</f>
        <v>0</v>
      </c>
      <c r="T122" s="358">
        <f>'ExDom Parcel'!G18</f>
        <v>46</v>
      </c>
      <c r="V122" s="365">
        <f>'ExDom Parcel'!H18</f>
        <v>0</v>
      </c>
      <c r="W122" s="358">
        <f>'ExDom Parcel'!I18</f>
        <v>0</v>
      </c>
      <c r="X122" s="358">
        <f>'ExDom Parcel'!J18</f>
        <v>0</v>
      </c>
      <c r="Y122" s="358">
        <f>'ExDom Parcel'!K18</f>
        <v>0</v>
      </c>
    </row>
    <row r="123" spans="1:25" x14ac:dyDescent="0.35">
      <c r="A123">
        <v>122</v>
      </c>
      <c r="B123" t="s">
        <v>1341</v>
      </c>
      <c r="C123" t="s">
        <v>946</v>
      </c>
      <c r="D123" t="s">
        <v>14</v>
      </c>
      <c r="E123" t="s">
        <v>69</v>
      </c>
      <c r="F123" t="s">
        <v>305</v>
      </c>
      <c r="G123" s="63" t="s">
        <v>1554</v>
      </c>
      <c r="H123" s="358">
        <v>43</v>
      </c>
      <c r="J123" s="357">
        <v>3</v>
      </c>
      <c r="L123" s="358">
        <v>46</v>
      </c>
      <c r="N123" s="361">
        <f>'ExDom Parcel'!C19</f>
        <v>0</v>
      </c>
      <c r="O123" s="361">
        <f>'ExDom Parcel'!D19</f>
        <v>0</v>
      </c>
      <c r="P123" s="358">
        <f>'ExDom Parcel'!E19</f>
        <v>46</v>
      </c>
      <c r="R123" s="358">
        <f>'ExDom Parcel'!F19</f>
        <v>0</v>
      </c>
      <c r="T123" s="358">
        <f>'ExDom Parcel'!G19</f>
        <v>46</v>
      </c>
      <c r="V123" s="365">
        <f>'ExDom Parcel'!H19</f>
        <v>0</v>
      </c>
      <c r="W123" s="358">
        <f>'ExDom Parcel'!I19</f>
        <v>0</v>
      </c>
      <c r="X123" s="358">
        <f>'ExDom Parcel'!J19</f>
        <v>0</v>
      </c>
      <c r="Y123" s="358">
        <f>'ExDom Parcel'!K19</f>
        <v>0</v>
      </c>
    </row>
    <row r="124" spans="1:25" x14ac:dyDescent="0.35">
      <c r="A124">
        <v>123</v>
      </c>
      <c r="B124" t="s">
        <v>1341</v>
      </c>
      <c r="C124" t="s">
        <v>946</v>
      </c>
      <c r="D124" t="s">
        <v>14</v>
      </c>
      <c r="E124" t="s">
        <v>69</v>
      </c>
      <c r="F124" t="s">
        <v>308</v>
      </c>
      <c r="G124" s="63" t="s">
        <v>1555</v>
      </c>
      <c r="H124" s="358">
        <v>14.5</v>
      </c>
      <c r="J124" s="357">
        <v>1.75</v>
      </c>
      <c r="L124" s="358">
        <v>16.25</v>
      </c>
      <c r="N124" s="361">
        <f>'ExDom Parcel'!C20</f>
        <v>0</v>
      </c>
      <c r="O124" s="361">
        <f>'ExDom Parcel'!D20</f>
        <v>0</v>
      </c>
      <c r="P124" s="358">
        <f>'ExDom Parcel'!E20</f>
        <v>16.25</v>
      </c>
      <c r="R124" s="358">
        <f>'ExDom Parcel'!F20</f>
        <v>0</v>
      </c>
      <c r="T124" s="358">
        <f>'ExDom Parcel'!G20</f>
        <v>16.25</v>
      </c>
      <c r="V124" s="365">
        <f>'ExDom Parcel'!H20</f>
        <v>0</v>
      </c>
      <c r="W124" s="358">
        <f>'ExDom Parcel'!I20</f>
        <v>0</v>
      </c>
      <c r="X124" s="358">
        <f>'ExDom Parcel'!J20</f>
        <v>0</v>
      </c>
      <c r="Y124" s="358">
        <f>'ExDom Parcel'!K20</f>
        <v>0</v>
      </c>
    </row>
    <row r="125" spans="1:25" x14ac:dyDescent="0.35">
      <c r="A125">
        <v>124</v>
      </c>
      <c r="B125" t="s">
        <v>1341</v>
      </c>
      <c r="C125" t="s">
        <v>946</v>
      </c>
      <c r="D125" t="s">
        <v>14</v>
      </c>
      <c r="E125" t="s">
        <v>69</v>
      </c>
      <c r="F125" t="s">
        <v>309</v>
      </c>
      <c r="G125" s="63" t="s">
        <v>1556</v>
      </c>
      <c r="H125" s="358">
        <v>14.5</v>
      </c>
      <c r="J125" s="357">
        <v>1.75</v>
      </c>
      <c r="L125" s="358">
        <v>16.25</v>
      </c>
      <c r="N125" s="361">
        <f>'ExDom Parcel'!C21</f>
        <v>0</v>
      </c>
      <c r="O125" s="361">
        <f>'ExDom Parcel'!D21</f>
        <v>0</v>
      </c>
      <c r="P125" s="358">
        <f>'ExDom Parcel'!E21</f>
        <v>16.25</v>
      </c>
      <c r="R125" s="358">
        <f>'ExDom Parcel'!F21</f>
        <v>0</v>
      </c>
      <c r="T125" s="358">
        <f>'ExDom Parcel'!G21</f>
        <v>16.25</v>
      </c>
      <c r="V125" s="365">
        <f>'ExDom Parcel'!H21</f>
        <v>0</v>
      </c>
      <c r="W125" s="358">
        <f>'ExDom Parcel'!I21</f>
        <v>0</v>
      </c>
      <c r="X125" s="358">
        <f>'ExDom Parcel'!J21</f>
        <v>0</v>
      </c>
      <c r="Y125" s="358">
        <f>'ExDom Parcel'!K21</f>
        <v>0</v>
      </c>
    </row>
    <row r="126" spans="1:25" x14ac:dyDescent="0.35">
      <c r="A126">
        <v>125</v>
      </c>
      <c r="B126" t="s">
        <v>1341</v>
      </c>
      <c r="C126" t="s">
        <v>946</v>
      </c>
      <c r="D126" t="s">
        <v>14</v>
      </c>
      <c r="E126" t="s">
        <v>286</v>
      </c>
      <c r="F126" t="s">
        <v>288</v>
      </c>
      <c r="G126" s="63" t="s">
        <v>1557</v>
      </c>
      <c r="H126" s="358">
        <v>8.65</v>
      </c>
      <c r="J126" s="357">
        <v>1.3499999999999996</v>
      </c>
      <c r="L126" s="358">
        <v>10</v>
      </c>
      <c r="N126" s="361">
        <f>'ExDom Parcel'!C23</f>
        <v>0</v>
      </c>
      <c r="O126" s="361">
        <f>'ExDom Parcel'!D23</f>
        <v>0</v>
      </c>
      <c r="P126" s="358">
        <f>'ExDom Parcel'!E23</f>
        <v>10</v>
      </c>
      <c r="R126" s="358">
        <f>'ExDom Parcel'!F23</f>
        <v>0</v>
      </c>
      <c r="T126" s="358">
        <f>'ExDom Parcel'!G23</f>
        <v>10</v>
      </c>
      <c r="V126" s="365">
        <f>'ExDom Parcel'!H23</f>
        <v>0</v>
      </c>
      <c r="W126" s="358">
        <f>'ExDom Parcel'!I23</f>
        <v>0</v>
      </c>
      <c r="X126" s="358">
        <f>'ExDom Parcel'!J23</f>
        <v>0</v>
      </c>
      <c r="Y126" s="358">
        <f>'ExDom Parcel'!K23</f>
        <v>0</v>
      </c>
    </row>
    <row r="127" spans="1:25" x14ac:dyDescent="0.35">
      <c r="A127">
        <v>126</v>
      </c>
      <c r="B127" t="s">
        <v>1341</v>
      </c>
      <c r="C127" t="s">
        <v>946</v>
      </c>
      <c r="D127" t="s">
        <v>14</v>
      </c>
      <c r="E127" t="s">
        <v>286</v>
      </c>
      <c r="F127" t="s">
        <v>285</v>
      </c>
      <c r="G127" s="63" t="s">
        <v>1558</v>
      </c>
      <c r="H127" s="358">
        <v>7.15</v>
      </c>
      <c r="J127" s="357">
        <v>0.44999999999999929</v>
      </c>
      <c r="L127" s="358">
        <v>7.6</v>
      </c>
      <c r="N127" s="361">
        <f>'ExDom Parcel'!C24</f>
        <v>0</v>
      </c>
      <c r="O127" s="361">
        <f>'ExDom Parcel'!D24</f>
        <v>0</v>
      </c>
      <c r="P127" s="358">
        <f>'ExDom Parcel'!E24</f>
        <v>7.6</v>
      </c>
      <c r="R127" s="358">
        <f>'ExDom Parcel'!F24</f>
        <v>0</v>
      </c>
      <c r="T127" s="358">
        <f>'ExDom Parcel'!G24</f>
        <v>7.6</v>
      </c>
      <c r="V127" s="365">
        <f>'ExDom Parcel'!H24</f>
        <v>0</v>
      </c>
      <c r="W127" s="358">
        <f>'ExDom Parcel'!I24</f>
        <v>0</v>
      </c>
      <c r="X127" s="358">
        <f>'ExDom Parcel'!J24</f>
        <v>0</v>
      </c>
      <c r="Y127" s="358">
        <f>'ExDom Parcel'!K24</f>
        <v>0</v>
      </c>
    </row>
    <row r="128" spans="1:25" x14ac:dyDescent="0.35">
      <c r="A128">
        <v>127</v>
      </c>
      <c r="B128" t="s">
        <v>1341</v>
      </c>
      <c r="C128" t="s">
        <v>946</v>
      </c>
      <c r="D128" t="s">
        <v>14</v>
      </c>
      <c r="E128" t="s">
        <v>286</v>
      </c>
      <c r="F128" t="s">
        <v>287</v>
      </c>
      <c r="G128" s="63" t="s">
        <v>1559</v>
      </c>
      <c r="H128" s="358">
        <v>7.15</v>
      </c>
      <c r="J128" s="357">
        <v>0.44999999999999929</v>
      </c>
      <c r="L128" s="358">
        <v>7.6</v>
      </c>
      <c r="N128" s="361">
        <f>'ExDom Parcel'!C25</f>
        <v>0</v>
      </c>
      <c r="O128" s="361">
        <f>'ExDom Parcel'!D25</f>
        <v>0</v>
      </c>
      <c r="P128" s="358">
        <f>'ExDom Parcel'!E25</f>
        <v>7.6</v>
      </c>
      <c r="R128" s="358">
        <f>'ExDom Parcel'!F25</f>
        <v>0</v>
      </c>
      <c r="T128" s="358">
        <f>'ExDom Parcel'!G25</f>
        <v>7.6</v>
      </c>
      <c r="V128" s="365">
        <f>'ExDom Parcel'!H25</f>
        <v>0</v>
      </c>
      <c r="W128" s="358">
        <f>'ExDom Parcel'!I25</f>
        <v>0</v>
      </c>
      <c r="X128" s="358">
        <f>'ExDom Parcel'!J25</f>
        <v>0</v>
      </c>
      <c r="Y128" s="358">
        <f>'ExDom Parcel'!K25</f>
        <v>0</v>
      </c>
    </row>
    <row r="129" spans="1:25" x14ac:dyDescent="0.35">
      <c r="A129">
        <v>128</v>
      </c>
      <c r="B129" t="s">
        <v>1341</v>
      </c>
      <c r="C129" t="s">
        <v>946</v>
      </c>
      <c r="D129" t="s">
        <v>14</v>
      </c>
      <c r="E129" t="s">
        <v>334</v>
      </c>
      <c r="F129" t="s">
        <v>334</v>
      </c>
      <c r="G129" s="63" t="s">
        <v>1560</v>
      </c>
      <c r="H129" s="358">
        <v>8.3000000000000007</v>
      </c>
      <c r="J129" s="357">
        <v>0.5</v>
      </c>
      <c r="L129" s="358">
        <v>8.8000000000000007</v>
      </c>
      <c r="N129" s="361">
        <f>'ExDom Parcel'!C26</f>
        <v>0</v>
      </c>
      <c r="O129" s="361">
        <f>'ExDom Parcel'!D26</f>
        <v>0</v>
      </c>
      <c r="P129" s="358">
        <f>'ExDom Parcel'!E26</f>
        <v>8.8000000000000007</v>
      </c>
      <c r="R129" s="358">
        <f>'ExDom Parcel'!F26</f>
        <v>0</v>
      </c>
      <c r="T129" s="358">
        <f>'ExDom Parcel'!G26</f>
        <v>8.8000000000000007</v>
      </c>
      <c r="V129" s="365">
        <f>'ExDom Parcel'!H26</f>
        <v>0</v>
      </c>
      <c r="W129" s="358">
        <f>'ExDom Parcel'!I26</f>
        <v>0</v>
      </c>
      <c r="X129" s="358">
        <f>'ExDom Parcel'!J26</f>
        <v>0</v>
      </c>
      <c r="Y129" s="358">
        <f>'ExDom Parcel'!K26</f>
        <v>0</v>
      </c>
    </row>
    <row r="130" spans="1:25" x14ac:dyDescent="0.35">
      <c r="A130">
        <v>129</v>
      </c>
      <c r="B130" t="s">
        <v>1341</v>
      </c>
      <c r="C130" t="s">
        <v>946</v>
      </c>
      <c r="D130" t="s">
        <v>14</v>
      </c>
      <c r="E130" t="s">
        <v>18</v>
      </c>
      <c r="F130" t="s">
        <v>18</v>
      </c>
      <c r="G130" s="63" t="s">
        <v>1561</v>
      </c>
      <c r="H130" s="358">
        <v>0</v>
      </c>
      <c r="J130" s="357">
        <v>0</v>
      </c>
      <c r="L130" s="358">
        <v>0</v>
      </c>
      <c r="N130" s="361">
        <f>'ExDom Parcel'!C27</f>
        <v>0</v>
      </c>
      <c r="O130" s="361">
        <f>'ExDom Parcel'!D27</f>
        <v>0</v>
      </c>
      <c r="V130" s="365">
        <f>'ExDom Parcel'!H27</f>
        <v>0</v>
      </c>
    </row>
    <row r="131" spans="1:25" x14ac:dyDescent="0.35">
      <c r="A131">
        <v>130</v>
      </c>
      <c r="B131" t="s">
        <v>1341</v>
      </c>
      <c r="C131" t="s">
        <v>946</v>
      </c>
      <c r="D131" t="s">
        <v>14</v>
      </c>
      <c r="E131" t="s">
        <v>57</v>
      </c>
      <c r="F131" t="s">
        <v>57</v>
      </c>
      <c r="G131" s="63" t="s">
        <v>1562</v>
      </c>
      <c r="H131" s="358">
        <v>24</v>
      </c>
      <c r="J131" s="357">
        <v>1.5</v>
      </c>
      <c r="L131" s="358">
        <v>25.5</v>
      </c>
      <c r="N131" s="361">
        <f>'ExDom Parcel'!C28</f>
        <v>0</v>
      </c>
      <c r="O131" s="361">
        <f>'ExDom Parcel'!D28</f>
        <v>0</v>
      </c>
      <c r="P131" s="358">
        <f>'ExDom Parcel'!E28</f>
        <v>25.5</v>
      </c>
      <c r="R131" s="358">
        <f>'ExDom Parcel'!F28</f>
        <v>0</v>
      </c>
      <c r="T131" s="358">
        <f>'ExDom Parcel'!G28</f>
        <v>25.5</v>
      </c>
      <c r="V131" s="365">
        <f>'ExDom Parcel'!H28</f>
        <v>0</v>
      </c>
      <c r="W131" s="358">
        <f>'ExDom Parcel'!I28</f>
        <v>0</v>
      </c>
      <c r="X131" s="358">
        <f>'ExDom Parcel'!J28</f>
        <v>0</v>
      </c>
      <c r="Y131" s="358">
        <f>'ExDom Parcel'!K28</f>
        <v>0</v>
      </c>
    </row>
    <row r="132" spans="1:25" x14ac:dyDescent="0.35">
      <c r="A132">
        <v>131</v>
      </c>
      <c r="B132" t="s">
        <v>1341</v>
      </c>
      <c r="C132" t="s">
        <v>946</v>
      </c>
      <c r="D132" t="s">
        <v>14</v>
      </c>
      <c r="E132" t="s">
        <v>314</v>
      </c>
      <c r="F132" t="s">
        <v>314</v>
      </c>
      <c r="G132" s="63" t="s">
        <v>1563</v>
      </c>
      <c r="H132" s="358">
        <v>100</v>
      </c>
      <c r="J132" s="357">
        <v>0</v>
      </c>
      <c r="L132" s="358">
        <v>100</v>
      </c>
      <c r="N132" s="361">
        <f>'ExDom Parcel'!C29</f>
        <v>0</v>
      </c>
      <c r="O132" s="361">
        <f>'ExDom Parcel'!D29</f>
        <v>0</v>
      </c>
      <c r="P132" s="358">
        <f>'ExDom Parcel'!E29</f>
        <v>100</v>
      </c>
      <c r="R132" s="358">
        <f>'ExDom Parcel'!F29</f>
        <v>0</v>
      </c>
      <c r="T132" s="358">
        <f>'ExDom Parcel'!G29</f>
        <v>100</v>
      </c>
      <c r="V132" s="365">
        <f>'ExDom Parcel'!H29</f>
        <v>0</v>
      </c>
      <c r="W132" s="358">
        <f>'ExDom Parcel'!I29</f>
        <v>0</v>
      </c>
      <c r="X132" s="358">
        <f>'ExDom Parcel'!J29</f>
        <v>0</v>
      </c>
      <c r="Y132" s="358">
        <f>'ExDom Parcel'!K29</f>
        <v>0</v>
      </c>
    </row>
    <row r="133" spans="1:25" x14ac:dyDescent="0.35">
      <c r="A133">
        <v>132</v>
      </c>
      <c r="B133" t="s">
        <v>1341</v>
      </c>
      <c r="C133" t="s">
        <v>946</v>
      </c>
      <c r="D133" t="s">
        <v>14</v>
      </c>
      <c r="E133" t="s">
        <v>852</v>
      </c>
      <c r="F133" t="s">
        <v>852</v>
      </c>
      <c r="G133" s="63" t="s">
        <v>1564</v>
      </c>
      <c r="H133" s="358">
        <v>24</v>
      </c>
      <c r="J133" s="357">
        <v>1.5</v>
      </c>
      <c r="L133" s="358">
        <v>25.5</v>
      </c>
      <c r="N133" s="361">
        <f>'ExDom Parcel'!C30</f>
        <v>0</v>
      </c>
      <c r="O133" s="361">
        <f>'ExDom Parcel'!D30</f>
        <v>0</v>
      </c>
      <c r="P133" s="358">
        <f>'ExDom Parcel'!E30</f>
        <v>25.5</v>
      </c>
      <c r="R133" s="358">
        <f>'ExDom Parcel'!F30</f>
        <v>0</v>
      </c>
      <c r="T133" s="358">
        <f>'ExDom Parcel'!G30</f>
        <v>25.5</v>
      </c>
      <c r="V133" s="365">
        <f>'ExDom Parcel'!H30</f>
        <v>0</v>
      </c>
      <c r="W133" s="358">
        <f>'ExDom Parcel'!I30</f>
        <v>0</v>
      </c>
      <c r="X133" s="358">
        <f>'ExDom Parcel'!J30</f>
        <v>0</v>
      </c>
      <c r="Y133" s="358">
        <f>'ExDom Parcel'!K30</f>
        <v>0</v>
      </c>
    </row>
    <row r="134" spans="1:25" x14ac:dyDescent="0.35">
      <c r="A134">
        <v>133</v>
      </c>
      <c r="B134" t="s">
        <v>1341</v>
      </c>
      <c r="C134" t="s">
        <v>946</v>
      </c>
      <c r="D134" t="s">
        <v>14</v>
      </c>
      <c r="E134" t="s">
        <v>933</v>
      </c>
      <c r="F134" t="s">
        <v>933</v>
      </c>
      <c r="G134" s="63" t="s">
        <v>1565</v>
      </c>
      <c r="H134" s="358">
        <v>24</v>
      </c>
      <c r="J134" s="357">
        <v>1.5</v>
      </c>
      <c r="L134" s="358">
        <v>25.5</v>
      </c>
      <c r="N134" s="361">
        <f>'ExDom Parcel'!C31</f>
        <v>0</v>
      </c>
      <c r="O134" s="361">
        <f>'ExDom Parcel'!D31</f>
        <v>0</v>
      </c>
      <c r="P134" s="358">
        <f>'ExDom Parcel'!E31</f>
        <v>25.5</v>
      </c>
      <c r="R134" s="358">
        <f>'ExDom Parcel'!F31</f>
        <v>0</v>
      </c>
      <c r="T134" s="358">
        <f>'ExDom Parcel'!G31</f>
        <v>25.5</v>
      </c>
      <c r="V134" s="365">
        <f>'ExDom Parcel'!H31</f>
        <v>0</v>
      </c>
      <c r="W134" s="358">
        <f>'ExDom Parcel'!I31</f>
        <v>0</v>
      </c>
      <c r="X134" s="358">
        <f>'ExDom Parcel'!J31</f>
        <v>0</v>
      </c>
      <c r="Y134" s="358">
        <f>'ExDom Parcel'!K31</f>
        <v>0</v>
      </c>
    </row>
    <row r="135" spans="1:25" x14ac:dyDescent="0.35">
      <c r="A135">
        <v>134</v>
      </c>
      <c r="B135" t="s">
        <v>1341</v>
      </c>
      <c r="C135" t="s">
        <v>946</v>
      </c>
      <c r="D135" t="s">
        <v>14</v>
      </c>
      <c r="E135" t="s">
        <v>25</v>
      </c>
      <c r="F135" t="s">
        <v>1517</v>
      </c>
      <c r="G135" s="63" t="s">
        <v>1566</v>
      </c>
      <c r="H135" s="358">
        <v>6.55</v>
      </c>
      <c r="J135" s="357">
        <v>0.40000000000000036</v>
      </c>
      <c r="L135" s="358">
        <v>6.95</v>
      </c>
      <c r="N135" s="361">
        <f>'ExDom Parcel'!C32</f>
        <v>0</v>
      </c>
      <c r="O135" s="361">
        <f>'ExDom Parcel'!D32</f>
        <v>0</v>
      </c>
      <c r="P135" s="358">
        <f>'ExDom Parcel'!E32</f>
        <v>6.95</v>
      </c>
      <c r="R135" s="358">
        <f>'ExDom Parcel'!F32</f>
        <v>0</v>
      </c>
      <c r="T135" s="358">
        <f>'ExDom Parcel'!G32</f>
        <v>6.95</v>
      </c>
      <c r="V135" s="365">
        <f>'ExDom Parcel'!H32</f>
        <v>0</v>
      </c>
      <c r="W135" s="358">
        <f>'ExDom Parcel'!I32</f>
        <v>0</v>
      </c>
      <c r="X135" s="358">
        <f>'ExDom Parcel'!J32</f>
        <v>0</v>
      </c>
      <c r="Y135" s="358">
        <f>'ExDom Parcel'!K32</f>
        <v>0</v>
      </c>
    </row>
    <row r="136" spans="1:25" x14ac:dyDescent="0.35">
      <c r="A136">
        <v>135</v>
      </c>
      <c r="B136" t="s">
        <v>1341</v>
      </c>
      <c r="C136" t="s">
        <v>946</v>
      </c>
      <c r="D136" t="s">
        <v>14</v>
      </c>
      <c r="E136" t="s">
        <v>283</v>
      </c>
      <c r="F136" t="s">
        <v>1003</v>
      </c>
      <c r="G136" s="63" t="s">
        <v>1567</v>
      </c>
      <c r="H136" s="358">
        <v>1.05</v>
      </c>
      <c r="J136" s="357">
        <v>0</v>
      </c>
      <c r="L136" s="358">
        <v>1.05</v>
      </c>
      <c r="N136" s="361">
        <f>'ExDom Parcel'!C34</f>
        <v>0</v>
      </c>
      <c r="O136" s="361">
        <f>'ExDom Parcel'!D34</f>
        <v>0</v>
      </c>
      <c r="P136" s="358">
        <f>'ExDom Parcel'!E34</f>
        <v>1.05</v>
      </c>
      <c r="R136" s="358">
        <f>'ExDom Parcel'!F34</f>
        <v>0</v>
      </c>
      <c r="T136" s="358">
        <f>'ExDom Parcel'!G34</f>
        <v>1.05</v>
      </c>
      <c r="V136" s="365">
        <f>'ExDom Parcel'!H34</f>
        <v>0</v>
      </c>
      <c r="W136" s="358">
        <f>'ExDom Parcel'!I34</f>
        <v>0</v>
      </c>
      <c r="X136" s="358">
        <f>'ExDom Parcel'!J34</f>
        <v>0</v>
      </c>
      <c r="Y136" s="358">
        <f>'ExDom Parcel'!K34</f>
        <v>0</v>
      </c>
    </row>
    <row r="137" spans="1:25" x14ac:dyDescent="0.35">
      <c r="A137">
        <v>136</v>
      </c>
      <c r="B137" t="s">
        <v>1341</v>
      </c>
      <c r="C137" t="s">
        <v>946</v>
      </c>
      <c r="D137" t="s">
        <v>14</v>
      </c>
      <c r="E137" t="s">
        <v>283</v>
      </c>
      <c r="F137" t="s">
        <v>1005</v>
      </c>
      <c r="G137" s="63" t="s">
        <v>1568</v>
      </c>
      <c r="H137" s="358">
        <v>1.05</v>
      </c>
      <c r="J137" s="357">
        <v>0</v>
      </c>
      <c r="L137" s="358">
        <v>1.05</v>
      </c>
      <c r="N137" s="361">
        <f>'ExDom Parcel'!C35</f>
        <v>0</v>
      </c>
      <c r="O137" s="361">
        <f>'ExDom Parcel'!D35</f>
        <v>0</v>
      </c>
      <c r="P137" s="358">
        <f>'ExDom Parcel'!E35</f>
        <v>1.05</v>
      </c>
      <c r="R137" s="358">
        <f>'ExDom Parcel'!F35</f>
        <v>0</v>
      </c>
      <c r="T137" s="358">
        <f>'ExDom Parcel'!G35</f>
        <v>1.05</v>
      </c>
      <c r="V137" s="365">
        <f>'ExDom Parcel'!H35</f>
        <v>0</v>
      </c>
      <c r="W137" s="358">
        <f>'ExDom Parcel'!I35</f>
        <v>0</v>
      </c>
      <c r="X137" s="358">
        <f>'ExDom Parcel'!J35</f>
        <v>0</v>
      </c>
      <c r="Y137" s="358">
        <f>'ExDom Parcel'!K35</f>
        <v>0</v>
      </c>
    </row>
    <row r="138" spans="1:25" x14ac:dyDescent="0.35">
      <c r="A138">
        <v>137</v>
      </c>
      <c r="B138" t="s">
        <v>1341</v>
      </c>
      <c r="C138" t="s">
        <v>946</v>
      </c>
      <c r="D138" t="s">
        <v>14</v>
      </c>
      <c r="E138" t="s">
        <v>327</v>
      </c>
      <c r="F138" t="s">
        <v>327</v>
      </c>
      <c r="G138" s="63" t="s">
        <v>1569</v>
      </c>
      <c r="H138" s="358">
        <v>4</v>
      </c>
      <c r="J138" s="357">
        <v>0.25</v>
      </c>
      <c r="L138" s="358">
        <v>4.25</v>
      </c>
      <c r="N138" s="361">
        <f>'ExDom Parcel'!C36</f>
        <v>0</v>
      </c>
      <c r="O138" s="361">
        <f>'ExDom Parcel'!D36</f>
        <v>0</v>
      </c>
      <c r="P138" s="358">
        <f>'ExDom Parcel'!E36</f>
        <v>4.25</v>
      </c>
      <c r="R138" s="358">
        <f>'ExDom Parcel'!F36</f>
        <v>0</v>
      </c>
      <c r="T138" s="358">
        <f>'ExDom Parcel'!G36</f>
        <v>4.25</v>
      </c>
      <c r="V138" s="365">
        <f>'ExDom Parcel'!H36</f>
        <v>0</v>
      </c>
      <c r="W138" s="358">
        <f>'ExDom Parcel'!I36</f>
        <v>0</v>
      </c>
      <c r="X138" s="358">
        <f>'ExDom Parcel'!J36</f>
        <v>0</v>
      </c>
      <c r="Y138" s="358">
        <f>'ExDom Parcel'!K36</f>
        <v>0</v>
      </c>
    </row>
    <row r="139" spans="1:25" x14ac:dyDescent="0.35">
      <c r="A139">
        <v>138</v>
      </c>
      <c r="B139" t="s">
        <v>1341</v>
      </c>
      <c r="C139" t="s">
        <v>946</v>
      </c>
      <c r="D139" t="s">
        <v>14</v>
      </c>
      <c r="E139" t="s">
        <v>46</v>
      </c>
      <c r="F139" t="s">
        <v>46</v>
      </c>
      <c r="G139" s="63" t="s">
        <v>1570</v>
      </c>
      <c r="H139" s="358">
        <v>16</v>
      </c>
      <c r="J139" s="357">
        <v>0</v>
      </c>
      <c r="L139" s="358">
        <v>16</v>
      </c>
      <c r="N139" s="361">
        <f>'ExDom Parcel'!C37</f>
        <v>0</v>
      </c>
      <c r="O139" s="361">
        <f>'ExDom Parcel'!D37</f>
        <v>0</v>
      </c>
      <c r="P139" s="358">
        <f>'ExDom Parcel'!E37</f>
        <v>16</v>
      </c>
      <c r="R139" s="358">
        <f>'ExDom Parcel'!F37</f>
        <v>0</v>
      </c>
      <c r="T139" s="358">
        <f>'ExDom Parcel'!G37</f>
        <v>16</v>
      </c>
      <c r="V139" s="365">
        <f>'ExDom Parcel'!H37</f>
        <v>0</v>
      </c>
      <c r="W139" s="358">
        <f>'ExDom Parcel'!I37</f>
        <v>0</v>
      </c>
      <c r="X139" s="358">
        <f>'ExDom Parcel'!J37</f>
        <v>0</v>
      </c>
      <c r="Y139" s="358">
        <f>'ExDom Parcel'!K37</f>
        <v>0</v>
      </c>
    </row>
    <row r="140" spans="1:25" x14ac:dyDescent="0.35">
      <c r="A140">
        <v>139</v>
      </c>
      <c r="B140" t="s">
        <v>1341</v>
      </c>
      <c r="C140" t="s">
        <v>946</v>
      </c>
      <c r="D140" t="s">
        <v>14</v>
      </c>
      <c r="E140" t="s">
        <v>24</v>
      </c>
      <c r="F140" t="s">
        <v>24</v>
      </c>
      <c r="G140" s="63" t="s">
        <v>1571</v>
      </c>
      <c r="H140" s="358">
        <v>16</v>
      </c>
      <c r="J140" s="357">
        <v>0</v>
      </c>
      <c r="L140" s="358">
        <v>16</v>
      </c>
      <c r="N140" s="361">
        <f>'ExDom Parcel'!C38</f>
        <v>0</v>
      </c>
      <c r="O140" s="361">
        <f>'ExDom Parcel'!D38</f>
        <v>0</v>
      </c>
      <c r="P140" s="358">
        <f>'ExDom Parcel'!E38</f>
        <v>16</v>
      </c>
      <c r="R140" s="358">
        <f>'ExDom Parcel'!F38</f>
        <v>0</v>
      </c>
      <c r="T140" s="358">
        <f>'ExDom Parcel'!G38</f>
        <v>16</v>
      </c>
      <c r="V140" s="365">
        <f>'ExDom Parcel'!H38</f>
        <v>0</v>
      </c>
      <c r="W140" s="358">
        <f>'ExDom Parcel'!I38</f>
        <v>0</v>
      </c>
      <c r="X140" s="358">
        <f>'ExDom Parcel'!J38</f>
        <v>0</v>
      </c>
      <c r="Y140" s="358">
        <f>'ExDom Parcel'!K38</f>
        <v>0</v>
      </c>
    </row>
    <row r="141" spans="1:25" x14ac:dyDescent="0.35">
      <c r="A141">
        <v>140</v>
      </c>
      <c r="B141" t="s">
        <v>1350</v>
      </c>
      <c r="C141" t="s">
        <v>946</v>
      </c>
      <c r="D141" t="s">
        <v>14</v>
      </c>
      <c r="E141" t="s">
        <v>31</v>
      </c>
      <c r="F141" t="s">
        <v>31</v>
      </c>
      <c r="G141" s="63" t="s">
        <v>1541</v>
      </c>
      <c r="H141" s="358">
        <v>24</v>
      </c>
      <c r="J141" s="357">
        <v>1.5</v>
      </c>
      <c r="L141" s="358">
        <v>25.5</v>
      </c>
      <c r="N141" s="361">
        <f>'ExDom Parcel'!L4</f>
        <v>0</v>
      </c>
      <c r="O141" s="361">
        <f>'ExDom Parcel'!M4</f>
        <v>0</v>
      </c>
      <c r="P141" s="358">
        <f>'ExDom Parcel'!N4</f>
        <v>25.5</v>
      </c>
      <c r="R141" s="358">
        <f>'ExDom Parcel'!O4</f>
        <v>0</v>
      </c>
      <c r="T141" s="358">
        <f>'ExDom Parcel'!P4</f>
        <v>25.5</v>
      </c>
      <c r="V141" s="365">
        <f>'ExDom Parcel'!Q4</f>
        <v>0</v>
      </c>
      <c r="W141" s="358">
        <f>'ExDom Parcel'!R4</f>
        <v>0</v>
      </c>
      <c r="X141" s="358">
        <f>'ExDom Parcel'!S4</f>
        <v>0</v>
      </c>
      <c r="Y141" s="358">
        <f>'ExDom Parcel'!T4</f>
        <v>0</v>
      </c>
    </row>
    <row r="142" spans="1:25" x14ac:dyDescent="0.35">
      <c r="A142">
        <v>141</v>
      </c>
      <c r="B142" t="s">
        <v>1350</v>
      </c>
      <c r="C142" t="s">
        <v>946</v>
      </c>
      <c r="D142" t="s">
        <v>14</v>
      </c>
      <c r="E142" t="s">
        <v>332</v>
      </c>
      <c r="F142" t="s">
        <v>332</v>
      </c>
      <c r="G142" s="63" t="s">
        <v>1542</v>
      </c>
      <c r="H142" s="358">
        <v>19</v>
      </c>
      <c r="J142" s="357">
        <v>0</v>
      </c>
      <c r="L142" s="358">
        <v>19</v>
      </c>
      <c r="N142" s="361">
        <f>'ExDom Parcel'!L5</f>
        <v>0</v>
      </c>
      <c r="O142" s="361">
        <f>'ExDom Parcel'!M5</f>
        <v>0</v>
      </c>
      <c r="P142" s="358">
        <f>'ExDom Parcel'!N5</f>
        <v>19</v>
      </c>
      <c r="R142" s="358">
        <f>'ExDom Parcel'!O5</f>
        <v>0</v>
      </c>
      <c r="T142" s="358">
        <f>'ExDom Parcel'!P5</f>
        <v>19</v>
      </c>
      <c r="V142" s="365">
        <f>'ExDom Parcel'!Q5</f>
        <v>0</v>
      </c>
      <c r="W142" s="358">
        <f>'ExDom Parcel'!R5</f>
        <v>0</v>
      </c>
      <c r="X142" s="358">
        <f>'ExDom Parcel'!S5</f>
        <v>0</v>
      </c>
      <c r="Y142" s="358">
        <f>'ExDom Parcel'!T5</f>
        <v>0</v>
      </c>
    </row>
    <row r="143" spans="1:25" x14ac:dyDescent="0.35">
      <c r="A143">
        <v>142</v>
      </c>
      <c r="B143" t="s">
        <v>1350</v>
      </c>
      <c r="C143" t="s">
        <v>946</v>
      </c>
      <c r="D143" t="s">
        <v>14</v>
      </c>
      <c r="E143" t="s">
        <v>51</v>
      </c>
      <c r="F143" t="s">
        <v>62</v>
      </c>
      <c r="G143" s="63" t="s">
        <v>1543</v>
      </c>
      <c r="H143" s="358">
        <v>175</v>
      </c>
      <c r="J143" s="357">
        <v>10</v>
      </c>
      <c r="L143" s="358">
        <v>185</v>
      </c>
      <c r="N143" s="361">
        <f>'ExDom Parcel'!L7</f>
        <v>0</v>
      </c>
      <c r="O143" s="361">
        <f>'ExDom Parcel'!M7</f>
        <v>0</v>
      </c>
      <c r="P143" s="358">
        <f>'ExDom Parcel'!N7</f>
        <v>185</v>
      </c>
      <c r="R143" s="358">
        <f>'ExDom Parcel'!O7</f>
        <v>0</v>
      </c>
      <c r="T143" s="358">
        <f>'ExDom Parcel'!P7</f>
        <v>185</v>
      </c>
      <c r="V143" s="365">
        <f>'ExDom Parcel'!Q7</f>
        <v>0</v>
      </c>
      <c r="W143" s="358">
        <f>'ExDom Parcel'!R7</f>
        <v>0</v>
      </c>
      <c r="X143" s="358">
        <f>'ExDom Parcel'!S7</f>
        <v>0</v>
      </c>
      <c r="Y143" s="358">
        <f>'ExDom Parcel'!T7</f>
        <v>0</v>
      </c>
    </row>
    <row r="144" spans="1:25" x14ac:dyDescent="0.35">
      <c r="A144">
        <v>143</v>
      </c>
      <c r="B144" t="s">
        <v>1350</v>
      </c>
      <c r="C144" t="s">
        <v>946</v>
      </c>
      <c r="D144" t="s">
        <v>14</v>
      </c>
      <c r="E144" t="s">
        <v>51</v>
      </c>
      <c r="F144" t="s">
        <v>977</v>
      </c>
      <c r="G144" s="63" t="s">
        <v>1544</v>
      </c>
      <c r="H144" s="358">
        <v>80</v>
      </c>
      <c r="J144" s="357">
        <v>5</v>
      </c>
      <c r="L144" s="358">
        <v>85</v>
      </c>
      <c r="N144" s="361">
        <f>'ExDom Parcel'!L8</f>
        <v>0</v>
      </c>
      <c r="O144" s="361">
        <f>'ExDom Parcel'!M8</f>
        <v>0</v>
      </c>
      <c r="P144" s="358">
        <f>'ExDom Parcel'!N8</f>
        <v>85</v>
      </c>
      <c r="R144" s="358">
        <f>'ExDom Parcel'!O8</f>
        <v>0</v>
      </c>
      <c r="T144" s="358">
        <f>'ExDom Parcel'!P8</f>
        <v>85</v>
      </c>
      <c r="V144" s="365">
        <f>'ExDom Parcel'!Q8</f>
        <v>0</v>
      </c>
      <c r="W144" s="358">
        <f>'ExDom Parcel'!R8</f>
        <v>0</v>
      </c>
      <c r="X144" s="358">
        <f>'ExDom Parcel'!S8</f>
        <v>0</v>
      </c>
      <c r="Y144" s="358">
        <f>'ExDom Parcel'!T8</f>
        <v>0</v>
      </c>
    </row>
    <row r="145" spans="1:25" x14ac:dyDescent="0.35">
      <c r="A145">
        <v>144</v>
      </c>
      <c r="B145" t="s">
        <v>1350</v>
      </c>
      <c r="C145" t="s">
        <v>946</v>
      </c>
      <c r="D145" t="s">
        <v>14</v>
      </c>
      <c r="E145" t="s">
        <v>52</v>
      </c>
      <c r="F145" t="s">
        <v>52</v>
      </c>
      <c r="G145" s="63" t="s">
        <v>1545</v>
      </c>
      <c r="H145" s="358">
        <v>8</v>
      </c>
      <c r="J145" s="357">
        <v>0.5</v>
      </c>
      <c r="L145" s="358">
        <v>8.5</v>
      </c>
      <c r="N145" s="361">
        <f>'ExDom Parcel'!L9</f>
        <v>0</v>
      </c>
      <c r="O145" s="361">
        <f>'ExDom Parcel'!M9</f>
        <v>0</v>
      </c>
      <c r="P145" s="358">
        <f>'ExDom Parcel'!N9</f>
        <v>8.5</v>
      </c>
      <c r="R145" s="358">
        <f>'ExDom Parcel'!O9</f>
        <v>0</v>
      </c>
      <c r="T145" s="358">
        <f>'ExDom Parcel'!P9</f>
        <v>8.5</v>
      </c>
      <c r="V145" s="365">
        <f>'ExDom Parcel'!Q9</f>
        <v>0</v>
      </c>
      <c r="W145" s="358">
        <f>'ExDom Parcel'!R9</f>
        <v>0</v>
      </c>
      <c r="X145" s="358">
        <f>'ExDom Parcel'!S9</f>
        <v>0</v>
      </c>
      <c r="Y145" s="358">
        <f>'ExDom Parcel'!T9</f>
        <v>0</v>
      </c>
    </row>
    <row r="146" spans="1:25" x14ac:dyDescent="0.35">
      <c r="A146">
        <v>145</v>
      </c>
      <c r="B146" t="s">
        <v>1350</v>
      </c>
      <c r="C146" t="s">
        <v>946</v>
      </c>
      <c r="D146" t="s">
        <v>14</v>
      </c>
      <c r="E146" t="s">
        <v>28</v>
      </c>
      <c r="F146" t="s">
        <v>28</v>
      </c>
      <c r="G146" s="63" t="s">
        <v>1546</v>
      </c>
      <c r="H146" s="358">
        <v>1.5</v>
      </c>
      <c r="J146" s="357">
        <v>0.14999999999999991</v>
      </c>
      <c r="L146" s="358">
        <v>1.65</v>
      </c>
      <c r="N146" s="361">
        <f>'ExDom Parcel'!L10</f>
        <v>0</v>
      </c>
      <c r="O146" s="361">
        <f>'ExDom Parcel'!M10</f>
        <v>0</v>
      </c>
      <c r="P146" s="358">
        <f>'ExDom Parcel'!N10</f>
        <v>1.65</v>
      </c>
      <c r="R146" s="358">
        <f>'ExDom Parcel'!O10</f>
        <v>0</v>
      </c>
      <c r="T146" s="358">
        <f>'ExDom Parcel'!P10</f>
        <v>1.65</v>
      </c>
      <c r="V146" s="365">
        <f>'ExDom Parcel'!Q10</f>
        <v>0</v>
      </c>
    </row>
    <row r="147" spans="1:25" x14ac:dyDescent="0.35">
      <c r="A147">
        <v>146</v>
      </c>
      <c r="B147" t="s">
        <v>1350</v>
      </c>
      <c r="C147" t="s">
        <v>946</v>
      </c>
      <c r="D147" t="s">
        <v>14</v>
      </c>
      <c r="E147" t="s">
        <v>69</v>
      </c>
      <c r="F147" t="s">
        <v>281</v>
      </c>
      <c r="G147" s="63" t="s">
        <v>1547</v>
      </c>
      <c r="H147" s="358">
        <v>4.2</v>
      </c>
      <c r="J147" s="357">
        <v>0.25</v>
      </c>
      <c r="L147" s="358">
        <v>4.45</v>
      </c>
      <c r="N147" s="361">
        <f>'ExDom Parcel'!L12</f>
        <v>0</v>
      </c>
      <c r="O147" s="361">
        <f>'ExDom Parcel'!M12</f>
        <v>0</v>
      </c>
      <c r="P147" s="358">
        <f>'ExDom Parcel'!N12</f>
        <v>4.45</v>
      </c>
      <c r="R147" s="358">
        <f>'ExDom Parcel'!O12</f>
        <v>0</v>
      </c>
      <c r="T147" s="358">
        <f>'ExDom Parcel'!P12</f>
        <v>4.45</v>
      </c>
      <c r="V147" s="365">
        <f>'ExDom Parcel'!Q12</f>
        <v>0</v>
      </c>
      <c r="W147" s="358">
        <f>'ExDom Parcel'!R12</f>
        <v>0</v>
      </c>
      <c r="X147" s="358">
        <f>'ExDom Parcel'!S12</f>
        <v>0</v>
      </c>
      <c r="Y147" s="358">
        <f>'ExDom Parcel'!T12</f>
        <v>0</v>
      </c>
    </row>
    <row r="148" spans="1:25" x14ac:dyDescent="0.35">
      <c r="A148">
        <v>147</v>
      </c>
      <c r="B148" t="s">
        <v>1350</v>
      </c>
      <c r="C148" t="s">
        <v>946</v>
      </c>
      <c r="D148" t="s">
        <v>14</v>
      </c>
      <c r="E148" t="s">
        <v>69</v>
      </c>
      <c r="F148" t="s">
        <v>306</v>
      </c>
      <c r="G148" s="63" t="s">
        <v>1548</v>
      </c>
      <c r="H148" s="358">
        <v>5.25</v>
      </c>
      <c r="J148" s="357">
        <v>0.29999999999999982</v>
      </c>
      <c r="L148" s="358">
        <v>5.55</v>
      </c>
      <c r="N148" s="361">
        <f>'ExDom Parcel'!L13</f>
        <v>0</v>
      </c>
      <c r="O148" s="361">
        <f>'ExDom Parcel'!M13</f>
        <v>0</v>
      </c>
      <c r="P148" s="358">
        <f>'ExDom Parcel'!N13</f>
        <v>5.55</v>
      </c>
      <c r="R148" s="358">
        <f>'ExDom Parcel'!O13</f>
        <v>0</v>
      </c>
      <c r="T148" s="358">
        <f>'ExDom Parcel'!P13</f>
        <v>5.55</v>
      </c>
      <c r="V148" s="365">
        <f>'ExDom Parcel'!Q13</f>
        <v>0</v>
      </c>
      <c r="W148" s="358">
        <f>'ExDom Parcel'!R13</f>
        <v>0</v>
      </c>
      <c r="X148" s="358">
        <f>'ExDom Parcel'!S13</f>
        <v>0</v>
      </c>
      <c r="Y148" s="358">
        <f>'ExDom Parcel'!T13</f>
        <v>0</v>
      </c>
    </row>
    <row r="149" spans="1:25" x14ac:dyDescent="0.35">
      <c r="A149">
        <v>148</v>
      </c>
      <c r="B149" t="s">
        <v>1350</v>
      </c>
      <c r="C149" t="s">
        <v>946</v>
      </c>
      <c r="D149" t="s">
        <v>14</v>
      </c>
      <c r="E149" t="s">
        <v>69</v>
      </c>
      <c r="F149" t="s">
        <v>951</v>
      </c>
      <c r="G149" s="63" t="s">
        <v>1549</v>
      </c>
      <c r="H149" s="358">
        <v>15.5</v>
      </c>
      <c r="J149" s="357">
        <v>1.25</v>
      </c>
      <c r="L149" s="358">
        <v>16.75</v>
      </c>
      <c r="N149" s="361">
        <f>'ExDom Parcel'!L14</f>
        <v>0</v>
      </c>
      <c r="O149" s="361">
        <f>'ExDom Parcel'!M14</f>
        <v>0</v>
      </c>
      <c r="P149" s="358">
        <f>'ExDom Parcel'!N14</f>
        <v>16.75</v>
      </c>
      <c r="R149" s="358">
        <f>'ExDom Parcel'!O14</f>
        <v>0</v>
      </c>
      <c r="T149" s="358">
        <f>'ExDom Parcel'!P14</f>
        <v>16.75</v>
      </c>
      <c r="V149" s="365">
        <f>'ExDom Parcel'!Q14</f>
        <v>0</v>
      </c>
      <c r="W149" s="358">
        <f>'ExDom Parcel'!R14</f>
        <v>0</v>
      </c>
      <c r="X149" s="358">
        <f>'ExDom Parcel'!S14</f>
        <v>0</v>
      </c>
      <c r="Y149" s="358">
        <f>'ExDom Parcel'!T14</f>
        <v>0</v>
      </c>
    </row>
    <row r="150" spans="1:25" x14ac:dyDescent="0.35">
      <c r="A150">
        <v>149</v>
      </c>
      <c r="B150" t="s">
        <v>1350</v>
      </c>
      <c r="C150" t="s">
        <v>946</v>
      </c>
      <c r="D150" t="s">
        <v>14</v>
      </c>
      <c r="E150" t="s">
        <v>69</v>
      </c>
      <c r="F150" t="s">
        <v>282</v>
      </c>
      <c r="G150" s="63" t="s">
        <v>1550</v>
      </c>
      <c r="H150" s="358">
        <v>6.2</v>
      </c>
      <c r="J150" s="357">
        <v>0.39999999999999947</v>
      </c>
      <c r="L150" s="358">
        <v>6.6</v>
      </c>
      <c r="N150" s="361">
        <f>'ExDom Parcel'!L15</f>
        <v>0</v>
      </c>
      <c r="O150" s="361">
        <f>'ExDom Parcel'!M15</f>
        <v>0</v>
      </c>
      <c r="P150" s="358">
        <f>'ExDom Parcel'!N15</f>
        <v>6.6</v>
      </c>
      <c r="R150" s="358">
        <f>'ExDom Parcel'!O15</f>
        <v>0</v>
      </c>
      <c r="T150" s="358">
        <f>'ExDom Parcel'!P15</f>
        <v>6.6</v>
      </c>
      <c r="V150" s="365">
        <f>'ExDom Parcel'!Q15</f>
        <v>0</v>
      </c>
      <c r="W150" s="358">
        <f>'ExDom Parcel'!R15</f>
        <v>0</v>
      </c>
      <c r="X150" s="358">
        <f>'ExDom Parcel'!S15</f>
        <v>0</v>
      </c>
      <c r="Y150" s="358">
        <f>'ExDom Parcel'!T15</f>
        <v>0</v>
      </c>
    </row>
    <row r="151" spans="1:25" x14ac:dyDescent="0.35">
      <c r="A151">
        <v>150</v>
      </c>
      <c r="B151" t="s">
        <v>1350</v>
      </c>
      <c r="C151" t="s">
        <v>946</v>
      </c>
      <c r="D151" t="s">
        <v>14</v>
      </c>
      <c r="E151" t="s">
        <v>69</v>
      </c>
      <c r="F151" t="s">
        <v>307</v>
      </c>
      <c r="G151" s="63" t="s">
        <v>1551</v>
      </c>
      <c r="H151" s="358">
        <v>8.3000000000000007</v>
      </c>
      <c r="J151" s="357">
        <v>0.5</v>
      </c>
      <c r="L151" s="358">
        <v>8.8000000000000007</v>
      </c>
      <c r="N151" s="361">
        <f>'ExDom Parcel'!L16</f>
        <v>0</v>
      </c>
      <c r="O151" s="361">
        <f>'ExDom Parcel'!M16</f>
        <v>0</v>
      </c>
      <c r="P151" s="358">
        <f>'ExDom Parcel'!N16</f>
        <v>8.8000000000000007</v>
      </c>
      <c r="R151" s="358">
        <f>'ExDom Parcel'!O16</f>
        <v>0</v>
      </c>
      <c r="T151" s="358">
        <f>'ExDom Parcel'!P16</f>
        <v>8.8000000000000007</v>
      </c>
      <c r="V151" s="365">
        <f>'ExDom Parcel'!Q16</f>
        <v>0</v>
      </c>
      <c r="W151" s="358">
        <f>'ExDom Parcel'!R16</f>
        <v>0</v>
      </c>
      <c r="X151" s="358">
        <f>'ExDom Parcel'!S16</f>
        <v>0</v>
      </c>
      <c r="Y151" s="358">
        <f>'ExDom Parcel'!T16</f>
        <v>0</v>
      </c>
    </row>
    <row r="152" spans="1:25" x14ac:dyDescent="0.35">
      <c r="A152">
        <v>151</v>
      </c>
      <c r="B152" t="s">
        <v>1350</v>
      </c>
      <c r="C152" t="s">
        <v>946</v>
      </c>
      <c r="D152" t="s">
        <v>14</v>
      </c>
      <c r="E152" t="s">
        <v>69</v>
      </c>
      <c r="F152" t="s">
        <v>952</v>
      </c>
      <c r="G152" s="63" t="s">
        <v>1552</v>
      </c>
      <c r="H152" s="358">
        <v>15.5</v>
      </c>
      <c r="J152" s="357">
        <v>1.25</v>
      </c>
      <c r="L152" s="358">
        <v>16.75</v>
      </c>
      <c r="N152" s="361">
        <f>'ExDom Parcel'!L17</f>
        <v>0</v>
      </c>
      <c r="O152" s="361">
        <f>'ExDom Parcel'!M17</f>
        <v>0</v>
      </c>
      <c r="P152" s="358">
        <f>'ExDom Parcel'!N17</f>
        <v>16.75</v>
      </c>
      <c r="R152" s="358">
        <f>'ExDom Parcel'!O17</f>
        <v>0</v>
      </c>
      <c r="T152" s="358">
        <f>'ExDom Parcel'!P17</f>
        <v>16.75</v>
      </c>
      <c r="V152" s="365">
        <f>'ExDom Parcel'!Q17</f>
        <v>0</v>
      </c>
      <c r="W152" s="358">
        <f>'ExDom Parcel'!R17</f>
        <v>0</v>
      </c>
      <c r="X152" s="358">
        <f>'ExDom Parcel'!S17</f>
        <v>0</v>
      </c>
      <c r="Y152" s="358">
        <f>'ExDom Parcel'!T17</f>
        <v>0</v>
      </c>
    </row>
    <row r="153" spans="1:25" x14ac:dyDescent="0.35">
      <c r="A153">
        <v>152</v>
      </c>
      <c r="B153" t="s">
        <v>1350</v>
      </c>
      <c r="C153" t="s">
        <v>946</v>
      </c>
      <c r="D153" t="s">
        <v>14</v>
      </c>
      <c r="E153" t="s">
        <v>69</v>
      </c>
      <c r="F153" t="s">
        <v>304</v>
      </c>
      <c r="G153" s="63" t="s">
        <v>1553</v>
      </c>
      <c r="H153" s="358">
        <v>43</v>
      </c>
      <c r="J153" s="357">
        <v>3</v>
      </c>
      <c r="L153" s="358">
        <v>46</v>
      </c>
      <c r="N153" s="361">
        <f>'ExDom Parcel'!L18</f>
        <v>0</v>
      </c>
      <c r="O153" s="361">
        <f>'ExDom Parcel'!M18</f>
        <v>0</v>
      </c>
      <c r="P153" s="358">
        <f>'ExDom Parcel'!N18</f>
        <v>46</v>
      </c>
      <c r="R153" s="358">
        <f>'ExDom Parcel'!O18</f>
        <v>0</v>
      </c>
      <c r="T153" s="358">
        <f>'ExDom Parcel'!P18</f>
        <v>46</v>
      </c>
      <c r="V153" s="365">
        <f>'ExDom Parcel'!Q18</f>
        <v>0</v>
      </c>
      <c r="W153" s="358">
        <f>'ExDom Parcel'!R18</f>
        <v>0</v>
      </c>
      <c r="X153" s="358">
        <f>'ExDom Parcel'!S18</f>
        <v>0</v>
      </c>
      <c r="Y153" s="358">
        <f>'ExDom Parcel'!T18</f>
        <v>0</v>
      </c>
    </row>
    <row r="154" spans="1:25" x14ac:dyDescent="0.35">
      <c r="A154">
        <v>153</v>
      </c>
      <c r="B154" t="s">
        <v>1350</v>
      </c>
      <c r="C154" t="s">
        <v>946</v>
      </c>
      <c r="D154" t="s">
        <v>14</v>
      </c>
      <c r="E154" t="s">
        <v>69</v>
      </c>
      <c r="F154" t="s">
        <v>305</v>
      </c>
      <c r="G154" s="63" t="s">
        <v>1554</v>
      </c>
      <c r="H154" s="358">
        <v>43</v>
      </c>
      <c r="J154" s="357">
        <v>3</v>
      </c>
      <c r="L154" s="358">
        <v>46</v>
      </c>
      <c r="N154" s="361">
        <f>'ExDom Parcel'!L19</f>
        <v>0</v>
      </c>
      <c r="O154" s="361">
        <f>'ExDom Parcel'!M19</f>
        <v>0</v>
      </c>
      <c r="P154" s="358">
        <f>'ExDom Parcel'!N19</f>
        <v>46</v>
      </c>
      <c r="R154" s="358">
        <f>'ExDom Parcel'!O19</f>
        <v>0</v>
      </c>
      <c r="T154" s="358">
        <f>'ExDom Parcel'!P19</f>
        <v>46</v>
      </c>
      <c r="V154" s="365">
        <f>'ExDom Parcel'!Q19</f>
        <v>0</v>
      </c>
      <c r="W154" s="358">
        <f>'ExDom Parcel'!R19</f>
        <v>0</v>
      </c>
      <c r="X154" s="358">
        <f>'ExDom Parcel'!S19</f>
        <v>0</v>
      </c>
      <c r="Y154" s="358">
        <f>'ExDom Parcel'!T19</f>
        <v>0</v>
      </c>
    </row>
    <row r="155" spans="1:25" x14ac:dyDescent="0.35">
      <c r="A155">
        <v>154</v>
      </c>
      <c r="B155" t="s">
        <v>1350</v>
      </c>
      <c r="C155" t="s">
        <v>946</v>
      </c>
      <c r="D155" t="s">
        <v>14</v>
      </c>
      <c r="E155" t="s">
        <v>69</v>
      </c>
      <c r="F155" t="s">
        <v>308</v>
      </c>
      <c r="G155" s="63" t="s">
        <v>1555</v>
      </c>
      <c r="H155" s="358">
        <v>14.5</v>
      </c>
      <c r="J155" s="357">
        <v>1.75</v>
      </c>
      <c r="L155" s="358">
        <v>16.25</v>
      </c>
      <c r="N155" s="361">
        <f>'ExDom Parcel'!L20</f>
        <v>0</v>
      </c>
      <c r="O155" s="361">
        <f>'ExDom Parcel'!M20</f>
        <v>0</v>
      </c>
      <c r="P155" s="358">
        <f>'ExDom Parcel'!N20</f>
        <v>16.25</v>
      </c>
      <c r="R155" s="358">
        <f>'ExDom Parcel'!O20</f>
        <v>0</v>
      </c>
      <c r="T155" s="358">
        <f>'ExDom Parcel'!P20</f>
        <v>16.25</v>
      </c>
      <c r="V155" s="365">
        <f>'ExDom Parcel'!Q20</f>
        <v>0</v>
      </c>
      <c r="W155" s="358">
        <f>'ExDom Parcel'!R20</f>
        <v>0</v>
      </c>
      <c r="X155" s="358">
        <f>'ExDom Parcel'!S20</f>
        <v>0</v>
      </c>
      <c r="Y155" s="358">
        <f>'ExDom Parcel'!T20</f>
        <v>0</v>
      </c>
    </row>
    <row r="156" spans="1:25" x14ac:dyDescent="0.35">
      <c r="A156">
        <v>155</v>
      </c>
      <c r="B156" t="s">
        <v>1350</v>
      </c>
      <c r="C156" t="s">
        <v>946</v>
      </c>
      <c r="D156" t="s">
        <v>14</v>
      </c>
      <c r="E156" t="s">
        <v>69</v>
      </c>
      <c r="F156" t="s">
        <v>309</v>
      </c>
      <c r="G156" s="63" t="s">
        <v>1556</v>
      </c>
      <c r="H156" s="358">
        <v>14.5</v>
      </c>
      <c r="J156" s="357">
        <v>1.75</v>
      </c>
      <c r="L156" s="358">
        <v>16.25</v>
      </c>
      <c r="N156" s="361">
        <f>'ExDom Parcel'!L21</f>
        <v>0</v>
      </c>
      <c r="O156" s="361">
        <f>'ExDom Parcel'!M21</f>
        <v>0</v>
      </c>
      <c r="P156" s="358">
        <f>'ExDom Parcel'!N21</f>
        <v>16.25</v>
      </c>
      <c r="R156" s="358">
        <f>'ExDom Parcel'!O21</f>
        <v>0</v>
      </c>
      <c r="T156" s="358">
        <f>'ExDom Parcel'!P21</f>
        <v>16.25</v>
      </c>
      <c r="V156" s="365">
        <f>'ExDom Parcel'!Q21</f>
        <v>0</v>
      </c>
      <c r="W156" s="358">
        <f>'ExDom Parcel'!R21</f>
        <v>0</v>
      </c>
      <c r="X156" s="358">
        <f>'ExDom Parcel'!S21</f>
        <v>0</v>
      </c>
      <c r="Y156" s="358">
        <f>'ExDom Parcel'!T21</f>
        <v>0</v>
      </c>
    </row>
    <row r="157" spans="1:25" x14ac:dyDescent="0.35">
      <c r="A157">
        <v>156</v>
      </c>
      <c r="B157" t="s">
        <v>1350</v>
      </c>
      <c r="C157" t="s">
        <v>946</v>
      </c>
      <c r="D157" t="s">
        <v>14</v>
      </c>
      <c r="E157" t="s">
        <v>286</v>
      </c>
      <c r="F157" t="s">
        <v>288</v>
      </c>
      <c r="G157" s="63" t="s">
        <v>1557</v>
      </c>
      <c r="H157" s="358">
        <v>8.65</v>
      </c>
      <c r="J157" s="357">
        <v>1.3499999999999996</v>
      </c>
      <c r="L157" s="358">
        <v>10</v>
      </c>
      <c r="N157" s="361">
        <f>'ExDom Parcel'!L23</f>
        <v>0</v>
      </c>
      <c r="O157" s="361">
        <f>'ExDom Parcel'!M23</f>
        <v>0</v>
      </c>
      <c r="P157" s="358">
        <f>'ExDom Parcel'!N23</f>
        <v>10</v>
      </c>
      <c r="R157" s="358">
        <f>'ExDom Parcel'!O23</f>
        <v>0</v>
      </c>
      <c r="T157" s="358">
        <f>'ExDom Parcel'!P23</f>
        <v>10</v>
      </c>
      <c r="V157" s="365">
        <f>'ExDom Parcel'!Q23</f>
        <v>0</v>
      </c>
      <c r="W157" s="358">
        <f>'ExDom Parcel'!R23</f>
        <v>0</v>
      </c>
      <c r="X157" s="358">
        <f>'ExDom Parcel'!S23</f>
        <v>0</v>
      </c>
      <c r="Y157" s="358">
        <f>'ExDom Parcel'!T23</f>
        <v>0</v>
      </c>
    </row>
    <row r="158" spans="1:25" x14ac:dyDescent="0.35">
      <c r="A158">
        <v>157</v>
      </c>
      <c r="B158" t="s">
        <v>1350</v>
      </c>
      <c r="C158" t="s">
        <v>946</v>
      </c>
      <c r="D158" t="s">
        <v>14</v>
      </c>
      <c r="E158" t="s">
        <v>286</v>
      </c>
      <c r="F158" t="s">
        <v>285</v>
      </c>
      <c r="G158" s="63" t="s">
        <v>1558</v>
      </c>
      <c r="H158" s="358">
        <v>7.15</v>
      </c>
      <c r="J158" s="357">
        <v>0.44999999999999929</v>
      </c>
      <c r="L158" s="358">
        <v>7.6</v>
      </c>
      <c r="N158" s="361">
        <f>'ExDom Parcel'!L24</f>
        <v>0</v>
      </c>
      <c r="O158" s="361">
        <f>'ExDom Parcel'!M24</f>
        <v>0</v>
      </c>
      <c r="P158" s="358">
        <f>'ExDom Parcel'!N24</f>
        <v>7.6</v>
      </c>
      <c r="R158" s="358">
        <f>'ExDom Parcel'!O24</f>
        <v>0</v>
      </c>
      <c r="T158" s="358">
        <f>'ExDom Parcel'!P24</f>
        <v>7.6</v>
      </c>
      <c r="V158" s="365">
        <f>'ExDom Parcel'!Q24</f>
        <v>0</v>
      </c>
      <c r="W158" s="358">
        <f>'ExDom Parcel'!R24</f>
        <v>0</v>
      </c>
      <c r="X158" s="358">
        <f>'ExDom Parcel'!S24</f>
        <v>0</v>
      </c>
      <c r="Y158" s="358">
        <f>'ExDom Parcel'!T24</f>
        <v>0</v>
      </c>
    </row>
    <row r="159" spans="1:25" x14ac:dyDescent="0.35">
      <c r="A159">
        <v>158</v>
      </c>
      <c r="B159" t="s">
        <v>1350</v>
      </c>
      <c r="C159" t="s">
        <v>946</v>
      </c>
      <c r="D159" t="s">
        <v>14</v>
      </c>
      <c r="E159" t="s">
        <v>286</v>
      </c>
      <c r="F159" t="s">
        <v>287</v>
      </c>
      <c r="G159" s="63" t="s">
        <v>1559</v>
      </c>
      <c r="H159" s="358">
        <v>7.15</v>
      </c>
      <c r="J159" s="357">
        <v>0.44999999999999929</v>
      </c>
      <c r="L159" s="358">
        <v>7.6</v>
      </c>
      <c r="N159" s="361">
        <f>'ExDom Parcel'!L25</f>
        <v>0</v>
      </c>
      <c r="O159" s="361">
        <f>'ExDom Parcel'!M25</f>
        <v>0</v>
      </c>
      <c r="P159" s="358">
        <f>'ExDom Parcel'!N25</f>
        <v>7.6</v>
      </c>
      <c r="R159" s="358">
        <f>'ExDom Parcel'!O25</f>
        <v>0</v>
      </c>
      <c r="T159" s="358">
        <f>'ExDom Parcel'!P25</f>
        <v>7.6</v>
      </c>
      <c r="V159" s="365">
        <f>'ExDom Parcel'!Q25</f>
        <v>0</v>
      </c>
      <c r="W159" s="358">
        <f>'ExDom Parcel'!R25</f>
        <v>0</v>
      </c>
      <c r="X159" s="358">
        <f>'ExDom Parcel'!S25</f>
        <v>0</v>
      </c>
      <c r="Y159" s="358">
        <f>'ExDom Parcel'!T25</f>
        <v>0</v>
      </c>
    </row>
    <row r="160" spans="1:25" x14ac:dyDescent="0.35">
      <c r="A160">
        <v>159</v>
      </c>
      <c r="B160" t="s">
        <v>1350</v>
      </c>
      <c r="C160" t="s">
        <v>946</v>
      </c>
      <c r="D160" t="s">
        <v>14</v>
      </c>
      <c r="E160" t="s">
        <v>334</v>
      </c>
      <c r="F160" t="s">
        <v>334</v>
      </c>
      <c r="G160" s="63" t="s">
        <v>1560</v>
      </c>
      <c r="H160" s="358">
        <v>8.3000000000000007</v>
      </c>
      <c r="J160" s="357">
        <v>0.5</v>
      </c>
      <c r="L160" s="358">
        <v>8.8000000000000007</v>
      </c>
      <c r="N160" s="361">
        <f>'ExDom Parcel'!L26</f>
        <v>0</v>
      </c>
      <c r="O160" s="361">
        <f>'ExDom Parcel'!M26</f>
        <v>0</v>
      </c>
      <c r="P160" s="358">
        <f>'ExDom Parcel'!N26</f>
        <v>8.8000000000000007</v>
      </c>
      <c r="R160" s="358">
        <f>'ExDom Parcel'!O26</f>
        <v>0</v>
      </c>
      <c r="T160" s="358">
        <f>'ExDom Parcel'!P26</f>
        <v>8.8000000000000007</v>
      </c>
      <c r="V160" s="365">
        <f>'ExDom Parcel'!Q26</f>
        <v>0</v>
      </c>
      <c r="W160" s="358">
        <f>'ExDom Parcel'!R26</f>
        <v>0</v>
      </c>
      <c r="X160" s="358">
        <f>'ExDom Parcel'!S26</f>
        <v>0</v>
      </c>
      <c r="Y160" s="358">
        <f>'ExDom Parcel'!T26</f>
        <v>0</v>
      </c>
    </row>
    <row r="161" spans="1:25" x14ac:dyDescent="0.35">
      <c r="A161">
        <v>160</v>
      </c>
      <c r="B161" t="s">
        <v>1350</v>
      </c>
      <c r="C161" t="s">
        <v>946</v>
      </c>
      <c r="D161" t="s">
        <v>14</v>
      </c>
      <c r="E161" t="s">
        <v>18</v>
      </c>
      <c r="F161" t="s">
        <v>18</v>
      </c>
      <c r="G161" s="63" t="s">
        <v>1561</v>
      </c>
      <c r="H161" s="358">
        <v>0</v>
      </c>
      <c r="J161" s="357">
        <v>0</v>
      </c>
      <c r="L161" s="358">
        <v>0</v>
      </c>
      <c r="N161" s="361">
        <f>'ExDom Parcel'!L27</f>
        <v>0</v>
      </c>
      <c r="O161" s="361">
        <f>'ExDom Parcel'!M27</f>
        <v>0</v>
      </c>
      <c r="V161" s="365">
        <f>'ExDom Parcel'!Q27</f>
        <v>0</v>
      </c>
    </row>
    <row r="162" spans="1:25" x14ac:dyDescent="0.35">
      <c r="A162">
        <v>161</v>
      </c>
      <c r="B162" t="s">
        <v>1350</v>
      </c>
      <c r="C162" t="s">
        <v>946</v>
      </c>
      <c r="D162" t="s">
        <v>14</v>
      </c>
      <c r="E162" t="s">
        <v>57</v>
      </c>
      <c r="F162" t="s">
        <v>57</v>
      </c>
      <c r="G162" s="63" t="s">
        <v>1562</v>
      </c>
      <c r="H162" s="358">
        <v>24</v>
      </c>
      <c r="J162" s="357">
        <v>1.5</v>
      </c>
      <c r="L162" s="358">
        <v>25.5</v>
      </c>
      <c r="N162" s="361">
        <f>'ExDom Parcel'!L28</f>
        <v>0</v>
      </c>
      <c r="O162" s="361">
        <f>'ExDom Parcel'!M28</f>
        <v>0</v>
      </c>
      <c r="P162" s="358">
        <f>'ExDom Parcel'!N28</f>
        <v>25.5</v>
      </c>
      <c r="R162" s="358">
        <f>'ExDom Parcel'!O28</f>
        <v>0</v>
      </c>
      <c r="T162" s="358">
        <f>'ExDom Parcel'!P28</f>
        <v>25.5</v>
      </c>
      <c r="V162" s="365">
        <f>'ExDom Parcel'!Q28</f>
        <v>0</v>
      </c>
      <c r="W162" s="358">
        <f>'ExDom Parcel'!R28</f>
        <v>0</v>
      </c>
      <c r="X162" s="358">
        <f>'ExDom Parcel'!S28</f>
        <v>0</v>
      </c>
      <c r="Y162" s="358">
        <f>'ExDom Parcel'!T28</f>
        <v>0</v>
      </c>
    </row>
    <row r="163" spans="1:25" x14ac:dyDescent="0.35">
      <c r="A163">
        <v>162</v>
      </c>
      <c r="B163" t="s">
        <v>1350</v>
      </c>
      <c r="C163" t="s">
        <v>946</v>
      </c>
      <c r="D163" t="s">
        <v>14</v>
      </c>
      <c r="E163" t="s">
        <v>314</v>
      </c>
      <c r="F163" t="s">
        <v>314</v>
      </c>
      <c r="G163" s="63" t="s">
        <v>1563</v>
      </c>
      <c r="H163" s="358">
        <v>100</v>
      </c>
      <c r="J163" s="357">
        <v>0</v>
      </c>
      <c r="L163" s="358">
        <v>100</v>
      </c>
      <c r="N163" s="361">
        <f>'ExDom Parcel'!L29</f>
        <v>0</v>
      </c>
      <c r="O163" s="361">
        <f>'ExDom Parcel'!M29</f>
        <v>0</v>
      </c>
      <c r="P163" s="358">
        <f>'ExDom Parcel'!N29</f>
        <v>100</v>
      </c>
      <c r="R163" s="358">
        <f>'ExDom Parcel'!O29</f>
        <v>0</v>
      </c>
      <c r="T163" s="358">
        <f>'ExDom Parcel'!P29</f>
        <v>100</v>
      </c>
      <c r="V163" s="365">
        <f>'ExDom Parcel'!Q29</f>
        <v>0</v>
      </c>
      <c r="W163" s="358">
        <f>'ExDom Parcel'!R29</f>
        <v>0</v>
      </c>
      <c r="X163" s="358">
        <f>'ExDom Parcel'!S29</f>
        <v>0</v>
      </c>
      <c r="Y163" s="358">
        <f>'ExDom Parcel'!T29</f>
        <v>0</v>
      </c>
    </row>
    <row r="164" spans="1:25" x14ac:dyDescent="0.35">
      <c r="A164">
        <v>163</v>
      </c>
      <c r="B164" t="s">
        <v>1350</v>
      </c>
      <c r="C164" t="s">
        <v>946</v>
      </c>
      <c r="D164" t="s">
        <v>14</v>
      </c>
      <c r="E164" t="s">
        <v>852</v>
      </c>
      <c r="F164" t="s">
        <v>852</v>
      </c>
      <c r="G164" s="63" t="s">
        <v>1564</v>
      </c>
      <c r="H164" s="358">
        <v>24</v>
      </c>
      <c r="J164" s="357">
        <v>1.5</v>
      </c>
      <c r="L164" s="358">
        <v>25.5</v>
      </c>
      <c r="N164" s="361">
        <f>'ExDom Parcel'!L30</f>
        <v>0</v>
      </c>
      <c r="O164" s="361">
        <f>'ExDom Parcel'!M30</f>
        <v>0</v>
      </c>
      <c r="P164" s="358">
        <f>'ExDom Parcel'!N30</f>
        <v>25.5</v>
      </c>
      <c r="R164" s="358">
        <f>'ExDom Parcel'!O30</f>
        <v>0</v>
      </c>
      <c r="T164" s="358">
        <f>'ExDom Parcel'!P30</f>
        <v>25.5</v>
      </c>
      <c r="V164" s="365">
        <f>'ExDom Parcel'!Q30</f>
        <v>0</v>
      </c>
      <c r="W164" s="358">
        <f>'ExDom Parcel'!R30</f>
        <v>0</v>
      </c>
      <c r="X164" s="358">
        <f>'ExDom Parcel'!S30</f>
        <v>0</v>
      </c>
      <c r="Y164" s="358">
        <f>'ExDom Parcel'!T30</f>
        <v>0</v>
      </c>
    </row>
    <row r="165" spans="1:25" x14ac:dyDescent="0.35">
      <c r="A165">
        <v>164</v>
      </c>
      <c r="B165" t="s">
        <v>1350</v>
      </c>
      <c r="C165" t="s">
        <v>946</v>
      </c>
      <c r="D165" t="s">
        <v>14</v>
      </c>
      <c r="E165" t="s">
        <v>933</v>
      </c>
      <c r="F165" t="s">
        <v>933</v>
      </c>
      <c r="G165" s="63" t="s">
        <v>1565</v>
      </c>
      <c r="H165" s="358">
        <v>24</v>
      </c>
      <c r="J165" s="357">
        <v>1.5</v>
      </c>
      <c r="L165" s="358">
        <v>25.5</v>
      </c>
      <c r="N165" s="361">
        <f>'ExDom Parcel'!L31</f>
        <v>0</v>
      </c>
      <c r="O165" s="361">
        <f>'ExDom Parcel'!M31</f>
        <v>0</v>
      </c>
      <c r="P165" s="358">
        <f>'ExDom Parcel'!N31</f>
        <v>25.5</v>
      </c>
      <c r="R165" s="358">
        <f>'ExDom Parcel'!O31</f>
        <v>0</v>
      </c>
      <c r="T165" s="358">
        <f>'ExDom Parcel'!P31</f>
        <v>25.5</v>
      </c>
      <c r="V165" s="365">
        <f>'ExDom Parcel'!Q31</f>
        <v>0</v>
      </c>
      <c r="W165" s="358">
        <f>'ExDom Parcel'!R31</f>
        <v>0</v>
      </c>
      <c r="X165" s="358">
        <f>'ExDom Parcel'!S31</f>
        <v>0</v>
      </c>
      <c r="Y165" s="358">
        <f>'ExDom Parcel'!T31</f>
        <v>0</v>
      </c>
    </row>
    <row r="166" spans="1:25" x14ac:dyDescent="0.35">
      <c r="A166">
        <v>165</v>
      </c>
      <c r="B166" t="s">
        <v>1350</v>
      </c>
      <c r="C166" t="s">
        <v>946</v>
      </c>
      <c r="D166" t="s">
        <v>14</v>
      </c>
      <c r="E166" t="s">
        <v>25</v>
      </c>
      <c r="F166" t="s">
        <v>1517</v>
      </c>
      <c r="G166" s="63" t="s">
        <v>1566</v>
      </c>
      <c r="H166" s="358">
        <v>6.55</v>
      </c>
      <c r="J166" s="357">
        <v>0.40000000000000036</v>
      </c>
      <c r="L166" s="358">
        <v>6.95</v>
      </c>
      <c r="N166" s="361">
        <f>'ExDom Parcel'!L32</f>
        <v>0</v>
      </c>
      <c r="O166" s="361">
        <f>'ExDom Parcel'!M32</f>
        <v>0</v>
      </c>
      <c r="P166" s="358">
        <f>'ExDom Parcel'!N32</f>
        <v>6.95</v>
      </c>
      <c r="R166" s="358">
        <f>'ExDom Parcel'!O32</f>
        <v>0</v>
      </c>
      <c r="T166" s="358">
        <f>'ExDom Parcel'!P32</f>
        <v>6.95</v>
      </c>
      <c r="V166" s="365">
        <f>'ExDom Parcel'!Q32</f>
        <v>0</v>
      </c>
      <c r="W166" s="358">
        <f>'ExDom Parcel'!R32</f>
        <v>0</v>
      </c>
      <c r="X166" s="358">
        <f>'ExDom Parcel'!S32</f>
        <v>0</v>
      </c>
      <c r="Y166" s="358">
        <f>'ExDom Parcel'!T32</f>
        <v>0</v>
      </c>
    </row>
    <row r="167" spans="1:25" x14ac:dyDescent="0.35">
      <c r="A167">
        <v>166</v>
      </c>
      <c r="B167" t="s">
        <v>1350</v>
      </c>
      <c r="C167" t="s">
        <v>946</v>
      </c>
      <c r="D167" t="s">
        <v>14</v>
      </c>
      <c r="E167" t="s">
        <v>283</v>
      </c>
      <c r="F167" t="s">
        <v>1003</v>
      </c>
      <c r="G167" s="63" t="s">
        <v>1567</v>
      </c>
      <c r="H167" s="358">
        <v>1.05</v>
      </c>
      <c r="J167" s="357">
        <v>0</v>
      </c>
      <c r="L167" s="358">
        <v>1.05</v>
      </c>
      <c r="N167" s="361">
        <f>'ExDom Parcel'!L34</f>
        <v>0</v>
      </c>
      <c r="O167" s="361">
        <f>'ExDom Parcel'!M34</f>
        <v>0</v>
      </c>
      <c r="P167" s="358">
        <f>'ExDom Parcel'!N34</f>
        <v>1.05</v>
      </c>
      <c r="R167" s="358">
        <f>'ExDom Parcel'!O34</f>
        <v>0</v>
      </c>
      <c r="T167" s="358">
        <f>'ExDom Parcel'!P34</f>
        <v>1.05</v>
      </c>
      <c r="V167" s="365">
        <f>'ExDom Parcel'!Q34</f>
        <v>0</v>
      </c>
      <c r="W167" s="358">
        <f>'ExDom Parcel'!R34</f>
        <v>0</v>
      </c>
      <c r="X167" s="358">
        <f>'ExDom Parcel'!S34</f>
        <v>0</v>
      </c>
      <c r="Y167" s="358">
        <f>'ExDom Parcel'!T34</f>
        <v>0</v>
      </c>
    </row>
    <row r="168" spans="1:25" x14ac:dyDescent="0.35">
      <c r="A168">
        <v>167</v>
      </c>
      <c r="B168" t="s">
        <v>1350</v>
      </c>
      <c r="C168" t="s">
        <v>946</v>
      </c>
      <c r="D168" t="s">
        <v>14</v>
      </c>
      <c r="E168" t="s">
        <v>283</v>
      </c>
      <c r="F168" t="s">
        <v>1005</v>
      </c>
      <c r="G168" s="63" t="s">
        <v>1568</v>
      </c>
      <c r="H168" s="358">
        <v>1.05</v>
      </c>
      <c r="J168" s="357">
        <v>0</v>
      </c>
      <c r="L168" s="358">
        <v>1.05</v>
      </c>
      <c r="N168" s="361">
        <f>'ExDom Parcel'!L35</f>
        <v>0</v>
      </c>
      <c r="O168" s="361">
        <f>'ExDom Parcel'!M35</f>
        <v>0</v>
      </c>
      <c r="P168" s="358">
        <f>'ExDom Parcel'!N35</f>
        <v>1.05</v>
      </c>
      <c r="R168" s="358">
        <f>'ExDom Parcel'!O35</f>
        <v>0</v>
      </c>
      <c r="T168" s="358">
        <f>'ExDom Parcel'!P35</f>
        <v>1.05</v>
      </c>
      <c r="V168" s="365">
        <f>'ExDom Parcel'!Q35</f>
        <v>0</v>
      </c>
      <c r="W168" s="358">
        <f>'ExDom Parcel'!R35</f>
        <v>0</v>
      </c>
      <c r="X168" s="358">
        <f>'ExDom Parcel'!S35</f>
        <v>0</v>
      </c>
      <c r="Y168" s="358">
        <f>'ExDom Parcel'!T35</f>
        <v>0</v>
      </c>
    </row>
    <row r="169" spans="1:25" x14ac:dyDescent="0.35">
      <c r="A169">
        <v>168</v>
      </c>
      <c r="B169" t="s">
        <v>1350</v>
      </c>
      <c r="C169" t="s">
        <v>946</v>
      </c>
      <c r="D169" t="s">
        <v>14</v>
      </c>
      <c r="E169" t="s">
        <v>327</v>
      </c>
      <c r="F169" t="s">
        <v>327</v>
      </c>
      <c r="G169" s="63" t="s">
        <v>1569</v>
      </c>
      <c r="H169" s="358">
        <v>4</v>
      </c>
      <c r="J169" s="357">
        <v>0.25</v>
      </c>
      <c r="L169" s="358">
        <v>4.25</v>
      </c>
      <c r="N169" s="361">
        <f>'ExDom Parcel'!L36</f>
        <v>0</v>
      </c>
      <c r="O169" s="361">
        <f>'ExDom Parcel'!M36</f>
        <v>0</v>
      </c>
      <c r="P169" s="358">
        <f>'ExDom Parcel'!N36</f>
        <v>4.25</v>
      </c>
      <c r="R169" s="358">
        <f>'ExDom Parcel'!O36</f>
        <v>0</v>
      </c>
      <c r="T169" s="358">
        <f>'ExDom Parcel'!P36</f>
        <v>4.25</v>
      </c>
      <c r="V169" s="365">
        <f>'ExDom Parcel'!Q36</f>
        <v>0</v>
      </c>
      <c r="W169" s="358">
        <f>'ExDom Parcel'!R36</f>
        <v>0</v>
      </c>
      <c r="X169" s="358">
        <f>'ExDom Parcel'!S36</f>
        <v>0</v>
      </c>
      <c r="Y169" s="358">
        <f>'ExDom Parcel'!T36</f>
        <v>0</v>
      </c>
    </row>
    <row r="170" spans="1:25" x14ac:dyDescent="0.35">
      <c r="A170">
        <v>169</v>
      </c>
      <c r="B170" t="s">
        <v>1350</v>
      </c>
      <c r="C170" t="s">
        <v>946</v>
      </c>
      <c r="D170" t="s">
        <v>14</v>
      </c>
      <c r="E170" t="s">
        <v>46</v>
      </c>
      <c r="F170" t="s">
        <v>46</v>
      </c>
      <c r="G170" s="63" t="s">
        <v>1570</v>
      </c>
      <c r="H170" s="358">
        <v>16</v>
      </c>
      <c r="J170" s="357">
        <v>0</v>
      </c>
      <c r="L170" s="358">
        <v>16</v>
      </c>
      <c r="N170" s="361">
        <f>'ExDom Parcel'!L37</f>
        <v>0</v>
      </c>
      <c r="O170" s="361">
        <f>'ExDom Parcel'!M37</f>
        <v>0</v>
      </c>
      <c r="P170" s="358">
        <f>'ExDom Parcel'!N37</f>
        <v>16</v>
      </c>
      <c r="R170" s="358">
        <f>'ExDom Parcel'!O37</f>
        <v>0</v>
      </c>
      <c r="T170" s="358">
        <f>'ExDom Parcel'!P37</f>
        <v>16</v>
      </c>
      <c r="V170" s="365">
        <f>'ExDom Parcel'!Q37</f>
        <v>0</v>
      </c>
      <c r="W170" s="358">
        <f>'ExDom Parcel'!R37</f>
        <v>0</v>
      </c>
      <c r="X170" s="358">
        <f>'ExDom Parcel'!S37</f>
        <v>0</v>
      </c>
      <c r="Y170" s="358">
        <f>'ExDom Parcel'!T37</f>
        <v>0</v>
      </c>
    </row>
    <row r="171" spans="1:25" x14ac:dyDescent="0.35">
      <c r="A171">
        <v>170</v>
      </c>
      <c r="B171" t="s">
        <v>1350</v>
      </c>
      <c r="C171" t="s">
        <v>946</v>
      </c>
      <c r="D171" t="s">
        <v>14</v>
      </c>
      <c r="E171" t="s">
        <v>24</v>
      </c>
      <c r="F171" t="s">
        <v>24</v>
      </c>
      <c r="G171" s="63" t="s">
        <v>1571</v>
      </c>
      <c r="H171" s="358">
        <v>16</v>
      </c>
      <c r="J171" s="357">
        <v>0</v>
      </c>
      <c r="L171" s="358">
        <v>16</v>
      </c>
      <c r="N171" s="361">
        <f>'ExDom Parcel'!L38</f>
        <v>0</v>
      </c>
      <c r="O171" s="361">
        <f>'ExDom Parcel'!M38</f>
        <v>0</v>
      </c>
      <c r="P171" s="358">
        <f>'ExDom Parcel'!N38</f>
        <v>16</v>
      </c>
      <c r="R171" s="358">
        <f>'ExDom Parcel'!O38</f>
        <v>0</v>
      </c>
      <c r="T171" s="358">
        <f>'ExDom Parcel'!P38</f>
        <v>16</v>
      </c>
      <c r="V171" s="365">
        <f>'ExDom Parcel'!Q38</f>
        <v>0</v>
      </c>
      <c r="W171" s="358">
        <f>'ExDom Parcel'!R38</f>
        <v>0</v>
      </c>
      <c r="X171" s="358">
        <f>'ExDom Parcel'!S38</f>
        <v>0</v>
      </c>
      <c r="Y171" s="358">
        <f>'ExDom Parcel'!T38</f>
        <v>0</v>
      </c>
    </row>
    <row r="172" spans="1:25" x14ac:dyDescent="0.35">
      <c r="A172">
        <v>171</v>
      </c>
      <c r="B172" t="s">
        <v>1351</v>
      </c>
      <c r="C172" t="s">
        <v>946</v>
      </c>
      <c r="D172" t="s">
        <v>14</v>
      </c>
      <c r="E172" t="s">
        <v>31</v>
      </c>
      <c r="F172" t="s">
        <v>31</v>
      </c>
      <c r="G172" s="63" t="s">
        <v>1541</v>
      </c>
      <c r="H172" s="358">
        <v>24</v>
      </c>
      <c r="J172" s="357">
        <v>1.5</v>
      </c>
      <c r="L172" s="358">
        <v>25.5</v>
      </c>
      <c r="N172" s="361">
        <f>'ExDom Parcel'!U4</f>
        <v>0</v>
      </c>
      <c r="O172" s="361">
        <f>'ExDom Parcel'!V4</f>
        <v>0</v>
      </c>
      <c r="P172" s="358">
        <f>'ExDom Parcel'!W4</f>
        <v>25.5</v>
      </c>
      <c r="R172" s="358">
        <f>'ExDom Parcel'!X4</f>
        <v>0</v>
      </c>
      <c r="T172" s="358">
        <f>'ExDom Parcel'!Y4</f>
        <v>25.5</v>
      </c>
      <c r="V172" s="365">
        <f>'ExDom Parcel'!Z4</f>
        <v>0</v>
      </c>
      <c r="W172" s="358">
        <f>'ExDom Parcel'!AA4</f>
        <v>0</v>
      </c>
      <c r="X172" s="358">
        <f>'ExDom Parcel'!AB4</f>
        <v>0</v>
      </c>
      <c r="Y172" s="358">
        <f>'ExDom Parcel'!AC4</f>
        <v>0</v>
      </c>
    </row>
    <row r="173" spans="1:25" x14ac:dyDescent="0.35">
      <c r="A173">
        <v>172</v>
      </c>
      <c r="B173" t="s">
        <v>1351</v>
      </c>
      <c r="C173" t="s">
        <v>946</v>
      </c>
      <c r="D173" t="s">
        <v>14</v>
      </c>
      <c r="E173" t="s">
        <v>332</v>
      </c>
      <c r="F173" t="s">
        <v>332</v>
      </c>
      <c r="G173" s="63" t="s">
        <v>1542</v>
      </c>
      <c r="H173" s="358">
        <v>19</v>
      </c>
      <c r="J173" s="357">
        <v>0</v>
      </c>
      <c r="L173" s="358">
        <v>19</v>
      </c>
      <c r="N173" s="361">
        <f>'ExDom Parcel'!U5</f>
        <v>0</v>
      </c>
      <c r="O173" s="361">
        <f>'ExDom Parcel'!V5</f>
        <v>0</v>
      </c>
      <c r="P173" s="358">
        <f>'ExDom Parcel'!W5</f>
        <v>19</v>
      </c>
      <c r="R173" s="358">
        <f>'ExDom Parcel'!X5</f>
        <v>0</v>
      </c>
      <c r="T173" s="358">
        <f>'ExDom Parcel'!Y5</f>
        <v>19</v>
      </c>
      <c r="V173" s="365">
        <f>'ExDom Parcel'!Z5</f>
        <v>0</v>
      </c>
      <c r="W173" s="358">
        <f>'ExDom Parcel'!AA5</f>
        <v>0</v>
      </c>
      <c r="X173" s="358">
        <f>'ExDom Parcel'!AB5</f>
        <v>0</v>
      </c>
      <c r="Y173" s="358">
        <f>'ExDom Parcel'!AC5</f>
        <v>0</v>
      </c>
    </row>
    <row r="174" spans="1:25" x14ac:dyDescent="0.35">
      <c r="A174">
        <v>173</v>
      </c>
      <c r="B174" t="s">
        <v>1351</v>
      </c>
      <c r="C174" t="s">
        <v>946</v>
      </c>
      <c r="D174" t="s">
        <v>14</v>
      </c>
      <c r="E174" t="s">
        <v>51</v>
      </c>
      <c r="F174" t="s">
        <v>62</v>
      </c>
      <c r="G174" s="63" t="s">
        <v>1543</v>
      </c>
      <c r="H174" s="358">
        <v>175</v>
      </c>
      <c r="J174" s="357">
        <v>10</v>
      </c>
      <c r="L174" s="358">
        <v>185</v>
      </c>
      <c r="N174" s="361">
        <f>'ExDom Parcel'!U7</f>
        <v>0</v>
      </c>
      <c r="O174" s="361">
        <f>'ExDom Parcel'!V7</f>
        <v>0</v>
      </c>
      <c r="P174" s="358">
        <f>'ExDom Parcel'!W7</f>
        <v>185</v>
      </c>
      <c r="R174" s="358">
        <f>'ExDom Parcel'!X7</f>
        <v>0</v>
      </c>
      <c r="T174" s="358">
        <f>'ExDom Parcel'!Y7</f>
        <v>185</v>
      </c>
      <c r="V174" s="365">
        <f>'ExDom Parcel'!Z7</f>
        <v>0</v>
      </c>
      <c r="W174" s="358">
        <f>'ExDom Parcel'!AA7</f>
        <v>0</v>
      </c>
      <c r="X174" s="358">
        <f>'ExDom Parcel'!AB7</f>
        <v>0</v>
      </c>
      <c r="Y174" s="358">
        <f>'ExDom Parcel'!AC7</f>
        <v>0</v>
      </c>
    </row>
    <row r="175" spans="1:25" x14ac:dyDescent="0.35">
      <c r="A175">
        <v>174</v>
      </c>
      <c r="B175" t="s">
        <v>1351</v>
      </c>
      <c r="C175" t="s">
        <v>946</v>
      </c>
      <c r="D175" t="s">
        <v>14</v>
      </c>
      <c r="E175" t="s">
        <v>51</v>
      </c>
      <c r="F175" t="s">
        <v>977</v>
      </c>
      <c r="G175" s="63" t="s">
        <v>1544</v>
      </c>
      <c r="H175" s="358">
        <v>80</v>
      </c>
      <c r="J175" s="357">
        <v>5</v>
      </c>
      <c r="L175" s="358">
        <v>85</v>
      </c>
      <c r="N175" s="361">
        <f>'ExDom Parcel'!U8</f>
        <v>0</v>
      </c>
      <c r="O175" s="361">
        <f>'ExDom Parcel'!V8</f>
        <v>0</v>
      </c>
      <c r="P175" s="358">
        <f>'ExDom Parcel'!W8</f>
        <v>85</v>
      </c>
      <c r="R175" s="358">
        <f>'ExDom Parcel'!X8</f>
        <v>0</v>
      </c>
      <c r="T175" s="358">
        <f>'ExDom Parcel'!Y8</f>
        <v>85</v>
      </c>
      <c r="V175" s="365">
        <f>'ExDom Parcel'!Z8</f>
        <v>0</v>
      </c>
      <c r="W175" s="358">
        <f>'ExDom Parcel'!AA8</f>
        <v>0</v>
      </c>
      <c r="X175" s="358">
        <f>'ExDom Parcel'!AB8</f>
        <v>0</v>
      </c>
      <c r="Y175" s="358">
        <f>'ExDom Parcel'!AC8</f>
        <v>0</v>
      </c>
    </row>
    <row r="176" spans="1:25" x14ac:dyDescent="0.35">
      <c r="A176">
        <v>175</v>
      </c>
      <c r="B176" t="s">
        <v>1351</v>
      </c>
      <c r="C176" t="s">
        <v>946</v>
      </c>
      <c r="D176" t="s">
        <v>14</v>
      </c>
      <c r="E176" t="s">
        <v>52</v>
      </c>
      <c r="F176" t="s">
        <v>52</v>
      </c>
      <c r="G176" s="63" t="s">
        <v>1545</v>
      </c>
      <c r="H176" s="358">
        <v>8</v>
      </c>
      <c r="J176" s="357">
        <v>0.5</v>
      </c>
      <c r="L176" s="358">
        <v>8.5</v>
      </c>
      <c r="N176" s="361">
        <f>'ExDom Parcel'!U9</f>
        <v>0</v>
      </c>
      <c r="O176" s="361">
        <f>'ExDom Parcel'!V9</f>
        <v>0</v>
      </c>
      <c r="P176" s="358">
        <f>'ExDom Parcel'!W9</f>
        <v>8.5</v>
      </c>
      <c r="R176" s="358">
        <f>'ExDom Parcel'!X9</f>
        <v>0</v>
      </c>
      <c r="T176" s="358">
        <f>'ExDom Parcel'!Y9</f>
        <v>8.5</v>
      </c>
      <c r="V176" s="365">
        <f>'ExDom Parcel'!Z9</f>
        <v>0</v>
      </c>
      <c r="W176" s="358">
        <f>'ExDom Parcel'!AA9</f>
        <v>0</v>
      </c>
      <c r="X176" s="358">
        <f>'ExDom Parcel'!AB9</f>
        <v>0</v>
      </c>
      <c r="Y176" s="358">
        <f>'ExDom Parcel'!AC9</f>
        <v>0</v>
      </c>
    </row>
    <row r="177" spans="1:25" x14ac:dyDescent="0.35">
      <c r="A177">
        <v>176</v>
      </c>
      <c r="B177" t="s">
        <v>1351</v>
      </c>
      <c r="C177" t="s">
        <v>946</v>
      </c>
      <c r="D177" t="s">
        <v>14</v>
      </c>
      <c r="E177" t="s">
        <v>28</v>
      </c>
      <c r="F177" t="s">
        <v>28</v>
      </c>
      <c r="G177" s="63" t="s">
        <v>1546</v>
      </c>
      <c r="H177" s="358">
        <v>1.5</v>
      </c>
      <c r="J177" s="357">
        <v>0.14999999999999991</v>
      </c>
      <c r="L177" s="358">
        <v>1.65</v>
      </c>
      <c r="N177" s="361">
        <f>'ExDom Parcel'!U10</f>
        <v>0</v>
      </c>
      <c r="O177" s="361">
        <f>'ExDom Parcel'!V10</f>
        <v>0</v>
      </c>
      <c r="P177" s="358">
        <f>'ExDom Parcel'!W10</f>
        <v>1.65</v>
      </c>
      <c r="R177" s="358">
        <f>'ExDom Parcel'!X10</f>
        <v>0</v>
      </c>
      <c r="T177" s="358">
        <f>'ExDom Parcel'!Y10</f>
        <v>1.65</v>
      </c>
      <c r="V177" s="365">
        <f>'ExDom Parcel'!Z10</f>
        <v>0</v>
      </c>
    </row>
    <row r="178" spans="1:25" x14ac:dyDescent="0.35">
      <c r="A178">
        <v>177</v>
      </c>
      <c r="B178" t="s">
        <v>1351</v>
      </c>
      <c r="C178" t="s">
        <v>946</v>
      </c>
      <c r="D178" t="s">
        <v>14</v>
      </c>
      <c r="E178" t="s">
        <v>69</v>
      </c>
      <c r="F178" t="s">
        <v>281</v>
      </c>
      <c r="G178" s="63" t="s">
        <v>1547</v>
      </c>
      <c r="H178" s="358">
        <v>4.2</v>
      </c>
      <c r="J178" s="357">
        <v>0.25</v>
      </c>
      <c r="L178" s="358">
        <v>4.45</v>
      </c>
      <c r="N178" s="361">
        <f>'ExDom Parcel'!U12</f>
        <v>0</v>
      </c>
      <c r="O178" s="361">
        <f>'ExDom Parcel'!V12</f>
        <v>0</v>
      </c>
      <c r="P178" s="358">
        <f>'ExDom Parcel'!W12</f>
        <v>4.45</v>
      </c>
      <c r="R178" s="358">
        <f>'ExDom Parcel'!X12</f>
        <v>0</v>
      </c>
      <c r="T178" s="358">
        <f>'ExDom Parcel'!Y12</f>
        <v>4.45</v>
      </c>
      <c r="V178" s="365">
        <f>'ExDom Parcel'!Z12</f>
        <v>0</v>
      </c>
      <c r="W178" s="358">
        <f>'ExDom Parcel'!AA12</f>
        <v>0</v>
      </c>
      <c r="X178" s="358">
        <f>'ExDom Parcel'!AB12</f>
        <v>0</v>
      </c>
      <c r="Y178" s="358">
        <f>'ExDom Parcel'!AC12</f>
        <v>0</v>
      </c>
    </row>
    <row r="179" spans="1:25" x14ac:dyDescent="0.35">
      <c r="A179">
        <v>178</v>
      </c>
      <c r="B179" t="s">
        <v>1351</v>
      </c>
      <c r="C179" t="s">
        <v>946</v>
      </c>
      <c r="D179" t="s">
        <v>14</v>
      </c>
      <c r="E179" t="s">
        <v>69</v>
      </c>
      <c r="F179" t="s">
        <v>306</v>
      </c>
      <c r="G179" s="63" t="s">
        <v>1548</v>
      </c>
      <c r="H179" s="358">
        <v>5.25</v>
      </c>
      <c r="J179" s="357">
        <v>0.29999999999999982</v>
      </c>
      <c r="L179" s="358">
        <v>5.55</v>
      </c>
      <c r="N179" s="361">
        <f>'ExDom Parcel'!U13</f>
        <v>0</v>
      </c>
      <c r="O179" s="361">
        <f>'ExDom Parcel'!V13</f>
        <v>0</v>
      </c>
      <c r="P179" s="358">
        <f>'ExDom Parcel'!W13</f>
        <v>5.55</v>
      </c>
      <c r="R179" s="358">
        <f>'ExDom Parcel'!X13</f>
        <v>0</v>
      </c>
      <c r="T179" s="358">
        <f>'ExDom Parcel'!Y13</f>
        <v>5.55</v>
      </c>
      <c r="V179" s="365">
        <f>'ExDom Parcel'!Z13</f>
        <v>0</v>
      </c>
      <c r="W179" s="358">
        <f>'ExDom Parcel'!AA13</f>
        <v>0</v>
      </c>
      <c r="X179" s="358">
        <f>'ExDom Parcel'!AB13</f>
        <v>0</v>
      </c>
      <c r="Y179" s="358">
        <f>'ExDom Parcel'!AC13</f>
        <v>0</v>
      </c>
    </row>
    <row r="180" spans="1:25" x14ac:dyDescent="0.35">
      <c r="A180">
        <v>179</v>
      </c>
      <c r="B180" t="s">
        <v>1351</v>
      </c>
      <c r="C180" t="s">
        <v>946</v>
      </c>
      <c r="D180" t="s">
        <v>14</v>
      </c>
      <c r="E180" t="s">
        <v>69</v>
      </c>
      <c r="F180" t="s">
        <v>951</v>
      </c>
      <c r="G180" s="63" t="s">
        <v>1549</v>
      </c>
      <c r="H180" s="358">
        <v>15.5</v>
      </c>
      <c r="J180" s="357">
        <v>1.25</v>
      </c>
      <c r="L180" s="358">
        <v>16.75</v>
      </c>
      <c r="N180" s="361">
        <f>'ExDom Parcel'!U14</f>
        <v>0</v>
      </c>
      <c r="O180" s="361">
        <f>'ExDom Parcel'!V14</f>
        <v>0</v>
      </c>
      <c r="P180" s="358">
        <f>'ExDom Parcel'!W14</f>
        <v>16.75</v>
      </c>
      <c r="R180" s="358">
        <f>'ExDom Parcel'!X14</f>
        <v>0</v>
      </c>
      <c r="T180" s="358">
        <f>'ExDom Parcel'!Y14</f>
        <v>16.75</v>
      </c>
      <c r="V180" s="365">
        <f>'ExDom Parcel'!Z14</f>
        <v>0</v>
      </c>
      <c r="W180" s="358">
        <f>'ExDom Parcel'!AA14</f>
        <v>0</v>
      </c>
      <c r="X180" s="358">
        <f>'ExDom Parcel'!AB14</f>
        <v>0</v>
      </c>
      <c r="Y180" s="358">
        <f>'ExDom Parcel'!AC14</f>
        <v>0</v>
      </c>
    </row>
    <row r="181" spans="1:25" x14ac:dyDescent="0.35">
      <c r="A181">
        <v>180</v>
      </c>
      <c r="B181" t="s">
        <v>1351</v>
      </c>
      <c r="C181" t="s">
        <v>946</v>
      </c>
      <c r="D181" t="s">
        <v>14</v>
      </c>
      <c r="E181" t="s">
        <v>69</v>
      </c>
      <c r="F181" t="s">
        <v>282</v>
      </c>
      <c r="G181" s="63" t="s">
        <v>1550</v>
      </c>
      <c r="H181" s="358">
        <v>6.2</v>
      </c>
      <c r="J181" s="357">
        <v>0.39999999999999947</v>
      </c>
      <c r="L181" s="358">
        <v>6.6</v>
      </c>
      <c r="N181" s="361">
        <f>'ExDom Parcel'!U15</f>
        <v>0</v>
      </c>
      <c r="O181" s="361">
        <f>'ExDom Parcel'!V15</f>
        <v>0</v>
      </c>
      <c r="P181" s="358">
        <f>'ExDom Parcel'!W15</f>
        <v>6.6</v>
      </c>
      <c r="R181" s="358">
        <f>'ExDom Parcel'!X15</f>
        <v>0</v>
      </c>
      <c r="T181" s="358">
        <f>'ExDom Parcel'!Y15</f>
        <v>6.6</v>
      </c>
      <c r="V181" s="365">
        <f>'ExDom Parcel'!Z15</f>
        <v>0</v>
      </c>
      <c r="W181" s="358">
        <f>'ExDom Parcel'!AA15</f>
        <v>0</v>
      </c>
      <c r="X181" s="358">
        <f>'ExDom Parcel'!AB15</f>
        <v>0</v>
      </c>
      <c r="Y181" s="358">
        <f>'ExDom Parcel'!AC15</f>
        <v>0</v>
      </c>
    </row>
    <row r="182" spans="1:25" x14ac:dyDescent="0.35">
      <c r="A182">
        <v>181</v>
      </c>
      <c r="B182" t="s">
        <v>1351</v>
      </c>
      <c r="C182" t="s">
        <v>946</v>
      </c>
      <c r="D182" t="s">
        <v>14</v>
      </c>
      <c r="E182" t="s">
        <v>69</v>
      </c>
      <c r="F182" t="s">
        <v>307</v>
      </c>
      <c r="G182" s="63" t="s">
        <v>1551</v>
      </c>
      <c r="H182" s="358">
        <v>8.3000000000000007</v>
      </c>
      <c r="J182" s="357">
        <v>0.5</v>
      </c>
      <c r="L182" s="358">
        <v>8.8000000000000007</v>
      </c>
      <c r="N182" s="361">
        <f>'ExDom Parcel'!U16</f>
        <v>0</v>
      </c>
      <c r="O182" s="361">
        <f>'ExDom Parcel'!V16</f>
        <v>0</v>
      </c>
      <c r="P182" s="358">
        <f>'ExDom Parcel'!W16</f>
        <v>8.8000000000000007</v>
      </c>
      <c r="R182" s="358">
        <f>'ExDom Parcel'!X16</f>
        <v>0</v>
      </c>
      <c r="T182" s="358">
        <f>'ExDom Parcel'!Y16</f>
        <v>8.8000000000000007</v>
      </c>
      <c r="V182" s="365">
        <f>'ExDom Parcel'!Z16</f>
        <v>0</v>
      </c>
      <c r="W182" s="358">
        <f>'ExDom Parcel'!AA16</f>
        <v>0</v>
      </c>
      <c r="X182" s="358">
        <f>'ExDom Parcel'!AB16</f>
        <v>0</v>
      </c>
      <c r="Y182" s="358">
        <f>'ExDom Parcel'!AC16</f>
        <v>0</v>
      </c>
    </row>
    <row r="183" spans="1:25" x14ac:dyDescent="0.35">
      <c r="A183">
        <v>182</v>
      </c>
      <c r="B183" t="s">
        <v>1351</v>
      </c>
      <c r="C183" t="s">
        <v>946</v>
      </c>
      <c r="D183" t="s">
        <v>14</v>
      </c>
      <c r="E183" t="s">
        <v>69</v>
      </c>
      <c r="F183" t="s">
        <v>952</v>
      </c>
      <c r="G183" s="63" t="s">
        <v>1552</v>
      </c>
      <c r="H183" s="358">
        <v>15.5</v>
      </c>
      <c r="J183" s="357">
        <v>1.25</v>
      </c>
      <c r="L183" s="358">
        <v>16.75</v>
      </c>
      <c r="N183" s="361">
        <f>'ExDom Parcel'!U17</f>
        <v>0</v>
      </c>
      <c r="O183" s="361">
        <f>'ExDom Parcel'!V17</f>
        <v>0</v>
      </c>
      <c r="P183" s="358">
        <f>'ExDom Parcel'!W17</f>
        <v>16.75</v>
      </c>
      <c r="R183" s="358">
        <f>'ExDom Parcel'!X17</f>
        <v>0</v>
      </c>
      <c r="T183" s="358">
        <f>'ExDom Parcel'!Y17</f>
        <v>16.75</v>
      </c>
      <c r="V183" s="365">
        <f>'ExDom Parcel'!Z17</f>
        <v>0</v>
      </c>
      <c r="W183" s="358">
        <f>'ExDom Parcel'!AA17</f>
        <v>0</v>
      </c>
      <c r="X183" s="358">
        <f>'ExDom Parcel'!AB17</f>
        <v>0</v>
      </c>
      <c r="Y183" s="358">
        <f>'ExDom Parcel'!AC17</f>
        <v>0</v>
      </c>
    </row>
    <row r="184" spans="1:25" x14ac:dyDescent="0.35">
      <c r="A184">
        <v>183</v>
      </c>
      <c r="B184" t="s">
        <v>1351</v>
      </c>
      <c r="C184" t="s">
        <v>946</v>
      </c>
      <c r="D184" t="s">
        <v>14</v>
      </c>
      <c r="E184" t="s">
        <v>69</v>
      </c>
      <c r="F184" t="s">
        <v>304</v>
      </c>
      <c r="G184" s="63" t="s">
        <v>1553</v>
      </c>
      <c r="H184" s="358">
        <v>43</v>
      </c>
      <c r="J184" s="357">
        <v>3</v>
      </c>
      <c r="L184" s="358">
        <v>46</v>
      </c>
      <c r="N184" s="361">
        <f>'ExDom Parcel'!U18</f>
        <v>0</v>
      </c>
      <c r="O184" s="361">
        <f>'ExDom Parcel'!V18</f>
        <v>0</v>
      </c>
      <c r="P184" s="358">
        <f>'ExDom Parcel'!W18</f>
        <v>46</v>
      </c>
      <c r="R184" s="358">
        <f>'ExDom Parcel'!X18</f>
        <v>0</v>
      </c>
      <c r="T184" s="358">
        <f>'ExDom Parcel'!Y18</f>
        <v>46</v>
      </c>
      <c r="V184" s="365">
        <f>'ExDom Parcel'!Z18</f>
        <v>0</v>
      </c>
      <c r="W184" s="358">
        <f>'ExDom Parcel'!AA18</f>
        <v>0</v>
      </c>
      <c r="X184" s="358">
        <f>'ExDom Parcel'!AB18</f>
        <v>0</v>
      </c>
      <c r="Y184" s="358">
        <f>'ExDom Parcel'!AC18</f>
        <v>0</v>
      </c>
    </row>
    <row r="185" spans="1:25" x14ac:dyDescent="0.35">
      <c r="A185">
        <v>184</v>
      </c>
      <c r="B185" t="s">
        <v>1351</v>
      </c>
      <c r="C185" t="s">
        <v>946</v>
      </c>
      <c r="D185" t="s">
        <v>14</v>
      </c>
      <c r="E185" t="s">
        <v>69</v>
      </c>
      <c r="F185" t="s">
        <v>305</v>
      </c>
      <c r="G185" s="63" t="s">
        <v>1554</v>
      </c>
      <c r="H185" s="358">
        <v>43</v>
      </c>
      <c r="J185" s="357">
        <v>3</v>
      </c>
      <c r="L185" s="358">
        <v>46</v>
      </c>
      <c r="N185" s="361">
        <f>'ExDom Parcel'!U19</f>
        <v>0</v>
      </c>
      <c r="O185" s="361">
        <f>'ExDom Parcel'!V19</f>
        <v>0</v>
      </c>
      <c r="P185" s="358">
        <f>'ExDom Parcel'!W19</f>
        <v>46</v>
      </c>
      <c r="R185" s="358">
        <f>'ExDom Parcel'!X19</f>
        <v>0</v>
      </c>
      <c r="T185" s="358">
        <f>'ExDom Parcel'!Y19</f>
        <v>46</v>
      </c>
      <c r="V185" s="365">
        <f>'ExDom Parcel'!Z19</f>
        <v>0</v>
      </c>
      <c r="W185" s="358">
        <f>'ExDom Parcel'!AA19</f>
        <v>0</v>
      </c>
      <c r="X185" s="358">
        <f>'ExDom Parcel'!AB19</f>
        <v>0</v>
      </c>
      <c r="Y185" s="358">
        <f>'ExDom Parcel'!AC19</f>
        <v>0</v>
      </c>
    </row>
    <row r="186" spans="1:25" x14ac:dyDescent="0.35">
      <c r="A186">
        <v>185</v>
      </c>
      <c r="B186" t="s">
        <v>1351</v>
      </c>
      <c r="C186" t="s">
        <v>946</v>
      </c>
      <c r="D186" t="s">
        <v>14</v>
      </c>
      <c r="E186" t="s">
        <v>69</v>
      </c>
      <c r="F186" t="s">
        <v>308</v>
      </c>
      <c r="G186" s="63" t="s">
        <v>1555</v>
      </c>
      <c r="H186" s="358">
        <v>14.5</v>
      </c>
      <c r="J186" s="357">
        <v>1.75</v>
      </c>
      <c r="L186" s="358">
        <v>16.25</v>
      </c>
      <c r="N186" s="361">
        <f>'ExDom Parcel'!U20</f>
        <v>0</v>
      </c>
      <c r="O186" s="361">
        <f>'ExDom Parcel'!V20</f>
        <v>0</v>
      </c>
      <c r="P186" s="358">
        <f>'ExDom Parcel'!W20</f>
        <v>16.25</v>
      </c>
      <c r="R186" s="358">
        <f>'ExDom Parcel'!X20</f>
        <v>0</v>
      </c>
      <c r="T186" s="358">
        <f>'ExDom Parcel'!Y20</f>
        <v>16.25</v>
      </c>
      <c r="V186" s="365">
        <f>'ExDom Parcel'!Z20</f>
        <v>0</v>
      </c>
      <c r="W186" s="358">
        <f>'ExDom Parcel'!AA20</f>
        <v>0</v>
      </c>
      <c r="X186" s="358">
        <f>'ExDom Parcel'!AB20</f>
        <v>0</v>
      </c>
      <c r="Y186" s="358">
        <f>'ExDom Parcel'!AC20</f>
        <v>0</v>
      </c>
    </row>
    <row r="187" spans="1:25" x14ac:dyDescent="0.35">
      <c r="A187">
        <v>186</v>
      </c>
      <c r="B187" t="s">
        <v>1351</v>
      </c>
      <c r="C187" t="s">
        <v>946</v>
      </c>
      <c r="D187" t="s">
        <v>14</v>
      </c>
      <c r="E187" t="s">
        <v>69</v>
      </c>
      <c r="F187" t="s">
        <v>309</v>
      </c>
      <c r="G187" s="63" t="s">
        <v>1556</v>
      </c>
      <c r="H187" s="358">
        <v>14.5</v>
      </c>
      <c r="J187" s="357">
        <v>1.75</v>
      </c>
      <c r="L187" s="358">
        <v>16.25</v>
      </c>
      <c r="N187" s="361">
        <f>'ExDom Parcel'!U21</f>
        <v>0</v>
      </c>
      <c r="O187" s="361">
        <f>'ExDom Parcel'!V21</f>
        <v>0</v>
      </c>
      <c r="P187" s="358">
        <f>'ExDom Parcel'!W21</f>
        <v>16.25</v>
      </c>
      <c r="R187" s="358">
        <f>'ExDom Parcel'!X21</f>
        <v>0</v>
      </c>
      <c r="T187" s="358">
        <f>'ExDom Parcel'!Y21</f>
        <v>16.25</v>
      </c>
      <c r="V187" s="365">
        <f>'ExDom Parcel'!Z21</f>
        <v>0</v>
      </c>
      <c r="W187" s="358">
        <f>'ExDom Parcel'!AA21</f>
        <v>0</v>
      </c>
      <c r="X187" s="358">
        <f>'ExDom Parcel'!AB21</f>
        <v>0</v>
      </c>
      <c r="Y187" s="358">
        <f>'ExDom Parcel'!AC21</f>
        <v>0</v>
      </c>
    </row>
    <row r="188" spans="1:25" x14ac:dyDescent="0.35">
      <c r="A188">
        <v>187</v>
      </c>
      <c r="B188" t="s">
        <v>1351</v>
      </c>
      <c r="C188" t="s">
        <v>946</v>
      </c>
      <c r="D188" t="s">
        <v>14</v>
      </c>
      <c r="E188" t="s">
        <v>286</v>
      </c>
      <c r="F188" t="s">
        <v>288</v>
      </c>
      <c r="G188" s="63" t="s">
        <v>1557</v>
      </c>
      <c r="H188" s="358">
        <v>8.65</v>
      </c>
      <c r="J188" s="357">
        <v>1.3499999999999996</v>
      </c>
      <c r="L188" s="358">
        <v>10</v>
      </c>
      <c r="N188" s="361">
        <f>'ExDom Parcel'!U23</f>
        <v>0</v>
      </c>
      <c r="O188" s="361">
        <f>'ExDom Parcel'!V23</f>
        <v>0</v>
      </c>
      <c r="P188" s="358">
        <f>'ExDom Parcel'!W23</f>
        <v>10</v>
      </c>
      <c r="R188" s="358">
        <f>'ExDom Parcel'!X23</f>
        <v>0</v>
      </c>
      <c r="T188" s="358">
        <f>'ExDom Parcel'!Y23</f>
        <v>10</v>
      </c>
      <c r="V188" s="365">
        <f>'ExDom Parcel'!Z23</f>
        <v>0</v>
      </c>
      <c r="W188" s="358">
        <f>'ExDom Parcel'!AA23</f>
        <v>0</v>
      </c>
      <c r="X188" s="358">
        <f>'ExDom Parcel'!AB23</f>
        <v>0</v>
      </c>
      <c r="Y188" s="358">
        <f>'ExDom Parcel'!AC23</f>
        <v>0</v>
      </c>
    </row>
    <row r="189" spans="1:25" x14ac:dyDescent="0.35">
      <c r="A189">
        <v>188</v>
      </c>
      <c r="B189" t="s">
        <v>1351</v>
      </c>
      <c r="C189" t="s">
        <v>946</v>
      </c>
      <c r="D189" t="s">
        <v>14</v>
      </c>
      <c r="E189" t="s">
        <v>286</v>
      </c>
      <c r="F189" t="s">
        <v>285</v>
      </c>
      <c r="G189" s="63" t="s">
        <v>1558</v>
      </c>
      <c r="H189" s="358">
        <v>7.15</v>
      </c>
      <c r="J189" s="357">
        <v>0.44999999999999929</v>
      </c>
      <c r="L189" s="358">
        <v>7.6</v>
      </c>
      <c r="N189" s="361">
        <f>'ExDom Parcel'!U24</f>
        <v>0</v>
      </c>
      <c r="O189" s="361">
        <f>'ExDom Parcel'!V24</f>
        <v>0</v>
      </c>
      <c r="P189" s="358">
        <f>'ExDom Parcel'!W24</f>
        <v>7.6</v>
      </c>
      <c r="R189" s="358">
        <f>'ExDom Parcel'!X24</f>
        <v>0</v>
      </c>
      <c r="T189" s="358">
        <f>'ExDom Parcel'!Y24</f>
        <v>7.6</v>
      </c>
      <c r="V189" s="365">
        <f>'ExDom Parcel'!Z24</f>
        <v>0</v>
      </c>
      <c r="W189" s="358">
        <f>'ExDom Parcel'!AA24</f>
        <v>0</v>
      </c>
      <c r="X189" s="358">
        <f>'ExDom Parcel'!AB24</f>
        <v>0</v>
      </c>
      <c r="Y189" s="358">
        <f>'ExDom Parcel'!AC24</f>
        <v>0</v>
      </c>
    </row>
    <row r="190" spans="1:25" x14ac:dyDescent="0.35">
      <c r="A190">
        <v>189</v>
      </c>
      <c r="B190" t="s">
        <v>1351</v>
      </c>
      <c r="C190" t="s">
        <v>946</v>
      </c>
      <c r="D190" t="s">
        <v>14</v>
      </c>
      <c r="E190" t="s">
        <v>286</v>
      </c>
      <c r="F190" t="s">
        <v>287</v>
      </c>
      <c r="G190" s="63" t="s">
        <v>1559</v>
      </c>
      <c r="H190" s="358">
        <v>7.15</v>
      </c>
      <c r="J190" s="357">
        <v>0.44999999999999929</v>
      </c>
      <c r="L190" s="358">
        <v>7.6</v>
      </c>
      <c r="N190" s="361">
        <f>'ExDom Parcel'!U25</f>
        <v>0</v>
      </c>
      <c r="O190" s="361">
        <f>'ExDom Parcel'!V25</f>
        <v>0</v>
      </c>
      <c r="P190" s="358">
        <f>'ExDom Parcel'!W25</f>
        <v>7.6</v>
      </c>
      <c r="R190" s="358">
        <f>'ExDom Parcel'!X25</f>
        <v>0</v>
      </c>
      <c r="T190" s="358">
        <f>'ExDom Parcel'!Y25</f>
        <v>7.6</v>
      </c>
      <c r="V190" s="365">
        <f>'ExDom Parcel'!Z25</f>
        <v>0</v>
      </c>
      <c r="W190" s="358">
        <f>'ExDom Parcel'!AA25</f>
        <v>0</v>
      </c>
      <c r="X190" s="358">
        <f>'ExDom Parcel'!AB25</f>
        <v>0</v>
      </c>
      <c r="Y190" s="358">
        <f>'ExDom Parcel'!AC25</f>
        <v>0</v>
      </c>
    </row>
    <row r="191" spans="1:25" x14ac:dyDescent="0.35">
      <c r="A191">
        <v>190</v>
      </c>
      <c r="B191" t="s">
        <v>1351</v>
      </c>
      <c r="C191" t="s">
        <v>946</v>
      </c>
      <c r="D191" t="s">
        <v>14</v>
      </c>
      <c r="E191" t="s">
        <v>334</v>
      </c>
      <c r="F191" t="s">
        <v>334</v>
      </c>
      <c r="G191" s="63" t="s">
        <v>1560</v>
      </c>
      <c r="H191" s="358">
        <v>8.3000000000000007</v>
      </c>
      <c r="J191" s="357">
        <v>0.5</v>
      </c>
      <c r="L191" s="358">
        <v>8.8000000000000007</v>
      </c>
      <c r="N191" s="361">
        <f>'ExDom Parcel'!U26</f>
        <v>0</v>
      </c>
      <c r="O191" s="361">
        <f>'ExDom Parcel'!V26</f>
        <v>0</v>
      </c>
      <c r="P191" s="358">
        <f>'ExDom Parcel'!W26</f>
        <v>8.8000000000000007</v>
      </c>
      <c r="R191" s="358">
        <f>'ExDom Parcel'!X26</f>
        <v>0</v>
      </c>
      <c r="T191" s="358">
        <f>'ExDom Parcel'!Y26</f>
        <v>8.8000000000000007</v>
      </c>
      <c r="V191" s="365">
        <f>'ExDom Parcel'!Z26</f>
        <v>0</v>
      </c>
      <c r="W191" s="358">
        <f>'ExDom Parcel'!AA26</f>
        <v>0</v>
      </c>
      <c r="X191" s="358">
        <f>'ExDom Parcel'!AB26</f>
        <v>0</v>
      </c>
      <c r="Y191" s="358">
        <f>'ExDom Parcel'!AC26</f>
        <v>0</v>
      </c>
    </row>
    <row r="192" spans="1:25" x14ac:dyDescent="0.35">
      <c r="A192">
        <v>191</v>
      </c>
      <c r="B192" t="s">
        <v>1351</v>
      </c>
      <c r="C192" t="s">
        <v>946</v>
      </c>
      <c r="D192" t="s">
        <v>14</v>
      </c>
      <c r="E192" t="s">
        <v>18</v>
      </c>
      <c r="F192" t="s">
        <v>18</v>
      </c>
      <c r="G192" s="63" t="s">
        <v>1561</v>
      </c>
      <c r="H192" s="358">
        <v>0</v>
      </c>
      <c r="J192" s="357">
        <v>0</v>
      </c>
      <c r="L192" s="358">
        <v>0</v>
      </c>
      <c r="N192" s="361">
        <f>'ExDom Parcel'!U27</f>
        <v>0</v>
      </c>
      <c r="O192" s="361">
        <f>'ExDom Parcel'!V27</f>
        <v>0</v>
      </c>
      <c r="V192" s="365">
        <f>'ExDom Parcel'!Z27</f>
        <v>0</v>
      </c>
    </row>
    <row r="193" spans="1:25" x14ac:dyDescent="0.35">
      <c r="A193">
        <v>192</v>
      </c>
      <c r="B193" t="s">
        <v>1351</v>
      </c>
      <c r="C193" t="s">
        <v>946</v>
      </c>
      <c r="D193" t="s">
        <v>14</v>
      </c>
      <c r="E193" t="s">
        <v>57</v>
      </c>
      <c r="F193" t="s">
        <v>57</v>
      </c>
      <c r="G193" s="63" t="s">
        <v>1562</v>
      </c>
      <c r="H193" s="358">
        <v>24</v>
      </c>
      <c r="J193" s="357">
        <v>1.5</v>
      </c>
      <c r="L193" s="358">
        <v>25.5</v>
      </c>
      <c r="N193" s="361">
        <f>'ExDom Parcel'!U28</f>
        <v>0</v>
      </c>
      <c r="O193" s="361">
        <f>'ExDom Parcel'!V28</f>
        <v>0</v>
      </c>
      <c r="P193" s="358">
        <f>'ExDom Parcel'!W28</f>
        <v>25.5</v>
      </c>
      <c r="R193" s="358">
        <f>'ExDom Parcel'!X28</f>
        <v>0</v>
      </c>
      <c r="T193" s="358">
        <f>'ExDom Parcel'!Y28</f>
        <v>25.5</v>
      </c>
      <c r="V193" s="365">
        <f>'ExDom Parcel'!Z28</f>
        <v>0</v>
      </c>
      <c r="W193" s="358">
        <f>'ExDom Parcel'!AA28</f>
        <v>0</v>
      </c>
      <c r="X193" s="358">
        <f>'ExDom Parcel'!AB28</f>
        <v>0</v>
      </c>
      <c r="Y193" s="358">
        <f>'ExDom Parcel'!AC28</f>
        <v>0</v>
      </c>
    </row>
    <row r="194" spans="1:25" x14ac:dyDescent="0.35">
      <c r="A194">
        <v>193</v>
      </c>
      <c r="B194" t="s">
        <v>1351</v>
      </c>
      <c r="C194" t="s">
        <v>946</v>
      </c>
      <c r="D194" t="s">
        <v>14</v>
      </c>
      <c r="E194" t="s">
        <v>314</v>
      </c>
      <c r="F194" t="s">
        <v>314</v>
      </c>
      <c r="G194" s="63" t="s">
        <v>1563</v>
      </c>
      <c r="H194" s="358">
        <v>100</v>
      </c>
      <c r="J194" s="357">
        <v>0</v>
      </c>
      <c r="L194" s="358">
        <v>100</v>
      </c>
      <c r="N194" s="361">
        <f>'ExDom Parcel'!U29</f>
        <v>0</v>
      </c>
      <c r="O194" s="361">
        <f>'ExDom Parcel'!V29</f>
        <v>0</v>
      </c>
      <c r="P194" s="358">
        <f>'ExDom Parcel'!W29</f>
        <v>100</v>
      </c>
      <c r="R194" s="358">
        <f>'ExDom Parcel'!X29</f>
        <v>0</v>
      </c>
      <c r="T194" s="358">
        <f>'ExDom Parcel'!Y29</f>
        <v>100</v>
      </c>
      <c r="V194" s="365">
        <f>'ExDom Parcel'!Z29</f>
        <v>0</v>
      </c>
      <c r="W194" s="358">
        <f>'ExDom Parcel'!AA29</f>
        <v>0</v>
      </c>
      <c r="X194" s="358">
        <f>'ExDom Parcel'!AB29</f>
        <v>0</v>
      </c>
      <c r="Y194" s="358">
        <f>'ExDom Parcel'!AC29</f>
        <v>0</v>
      </c>
    </row>
    <row r="195" spans="1:25" x14ac:dyDescent="0.35">
      <c r="A195">
        <v>194</v>
      </c>
      <c r="B195" t="s">
        <v>1351</v>
      </c>
      <c r="C195" t="s">
        <v>946</v>
      </c>
      <c r="D195" t="s">
        <v>14</v>
      </c>
      <c r="E195" t="s">
        <v>852</v>
      </c>
      <c r="F195" t="s">
        <v>852</v>
      </c>
      <c r="G195" s="63" t="s">
        <v>1564</v>
      </c>
      <c r="H195" s="358">
        <v>24</v>
      </c>
      <c r="J195" s="357">
        <v>1.5</v>
      </c>
      <c r="L195" s="358">
        <v>25.5</v>
      </c>
      <c r="N195" s="361">
        <f>'ExDom Parcel'!U30</f>
        <v>0</v>
      </c>
      <c r="O195" s="361">
        <f>'ExDom Parcel'!V30</f>
        <v>0</v>
      </c>
      <c r="P195" s="358">
        <f>'ExDom Parcel'!W30</f>
        <v>25.5</v>
      </c>
      <c r="R195" s="358">
        <f>'ExDom Parcel'!X30</f>
        <v>0</v>
      </c>
      <c r="T195" s="358">
        <f>'ExDom Parcel'!Y30</f>
        <v>25.5</v>
      </c>
      <c r="V195" s="365">
        <f>'ExDom Parcel'!Z30</f>
        <v>0</v>
      </c>
      <c r="W195" s="358">
        <f>'ExDom Parcel'!AA30</f>
        <v>0</v>
      </c>
      <c r="X195" s="358">
        <f>'ExDom Parcel'!AB30</f>
        <v>0</v>
      </c>
      <c r="Y195" s="358">
        <f>'ExDom Parcel'!AC30</f>
        <v>0</v>
      </c>
    </row>
    <row r="196" spans="1:25" x14ac:dyDescent="0.35">
      <c r="A196">
        <v>195</v>
      </c>
      <c r="B196" t="s">
        <v>1351</v>
      </c>
      <c r="C196" t="s">
        <v>946</v>
      </c>
      <c r="D196" t="s">
        <v>14</v>
      </c>
      <c r="E196" t="s">
        <v>933</v>
      </c>
      <c r="F196" t="s">
        <v>933</v>
      </c>
      <c r="G196" s="63" t="s">
        <v>1565</v>
      </c>
      <c r="H196" s="358">
        <v>24</v>
      </c>
      <c r="J196" s="357">
        <v>1.5</v>
      </c>
      <c r="L196" s="358">
        <v>25.5</v>
      </c>
      <c r="N196" s="361">
        <f>'ExDom Parcel'!U31</f>
        <v>0</v>
      </c>
      <c r="O196" s="361">
        <f>'ExDom Parcel'!V31</f>
        <v>0</v>
      </c>
      <c r="P196" s="358">
        <f>'ExDom Parcel'!W31</f>
        <v>25.5</v>
      </c>
      <c r="R196" s="358">
        <f>'ExDom Parcel'!X31</f>
        <v>0</v>
      </c>
      <c r="T196" s="358">
        <f>'ExDom Parcel'!Y31</f>
        <v>25.5</v>
      </c>
      <c r="V196" s="365">
        <f>'ExDom Parcel'!Z31</f>
        <v>0</v>
      </c>
      <c r="W196" s="358">
        <f>'ExDom Parcel'!AA31</f>
        <v>0</v>
      </c>
      <c r="X196" s="358">
        <f>'ExDom Parcel'!AB31</f>
        <v>0</v>
      </c>
      <c r="Y196" s="358">
        <f>'ExDom Parcel'!AC31</f>
        <v>0</v>
      </c>
    </row>
    <row r="197" spans="1:25" x14ac:dyDescent="0.35">
      <c r="A197">
        <v>196</v>
      </c>
      <c r="B197" t="s">
        <v>1351</v>
      </c>
      <c r="C197" t="s">
        <v>946</v>
      </c>
      <c r="D197" t="s">
        <v>14</v>
      </c>
      <c r="E197" t="s">
        <v>25</v>
      </c>
      <c r="F197" t="s">
        <v>1517</v>
      </c>
      <c r="G197" s="63" t="s">
        <v>1566</v>
      </c>
      <c r="H197" s="358">
        <v>6.55</v>
      </c>
      <c r="J197" s="357">
        <v>0.40000000000000036</v>
      </c>
      <c r="L197" s="358">
        <v>6.95</v>
      </c>
      <c r="N197" s="361">
        <f>'ExDom Parcel'!U32</f>
        <v>0</v>
      </c>
      <c r="O197" s="361">
        <f>'ExDom Parcel'!V32</f>
        <v>0</v>
      </c>
      <c r="P197" s="358">
        <f>'ExDom Parcel'!W32</f>
        <v>6.95</v>
      </c>
      <c r="R197" s="358">
        <f>'ExDom Parcel'!X32</f>
        <v>0</v>
      </c>
      <c r="T197" s="358">
        <f>'ExDom Parcel'!Y32</f>
        <v>6.95</v>
      </c>
      <c r="V197" s="365">
        <f>'ExDom Parcel'!Z32</f>
        <v>0</v>
      </c>
      <c r="W197" s="358">
        <f>'ExDom Parcel'!AA32</f>
        <v>0</v>
      </c>
      <c r="X197" s="358">
        <f>'ExDom Parcel'!AB32</f>
        <v>0</v>
      </c>
      <c r="Y197" s="358">
        <f>'ExDom Parcel'!AC32</f>
        <v>0</v>
      </c>
    </row>
    <row r="198" spans="1:25" x14ac:dyDescent="0.35">
      <c r="A198">
        <v>197</v>
      </c>
      <c r="B198" t="s">
        <v>1351</v>
      </c>
      <c r="C198" t="s">
        <v>946</v>
      </c>
      <c r="D198" t="s">
        <v>14</v>
      </c>
      <c r="E198" t="s">
        <v>283</v>
      </c>
      <c r="F198" t="s">
        <v>1003</v>
      </c>
      <c r="G198" s="63" t="s">
        <v>1567</v>
      </c>
      <c r="H198" s="358">
        <v>1.05</v>
      </c>
      <c r="J198" s="357">
        <v>0</v>
      </c>
      <c r="L198" s="358">
        <v>1.05</v>
      </c>
      <c r="N198" s="361">
        <f>'ExDom Parcel'!U34</f>
        <v>0</v>
      </c>
      <c r="O198" s="361">
        <f>'ExDom Parcel'!V34</f>
        <v>0</v>
      </c>
      <c r="P198" s="358">
        <f>'ExDom Parcel'!W34</f>
        <v>1.05</v>
      </c>
      <c r="R198" s="358">
        <f>'ExDom Parcel'!X34</f>
        <v>0</v>
      </c>
      <c r="T198" s="358">
        <f>'ExDom Parcel'!Y34</f>
        <v>1.05</v>
      </c>
      <c r="V198" s="365">
        <f>'ExDom Parcel'!Z34</f>
        <v>0</v>
      </c>
      <c r="W198" s="358">
        <f>'ExDom Parcel'!AA34</f>
        <v>0</v>
      </c>
      <c r="X198" s="358">
        <f>'ExDom Parcel'!AB34</f>
        <v>0</v>
      </c>
      <c r="Y198" s="358">
        <f>'ExDom Parcel'!AC34</f>
        <v>0</v>
      </c>
    </row>
    <row r="199" spans="1:25" x14ac:dyDescent="0.35">
      <c r="A199">
        <v>198</v>
      </c>
      <c r="B199" t="s">
        <v>1351</v>
      </c>
      <c r="C199" t="s">
        <v>946</v>
      </c>
      <c r="D199" t="s">
        <v>14</v>
      </c>
      <c r="E199" t="s">
        <v>283</v>
      </c>
      <c r="F199" t="s">
        <v>1005</v>
      </c>
      <c r="G199" s="63" t="s">
        <v>1568</v>
      </c>
      <c r="H199" s="358">
        <v>1.05</v>
      </c>
      <c r="J199" s="357">
        <v>0</v>
      </c>
      <c r="L199" s="358">
        <v>1.05</v>
      </c>
      <c r="N199" s="361">
        <f>'ExDom Parcel'!U35</f>
        <v>0</v>
      </c>
      <c r="O199" s="361">
        <f>'ExDom Parcel'!V35</f>
        <v>0</v>
      </c>
      <c r="P199" s="358">
        <f>'ExDom Parcel'!W35</f>
        <v>1.05</v>
      </c>
      <c r="R199" s="358">
        <f>'ExDom Parcel'!X35</f>
        <v>0</v>
      </c>
      <c r="T199" s="358">
        <f>'ExDom Parcel'!Y35</f>
        <v>1.05</v>
      </c>
      <c r="V199" s="365">
        <f>'ExDom Parcel'!Z35</f>
        <v>0</v>
      </c>
      <c r="W199" s="358">
        <f>'ExDom Parcel'!AA35</f>
        <v>0</v>
      </c>
      <c r="X199" s="358">
        <f>'ExDom Parcel'!AB35</f>
        <v>0</v>
      </c>
      <c r="Y199" s="358">
        <f>'ExDom Parcel'!AC35</f>
        <v>0</v>
      </c>
    </row>
    <row r="200" spans="1:25" x14ac:dyDescent="0.35">
      <c r="A200">
        <v>199</v>
      </c>
      <c r="B200" t="s">
        <v>1351</v>
      </c>
      <c r="C200" t="s">
        <v>946</v>
      </c>
      <c r="D200" t="s">
        <v>14</v>
      </c>
      <c r="E200" t="s">
        <v>327</v>
      </c>
      <c r="F200" t="s">
        <v>327</v>
      </c>
      <c r="G200" s="63" t="s">
        <v>1569</v>
      </c>
      <c r="H200" s="358">
        <v>4</v>
      </c>
      <c r="J200" s="357">
        <v>0.25</v>
      </c>
      <c r="L200" s="358">
        <v>4.25</v>
      </c>
      <c r="N200" s="361">
        <f>'ExDom Parcel'!U36</f>
        <v>0</v>
      </c>
      <c r="O200" s="361">
        <f>'ExDom Parcel'!V36</f>
        <v>0</v>
      </c>
      <c r="P200" s="358">
        <f>'ExDom Parcel'!W36</f>
        <v>4.25</v>
      </c>
      <c r="R200" s="358">
        <f>'ExDom Parcel'!X36</f>
        <v>0</v>
      </c>
      <c r="T200" s="358">
        <f>'ExDom Parcel'!Y36</f>
        <v>4.25</v>
      </c>
      <c r="V200" s="365">
        <f>'ExDom Parcel'!Z36</f>
        <v>0</v>
      </c>
      <c r="W200" s="358">
        <f>'ExDom Parcel'!AA36</f>
        <v>0</v>
      </c>
      <c r="X200" s="358">
        <f>'ExDom Parcel'!AB36</f>
        <v>0</v>
      </c>
      <c r="Y200" s="358">
        <f>'ExDom Parcel'!AC36</f>
        <v>0</v>
      </c>
    </row>
    <row r="201" spans="1:25" x14ac:dyDescent="0.35">
      <c r="A201">
        <v>200</v>
      </c>
      <c r="B201" t="s">
        <v>1351</v>
      </c>
      <c r="C201" t="s">
        <v>946</v>
      </c>
      <c r="D201" t="s">
        <v>14</v>
      </c>
      <c r="E201" t="s">
        <v>46</v>
      </c>
      <c r="F201" t="s">
        <v>46</v>
      </c>
      <c r="G201" s="63" t="s">
        <v>1570</v>
      </c>
      <c r="H201" s="358">
        <v>16</v>
      </c>
      <c r="J201" s="357">
        <v>0</v>
      </c>
      <c r="L201" s="358">
        <v>16</v>
      </c>
      <c r="N201" s="361">
        <f>'ExDom Parcel'!U37</f>
        <v>0</v>
      </c>
      <c r="O201" s="361">
        <f>'ExDom Parcel'!V37</f>
        <v>0</v>
      </c>
      <c r="P201" s="358">
        <f>'ExDom Parcel'!W37</f>
        <v>16</v>
      </c>
      <c r="R201" s="358">
        <f>'ExDom Parcel'!X37</f>
        <v>0</v>
      </c>
      <c r="T201" s="358">
        <f>'ExDom Parcel'!Y37</f>
        <v>16</v>
      </c>
      <c r="V201" s="365">
        <f>'ExDom Parcel'!Z37</f>
        <v>0</v>
      </c>
      <c r="W201" s="358">
        <f>'ExDom Parcel'!AA37</f>
        <v>0</v>
      </c>
      <c r="X201" s="358">
        <f>'ExDom Parcel'!AB37</f>
        <v>0</v>
      </c>
      <c r="Y201" s="358">
        <f>'ExDom Parcel'!AC37</f>
        <v>0</v>
      </c>
    </row>
    <row r="202" spans="1:25" x14ac:dyDescent="0.35">
      <c r="A202">
        <v>201</v>
      </c>
      <c r="B202" t="s">
        <v>1351</v>
      </c>
      <c r="C202" t="s">
        <v>946</v>
      </c>
      <c r="D202" t="s">
        <v>14</v>
      </c>
      <c r="E202" t="s">
        <v>24</v>
      </c>
      <c r="F202" t="s">
        <v>24</v>
      </c>
      <c r="G202" s="63" t="s">
        <v>1571</v>
      </c>
      <c r="H202" s="358">
        <v>16</v>
      </c>
      <c r="J202" s="357">
        <v>0</v>
      </c>
      <c r="L202" s="358">
        <v>16</v>
      </c>
      <c r="N202" s="361">
        <f>'ExDom Parcel'!U38</f>
        <v>0</v>
      </c>
      <c r="O202" s="361">
        <f>'ExDom Parcel'!V38</f>
        <v>0</v>
      </c>
      <c r="P202" s="358">
        <f>'ExDom Parcel'!W38</f>
        <v>16</v>
      </c>
      <c r="R202" s="358">
        <f>'ExDom Parcel'!X38</f>
        <v>0</v>
      </c>
      <c r="T202" s="358">
        <f>'ExDom Parcel'!Y38</f>
        <v>16</v>
      </c>
      <c r="V202" s="365">
        <f>'ExDom Parcel'!Z38</f>
        <v>0</v>
      </c>
      <c r="W202" s="358">
        <f>'ExDom Parcel'!AA38</f>
        <v>0</v>
      </c>
      <c r="X202" s="358">
        <f>'ExDom Parcel'!AB38</f>
        <v>0</v>
      </c>
      <c r="Y202" s="358">
        <f>'ExDom Parcel'!AC38</f>
        <v>0</v>
      </c>
    </row>
    <row r="203" spans="1:25" x14ac:dyDescent="0.35">
      <c r="A203">
        <v>202</v>
      </c>
      <c r="B203" t="s">
        <v>1341</v>
      </c>
      <c r="C203" t="s">
        <v>953</v>
      </c>
      <c r="D203" t="s">
        <v>15</v>
      </c>
      <c r="E203" t="s">
        <v>66</v>
      </c>
      <c r="F203" t="s">
        <v>290</v>
      </c>
      <c r="G203" s="63" t="s">
        <v>1520</v>
      </c>
      <c r="H203" s="358">
        <v>27</v>
      </c>
      <c r="J203" s="357">
        <v>2.5</v>
      </c>
      <c r="L203" s="358">
        <v>29.5</v>
      </c>
      <c r="N203" s="361">
        <f>Ground!C6</f>
        <v>0</v>
      </c>
      <c r="O203" s="361">
        <f>Ground!D6</f>
        <v>0</v>
      </c>
      <c r="P203" s="358">
        <f>Ground!E6</f>
        <v>29.5</v>
      </c>
      <c r="R203" s="358">
        <f>Ground!F6</f>
        <v>0</v>
      </c>
      <c r="T203" s="358">
        <f>Ground!G6</f>
        <v>29.5</v>
      </c>
      <c r="V203" s="365">
        <f>Ground!H6</f>
        <v>0</v>
      </c>
      <c r="W203" s="358">
        <f>Ground!I6</f>
        <v>0</v>
      </c>
      <c r="X203" s="358">
        <f>Ground!J6</f>
        <v>0</v>
      </c>
      <c r="Y203" s="358">
        <f>Ground!K6</f>
        <v>0</v>
      </c>
    </row>
    <row r="204" spans="1:25" x14ac:dyDescent="0.35">
      <c r="A204">
        <v>203</v>
      </c>
      <c r="B204" t="s">
        <v>1341</v>
      </c>
      <c r="C204" t="s">
        <v>953</v>
      </c>
      <c r="D204" t="s">
        <v>15</v>
      </c>
      <c r="E204" t="s">
        <v>66</v>
      </c>
      <c r="F204" t="s">
        <v>67</v>
      </c>
      <c r="G204" s="63" t="s">
        <v>1519</v>
      </c>
      <c r="H204" s="358">
        <v>38</v>
      </c>
      <c r="J204" s="357">
        <v>2</v>
      </c>
      <c r="L204" s="358">
        <v>40</v>
      </c>
      <c r="N204" s="361">
        <f>Ground!C7</f>
        <v>0</v>
      </c>
      <c r="O204" s="361">
        <f>Ground!D7</f>
        <v>0</v>
      </c>
      <c r="P204" s="358">
        <f>Ground!E7</f>
        <v>40</v>
      </c>
      <c r="R204" s="358">
        <f>Ground!F7</f>
        <v>0</v>
      </c>
      <c r="T204" s="358">
        <f>Ground!G7</f>
        <v>40</v>
      </c>
      <c r="V204" s="365">
        <f>Ground!H7</f>
        <v>0</v>
      </c>
      <c r="W204" s="358">
        <f>Ground!I7</f>
        <v>0</v>
      </c>
      <c r="X204" s="358">
        <f>Ground!J7</f>
        <v>0</v>
      </c>
      <c r="Y204" s="358">
        <f>Ground!K7</f>
        <v>0</v>
      </c>
    </row>
    <row r="205" spans="1:25" x14ac:dyDescent="0.35">
      <c r="A205">
        <v>204</v>
      </c>
      <c r="B205" t="s">
        <v>1341</v>
      </c>
      <c r="C205" t="s">
        <v>953</v>
      </c>
      <c r="D205" t="s">
        <v>15</v>
      </c>
      <c r="E205" t="s">
        <v>66</v>
      </c>
      <c r="F205" t="s">
        <v>68</v>
      </c>
      <c r="G205" s="63" t="s">
        <v>1518</v>
      </c>
      <c r="H205" s="358">
        <v>27</v>
      </c>
      <c r="J205" s="357">
        <v>2.5</v>
      </c>
      <c r="L205" s="358">
        <v>29.5</v>
      </c>
      <c r="N205" s="361">
        <f>Ground!C8</f>
        <v>0</v>
      </c>
      <c r="O205" s="361">
        <f>Ground!D8</f>
        <v>0</v>
      </c>
      <c r="P205" s="358">
        <f>Ground!E8</f>
        <v>29.5</v>
      </c>
      <c r="R205" s="358">
        <f>Ground!F8</f>
        <v>0</v>
      </c>
      <c r="T205" s="358">
        <f>Ground!G8</f>
        <v>29.5</v>
      </c>
      <c r="V205" s="365">
        <f>Ground!H8</f>
        <v>0</v>
      </c>
      <c r="W205" s="358">
        <f>Ground!I8</f>
        <v>0</v>
      </c>
      <c r="X205" s="358">
        <f>Ground!J8</f>
        <v>0</v>
      </c>
      <c r="Y205" s="358">
        <f>Ground!K8</f>
        <v>0</v>
      </c>
    </row>
    <row r="206" spans="1:25" x14ac:dyDescent="0.35">
      <c r="A206">
        <v>205</v>
      </c>
      <c r="B206" t="s">
        <v>1341</v>
      </c>
      <c r="C206" t="s">
        <v>946</v>
      </c>
      <c r="D206" t="s">
        <v>15</v>
      </c>
      <c r="E206" t="s">
        <v>31</v>
      </c>
      <c r="F206" t="s">
        <v>31</v>
      </c>
      <c r="G206" s="63" t="s">
        <v>1572</v>
      </c>
      <c r="H206" s="358">
        <v>24</v>
      </c>
      <c r="J206" s="357">
        <v>1.5</v>
      </c>
      <c r="L206" s="358">
        <v>25.5</v>
      </c>
      <c r="N206" s="361">
        <f>Ground!C9</f>
        <v>0</v>
      </c>
      <c r="O206" s="361">
        <f>Ground!D9</f>
        <v>0</v>
      </c>
      <c r="P206" s="358">
        <f>Ground!E9</f>
        <v>25.5</v>
      </c>
      <c r="R206" s="358">
        <f>Ground!F9</f>
        <v>0</v>
      </c>
      <c r="T206" s="358">
        <f>Ground!G9</f>
        <v>25.5</v>
      </c>
      <c r="V206" s="365">
        <f>Ground!H9</f>
        <v>0</v>
      </c>
      <c r="W206" s="358">
        <f>Ground!I9</f>
        <v>0</v>
      </c>
      <c r="X206" s="358">
        <f>Ground!J9</f>
        <v>0</v>
      </c>
      <c r="Y206" s="358">
        <f>Ground!K9</f>
        <v>0</v>
      </c>
    </row>
    <row r="207" spans="1:25" x14ac:dyDescent="0.35">
      <c r="A207">
        <v>206</v>
      </c>
      <c r="B207" t="s">
        <v>1341</v>
      </c>
      <c r="C207" t="s">
        <v>946</v>
      </c>
      <c r="D207" t="s">
        <v>15</v>
      </c>
      <c r="E207" t="s">
        <v>935</v>
      </c>
      <c r="F207" t="s">
        <v>935</v>
      </c>
      <c r="G207" s="63" t="s">
        <v>1573</v>
      </c>
      <c r="H207" s="358">
        <v>16.5</v>
      </c>
      <c r="J207" s="357">
        <v>0</v>
      </c>
      <c r="L207" s="358">
        <v>16.5</v>
      </c>
      <c r="N207" s="361">
        <f>Ground!C10</f>
        <v>0</v>
      </c>
      <c r="O207" s="361">
        <f>Ground!D10</f>
        <v>0</v>
      </c>
      <c r="P207" s="358">
        <f>Ground!E10</f>
        <v>16.5</v>
      </c>
      <c r="R207" s="358">
        <f>Ground!F10</f>
        <v>0</v>
      </c>
      <c r="T207" s="358">
        <f>Ground!G10</f>
        <v>16.5</v>
      </c>
      <c r="V207" s="365">
        <f>Ground!H10</f>
        <v>0</v>
      </c>
      <c r="W207" s="358">
        <f>Ground!I10</f>
        <v>0</v>
      </c>
      <c r="X207" s="358">
        <f>Ground!J10</f>
        <v>0</v>
      </c>
      <c r="Y207" s="358">
        <f>Ground!K10</f>
        <v>0</v>
      </c>
    </row>
    <row r="208" spans="1:25" x14ac:dyDescent="0.35">
      <c r="A208">
        <v>207</v>
      </c>
      <c r="B208" t="s">
        <v>1341</v>
      </c>
      <c r="C208" t="s">
        <v>946</v>
      </c>
      <c r="D208" t="s">
        <v>15</v>
      </c>
      <c r="E208" t="s">
        <v>17</v>
      </c>
      <c r="F208" t="s">
        <v>17</v>
      </c>
      <c r="G208" s="63" t="s">
        <v>1574</v>
      </c>
      <c r="H208" s="358">
        <v>8.3000000000000007</v>
      </c>
      <c r="J208" s="357">
        <v>0.5</v>
      </c>
      <c r="L208" s="358">
        <v>8.8000000000000007</v>
      </c>
      <c r="N208" s="361">
        <f>Ground!C11</f>
        <v>0</v>
      </c>
      <c r="O208" s="361">
        <f>Ground!D11</f>
        <v>0</v>
      </c>
      <c r="P208" s="358">
        <f>Ground!E11</f>
        <v>8.8000000000000007</v>
      </c>
      <c r="R208" s="358">
        <f>Ground!F11</f>
        <v>0</v>
      </c>
      <c r="T208" s="358">
        <f>Ground!G11</f>
        <v>8.8000000000000007</v>
      </c>
      <c r="V208" s="365">
        <f>Ground!H11</f>
        <v>0</v>
      </c>
      <c r="W208" s="358">
        <f>Ground!I11</f>
        <v>0</v>
      </c>
      <c r="X208" s="358">
        <f>Ground!J11</f>
        <v>0</v>
      </c>
      <c r="Y208" s="358">
        <f>Ground!K11</f>
        <v>0</v>
      </c>
    </row>
    <row r="209" spans="1:25" x14ac:dyDescent="0.35">
      <c r="A209">
        <v>208</v>
      </c>
      <c r="B209" t="s">
        <v>1341</v>
      </c>
      <c r="C209" t="s">
        <v>946</v>
      </c>
      <c r="D209" t="s">
        <v>15</v>
      </c>
      <c r="E209" t="s">
        <v>274</v>
      </c>
      <c r="F209" t="s">
        <v>905</v>
      </c>
      <c r="G209" s="63" t="s">
        <v>1575</v>
      </c>
      <c r="H209" s="358">
        <v>20</v>
      </c>
      <c r="J209" s="357">
        <v>0</v>
      </c>
      <c r="L209" s="358">
        <v>20</v>
      </c>
      <c r="N209" s="361">
        <f>Ground!C13</f>
        <v>0</v>
      </c>
      <c r="O209" s="361">
        <f>Ground!D13</f>
        <v>0</v>
      </c>
      <c r="P209" s="358">
        <f>Ground!E13</f>
        <v>20</v>
      </c>
      <c r="R209" s="358">
        <f>Ground!F13</f>
        <v>0</v>
      </c>
      <c r="T209" s="358">
        <f>Ground!G13</f>
        <v>20</v>
      </c>
      <c r="V209" s="365">
        <f>Ground!H13</f>
        <v>0</v>
      </c>
      <c r="W209" s="358">
        <f>Ground!I13</f>
        <v>0</v>
      </c>
      <c r="X209" s="358">
        <f>Ground!J13</f>
        <v>0</v>
      </c>
      <c r="Y209" s="358">
        <f>Ground!K13</f>
        <v>0</v>
      </c>
    </row>
    <row r="210" spans="1:25" x14ac:dyDescent="0.35">
      <c r="A210">
        <v>209</v>
      </c>
      <c r="B210" t="s">
        <v>1341</v>
      </c>
      <c r="C210" t="s">
        <v>946</v>
      </c>
      <c r="D210" t="s">
        <v>15</v>
      </c>
      <c r="E210" t="s">
        <v>274</v>
      </c>
      <c r="F210" t="s">
        <v>908</v>
      </c>
      <c r="G210" s="63" t="s">
        <v>1576</v>
      </c>
      <c r="H210" s="358">
        <v>60</v>
      </c>
      <c r="J210" s="357">
        <v>0</v>
      </c>
      <c r="L210" s="358">
        <v>60</v>
      </c>
      <c r="N210" s="361">
        <f>Ground!C14</f>
        <v>0</v>
      </c>
      <c r="O210" s="361">
        <f>Ground!D14</f>
        <v>0</v>
      </c>
      <c r="P210" s="358">
        <f>Ground!E14</f>
        <v>60</v>
      </c>
      <c r="R210" s="358">
        <f>Ground!F14</f>
        <v>0</v>
      </c>
      <c r="T210" s="358">
        <f>Ground!G14</f>
        <v>60</v>
      </c>
      <c r="V210" s="365">
        <f>Ground!H14</f>
        <v>0</v>
      </c>
      <c r="W210" s="358">
        <f>Ground!I14</f>
        <v>0</v>
      </c>
      <c r="X210" s="358">
        <f>Ground!J14</f>
        <v>0</v>
      </c>
      <c r="Y210" s="358">
        <f>Ground!K14</f>
        <v>0</v>
      </c>
    </row>
    <row r="211" spans="1:25" x14ac:dyDescent="0.35">
      <c r="A211">
        <v>210</v>
      </c>
      <c r="B211" t="s">
        <v>1341</v>
      </c>
      <c r="C211" t="s">
        <v>946</v>
      </c>
      <c r="D211" t="s">
        <v>15</v>
      </c>
      <c r="E211" t="s">
        <v>274</v>
      </c>
      <c r="F211" t="s">
        <v>906</v>
      </c>
      <c r="G211" s="63" t="s">
        <v>1577</v>
      </c>
      <c r="H211" s="358">
        <v>20</v>
      </c>
      <c r="J211" s="357">
        <v>0</v>
      </c>
      <c r="L211" s="358">
        <v>20</v>
      </c>
      <c r="N211" s="361">
        <f>Ground!C15</f>
        <v>0</v>
      </c>
      <c r="O211" s="361">
        <f>Ground!D15</f>
        <v>0</v>
      </c>
      <c r="P211" s="358">
        <f>Ground!E15</f>
        <v>20</v>
      </c>
      <c r="R211" s="358">
        <f>Ground!F15</f>
        <v>0</v>
      </c>
      <c r="T211" s="358">
        <f>Ground!G15</f>
        <v>20</v>
      </c>
      <c r="V211" s="365">
        <f>Ground!H15</f>
        <v>0</v>
      </c>
      <c r="W211" s="358">
        <f>Ground!I15</f>
        <v>0</v>
      </c>
      <c r="X211" s="358">
        <f>Ground!J15</f>
        <v>0</v>
      </c>
      <c r="Y211" s="358">
        <f>Ground!K15</f>
        <v>0</v>
      </c>
    </row>
    <row r="212" spans="1:25" x14ac:dyDescent="0.35">
      <c r="A212">
        <v>211</v>
      </c>
      <c r="B212" t="s">
        <v>1341</v>
      </c>
      <c r="C212" t="s">
        <v>946</v>
      </c>
      <c r="D212" t="s">
        <v>15</v>
      </c>
      <c r="E212" t="s">
        <v>274</v>
      </c>
      <c r="F212" t="s">
        <v>909</v>
      </c>
      <c r="G212" s="63" t="s">
        <v>1578</v>
      </c>
      <c r="H212" s="358">
        <v>47</v>
      </c>
      <c r="J212" s="357">
        <v>0</v>
      </c>
      <c r="L212" s="358">
        <v>47</v>
      </c>
      <c r="N212" s="361">
        <f>Ground!C16</f>
        <v>0</v>
      </c>
      <c r="O212" s="361">
        <f>Ground!D16</f>
        <v>0</v>
      </c>
      <c r="P212" s="358">
        <f>Ground!E16</f>
        <v>47</v>
      </c>
      <c r="R212" s="358">
        <f>Ground!F16</f>
        <v>0</v>
      </c>
      <c r="T212" s="358">
        <f>Ground!G16</f>
        <v>47</v>
      </c>
      <c r="V212" s="365">
        <f>Ground!H16</f>
        <v>0</v>
      </c>
      <c r="W212" s="358">
        <f>Ground!I16</f>
        <v>0</v>
      </c>
      <c r="X212" s="358">
        <f>Ground!J16</f>
        <v>0</v>
      </c>
      <c r="Y212" s="358">
        <f>Ground!K16</f>
        <v>0</v>
      </c>
    </row>
    <row r="213" spans="1:25" x14ac:dyDescent="0.35">
      <c r="A213">
        <v>212</v>
      </c>
      <c r="B213" t="s">
        <v>1341</v>
      </c>
      <c r="C213" t="s">
        <v>946</v>
      </c>
      <c r="D213" t="s">
        <v>15</v>
      </c>
      <c r="E213" t="s">
        <v>274</v>
      </c>
      <c r="F213" t="s">
        <v>907</v>
      </c>
      <c r="G213" s="63" t="s">
        <v>1579</v>
      </c>
      <c r="H213" s="358">
        <v>14.5</v>
      </c>
      <c r="J213" s="357">
        <v>0</v>
      </c>
      <c r="L213" s="358">
        <v>14.5</v>
      </c>
      <c r="N213" s="361">
        <f>Ground!C17</f>
        <v>0</v>
      </c>
      <c r="O213" s="361">
        <f>Ground!D17</f>
        <v>0</v>
      </c>
      <c r="P213" s="358">
        <f>Ground!E17</f>
        <v>14.5</v>
      </c>
      <c r="R213" s="358">
        <f>Ground!F17</f>
        <v>0</v>
      </c>
      <c r="T213" s="358">
        <f>Ground!G17</f>
        <v>14.5</v>
      </c>
      <c r="V213" s="365">
        <f>Ground!H17</f>
        <v>0</v>
      </c>
      <c r="W213" s="358">
        <f>Ground!I17</f>
        <v>0</v>
      </c>
      <c r="X213" s="358">
        <f>Ground!J17</f>
        <v>0</v>
      </c>
      <c r="Y213" s="358">
        <f>Ground!K17</f>
        <v>0</v>
      </c>
    </row>
    <row r="214" spans="1:25" x14ac:dyDescent="0.35">
      <c r="A214">
        <v>213</v>
      </c>
      <c r="B214" t="s">
        <v>1341</v>
      </c>
      <c r="C214" t="s">
        <v>946</v>
      </c>
      <c r="D214" t="s">
        <v>15</v>
      </c>
      <c r="E214" t="s">
        <v>883</v>
      </c>
      <c r="F214" t="s">
        <v>300</v>
      </c>
      <c r="G214" s="63" t="s">
        <v>1580</v>
      </c>
      <c r="H214" s="358">
        <v>4.6500000000000004</v>
      </c>
      <c r="J214" s="357">
        <v>0.29999999999999982</v>
      </c>
      <c r="L214" s="358">
        <v>4.95</v>
      </c>
      <c r="N214" s="361">
        <f>Ground!C19</f>
        <v>0</v>
      </c>
      <c r="O214" s="361">
        <f>Ground!D19</f>
        <v>0</v>
      </c>
      <c r="P214" s="358">
        <f>Ground!E19</f>
        <v>4.95</v>
      </c>
      <c r="R214" s="358">
        <f>Ground!F19</f>
        <v>0</v>
      </c>
      <c r="T214" s="358">
        <f>Ground!G19</f>
        <v>4.95</v>
      </c>
      <c r="V214" s="365">
        <f>Ground!H19</f>
        <v>0</v>
      </c>
      <c r="W214" s="358">
        <f>Ground!I19</f>
        <v>0</v>
      </c>
      <c r="X214" s="358">
        <f>Ground!J19</f>
        <v>0</v>
      </c>
      <c r="Y214" s="358">
        <f>Ground!K19</f>
        <v>0</v>
      </c>
    </row>
    <row r="215" spans="1:25" x14ac:dyDescent="0.35">
      <c r="A215">
        <v>214</v>
      </c>
      <c r="B215" t="s">
        <v>1341</v>
      </c>
      <c r="C215" t="s">
        <v>946</v>
      </c>
      <c r="D215" t="s">
        <v>15</v>
      </c>
      <c r="E215" t="s">
        <v>883</v>
      </c>
      <c r="F215" t="s">
        <v>301</v>
      </c>
      <c r="G215" s="63" t="s">
        <v>1581</v>
      </c>
      <c r="H215" s="358">
        <v>10.5</v>
      </c>
      <c r="J215" s="357">
        <v>0.75</v>
      </c>
      <c r="L215" s="358">
        <v>11.25</v>
      </c>
      <c r="N215" s="361">
        <f>Ground!C20</f>
        <v>0</v>
      </c>
      <c r="O215" s="361">
        <f>Ground!D20</f>
        <v>0</v>
      </c>
      <c r="P215" s="358">
        <f>Ground!E20</f>
        <v>11.25</v>
      </c>
      <c r="R215" s="358">
        <f>Ground!F20</f>
        <v>0</v>
      </c>
      <c r="T215" s="358">
        <f>Ground!G20</f>
        <v>11.25</v>
      </c>
      <c r="V215" s="365">
        <f>Ground!H20</f>
        <v>0</v>
      </c>
      <c r="W215" s="358">
        <f>Ground!I20</f>
        <v>0</v>
      </c>
      <c r="X215" s="358">
        <f>Ground!J20</f>
        <v>0</v>
      </c>
      <c r="Y215" s="358">
        <f>Ground!K20</f>
        <v>0</v>
      </c>
    </row>
    <row r="216" spans="1:25" x14ac:dyDescent="0.35">
      <c r="A216">
        <v>215</v>
      </c>
      <c r="B216" t="s">
        <v>1341</v>
      </c>
      <c r="C216" t="s">
        <v>946</v>
      </c>
      <c r="D216" t="s">
        <v>15</v>
      </c>
      <c r="E216" t="s">
        <v>883</v>
      </c>
      <c r="F216" t="s">
        <v>299</v>
      </c>
      <c r="G216" s="63" t="s">
        <v>1582</v>
      </c>
      <c r="H216" s="358">
        <v>24</v>
      </c>
      <c r="J216" s="357">
        <v>1.5</v>
      </c>
      <c r="L216" s="358">
        <v>25.5</v>
      </c>
      <c r="N216" s="361">
        <f>Ground!C21</f>
        <v>0</v>
      </c>
      <c r="O216" s="361">
        <f>Ground!D21</f>
        <v>0</v>
      </c>
      <c r="P216" s="358">
        <f>Ground!E21</f>
        <v>25.5</v>
      </c>
      <c r="R216" s="358">
        <f>Ground!F21</f>
        <v>0</v>
      </c>
      <c r="T216" s="358">
        <f>Ground!G21</f>
        <v>25.5</v>
      </c>
      <c r="V216" s="365">
        <f>Ground!H21</f>
        <v>0</v>
      </c>
      <c r="W216" s="358">
        <f>Ground!I21</f>
        <v>0</v>
      </c>
      <c r="X216" s="358">
        <f>Ground!J21</f>
        <v>0</v>
      </c>
      <c r="Y216" s="358">
        <f>Ground!K21</f>
        <v>0</v>
      </c>
    </row>
    <row r="217" spans="1:25" x14ac:dyDescent="0.35">
      <c r="A217">
        <v>216</v>
      </c>
      <c r="B217" t="s">
        <v>1341</v>
      </c>
      <c r="C217" t="s">
        <v>946</v>
      </c>
      <c r="D217" t="s">
        <v>15</v>
      </c>
      <c r="E217" t="s">
        <v>28</v>
      </c>
      <c r="F217" t="s">
        <v>28</v>
      </c>
      <c r="G217" s="63" t="s">
        <v>1583</v>
      </c>
      <c r="H217" s="358">
        <v>1.5</v>
      </c>
      <c r="J217" s="357">
        <v>0.14999999999999991</v>
      </c>
      <c r="L217" s="358">
        <v>1.65</v>
      </c>
      <c r="N217" s="361">
        <f>Ground!C22</f>
        <v>0</v>
      </c>
      <c r="O217" s="361">
        <f>Ground!D22</f>
        <v>0</v>
      </c>
      <c r="P217" s="358">
        <f>Ground!E22</f>
        <v>1.65</v>
      </c>
      <c r="R217" s="358">
        <f>Ground!F22</f>
        <v>0</v>
      </c>
      <c r="T217" s="358">
        <f>Ground!G22</f>
        <v>1.65</v>
      </c>
      <c r="V217" s="365">
        <f>Ground!H22</f>
        <v>0</v>
      </c>
    </row>
    <row r="218" spans="1:25" x14ac:dyDescent="0.35">
      <c r="A218">
        <v>217</v>
      </c>
      <c r="B218" t="s">
        <v>1341</v>
      </c>
      <c r="C218" t="s">
        <v>946</v>
      </c>
      <c r="D218" t="s">
        <v>15</v>
      </c>
      <c r="E218" t="s">
        <v>69</v>
      </c>
      <c r="F218" t="s">
        <v>281</v>
      </c>
      <c r="G218" s="63" t="s">
        <v>1584</v>
      </c>
      <c r="H218" s="358">
        <v>4.2</v>
      </c>
      <c r="J218" s="357">
        <v>0.25</v>
      </c>
      <c r="L218" s="358">
        <v>4.45</v>
      </c>
      <c r="N218" s="361">
        <f>Ground!C24</f>
        <v>0</v>
      </c>
      <c r="O218" s="361">
        <f>Ground!D24</f>
        <v>0</v>
      </c>
      <c r="P218" s="358">
        <f>Ground!E24</f>
        <v>4.45</v>
      </c>
      <c r="R218" s="358">
        <f>Ground!F24</f>
        <v>0</v>
      </c>
      <c r="T218" s="358">
        <f>Ground!G24</f>
        <v>4.45</v>
      </c>
      <c r="V218" s="365">
        <f>Ground!H24</f>
        <v>0</v>
      </c>
      <c r="W218" s="358">
        <f>Ground!I24</f>
        <v>0</v>
      </c>
      <c r="X218" s="358">
        <f>Ground!J24</f>
        <v>0</v>
      </c>
      <c r="Y218" s="358">
        <f>Ground!K24</f>
        <v>0</v>
      </c>
    </row>
    <row r="219" spans="1:25" x14ac:dyDescent="0.35">
      <c r="A219">
        <v>218</v>
      </c>
      <c r="B219" t="s">
        <v>1341</v>
      </c>
      <c r="C219" t="s">
        <v>946</v>
      </c>
      <c r="D219" t="s">
        <v>15</v>
      </c>
      <c r="E219" t="s">
        <v>69</v>
      </c>
      <c r="F219" t="s">
        <v>306</v>
      </c>
      <c r="G219" s="63" t="s">
        <v>1585</v>
      </c>
      <c r="H219" s="358">
        <v>5.25</v>
      </c>
      <c r="J219" s="357">
        <v>0.29999999999999982</v>
      </c>
      <c r="L219" s="358">
        <v>5.55</v>
      </c>
      <c r="N219" s="361">
        <f>Ground!C25</f>
        <v>0</v>
      </c>
      <c r="O219" s="361">
        <f>Ground!D25</f>
        <v>0</v>
      </c>
      <c r="P219" s="358">
        <f>Ground!E25</f>
        <v>5.55</v>
      </c>
      <c r="R219" s="358">
        <f>Ground!F25</f>
        <v>0</v>
      </c>
      <c r="T219" s="358">
        <f>Ground!G25</f>
        <v>5.55</v>
      </c>
      <c r="V219" s="365">
        <f>Ground!H25</f>
        <v>0</v>
      </c>
      <c r="W219" s="358">
        <f>Ground!I25</f>
        <v>0</v>
      </c>
      <c r="X219" s="358">
        <f>Ground!J25</f>
        <v>0</v>
      </c>
      <c r="Y219" s="358">
        <f>Ground!K25</f>
        <v>0</v>
      </c>
    </row>
    <row r="220" spans="1:25" x14ac:dyDescent="0.35">
      <c r="A220">
        <v>219</v>
      </c>
      <c r="B220" t="s">
        <v>1341</v>
      </c>
      <c r="C220" t="s">
        <v>946</v>
      </c>
      <c r="D220" t="s">
        <v>15</v>
      </c>
      <c r="E220" t="s">
        <v>69</v>
      </c>
      <c r="F220" t="s">
        <v>951</v>
      </c>
      <c r="G220" s="63" t="s">
        <v>1586</v>
      </c>
      <c r="H220" s="358">
        <v>15.5</v>
      </c>
      <c r="J220" s="357">
        <v>1.25</v>
      </c>
      <c r="L220" s="358">
        <v>16.75</v>
      </c>
      <c r="N220" s="361">
        <f>Ground!C26</f>
        <v>0</v>
      </c>
      <c r="O220" s="361">
        <f>Ground!D26</f>
        <v>0</v>
      </c>
      <c r="P220" s="358">
        <f>Ground!E26</f>
        <v>16.75</v>
      </c>
      <c r="R220" s="358">
        <f>Ground!F26</f>
        <v>0</v>
      </c>
      <c r="T220" s="358">
        <f>Ground!G26</f>
        <v>16.75</v>
      </c>
      <c r="V220" s="365">
        <f>Ground!H26</f>
        <v>0</v>
      </c>
      <c r="W220" s="358">
        <f>Ground!I26</f>
        <v>0</v>
      </c>
      <c r="X220" s="358">
        <f>Ground!J26</f>
        <v>0</v>
      </c>
      <c r="Y220" s="358">
        <f>Ground!K26</f>
        <v>0</v>
      </c>
    </row>
    <row r="221" spans="1:25" x14ac:dyDescent="0.35">
      <c r="A221">
        <v>220</v>
      </c>
      <c r="B221" t="s">
        <v>1341</v>
      </c>
      <c r="C221" t="s">
        <v>946</v>
      </c>
      <c r="D221" t="s">
        <v>15</v>
      </c>
      <c r="E221" t="s">
        <v>69</v>
      </c>
      <c r="F221" t="s">
        <v>282</v>
      </c>
      <c r="G221" s="63" t="s">
        <v>1587</v>
      </c>
      <c r="H221" s="358">
        <v>6.2</v>
      </c>
      <c r="J221" s="357">
        <v>0.39999999999999947</v>
      </c>
      <c r="L221" s="358">
        <v>6.6</v>
      </c>
      <c r="N221" s="361">
        <f>Ground!C27</f>
        <v>0</v>
      </c>
      <c r="O221" s="361">
        <f>Ground!D27</f>
        <v>0</v>
      </c>
      <c r="P221" s="358">
        <f>Ground!E27</f>
        <v>6.6</v>
      </c>
      <c r="R221" s="358">
        <f>Ground!F27</f>
        <v>0</v>
      </c>
      <c r="T221" s="358">
        <f>Ground!G27</f>
        <v>6.6</v>
      </c>
      <c r="V221" s="365">
        <f>Ground!H27</f>
        <v>0</v>
      </c>
      <c r="W221" s="358">
        <f>Ground!I27</f>
        <v>0</v>
      </c>
      <c r="X221" s="358">
        <f>Ground!J27</f>
        <v>0</v>
      </c>
      <c r="Y221" s="358">
        <f>Ground!K27</f>
        <v>0</v>
      </c>
    </row>
    <row r="222" spans="1:25" x14ac:dyDescent="0.35">
      <c r="A222">
        <v>221</v>
      </c>
      <c r="B222" t="s">
        <v>1341</v>
      </c>
      <c r="C222" t="s">
        <v>946</v>
      </c>
      <c r="D222" t="s">
        <v>15</v>
      </c>
      <c r="E222" t="s">
        <v>69</v>
      </c>
      <c r="F222" t="s">
        <v>307</v>
      </c>
      <c r="G222" s="63" t="s">
        <v>1588</v>
      </c>
      <c r="H222" s="358">
        <v>8.3000000000000007</v>
      </c>
      <c r="J222" s="357">
        <v>0.5</v>
      </c>
      <c r="L222" s="358">
        <v>8.8000000000000007</v>
      </c>
      <c r="N222" s="361">
        <f>Ground!C28</f>
        <v>0</v>
      </c>
      <c r="O222" s="361">
        <f>Ground!D28</f>
        <v>0</v>
      </c>
      <c r="P222" s="358">
        <f>Ground!E28</f>
        <v>8.8000000000000007</v>
      </c>
      <c r="R222" s="358">
        <f>Ground!F28</f>
        <v>0</v>
      </c>
      <c r="T222" s="358">
        <f>Ground!G28</f>
        <v>8.8000000000000007</v>
      </c>
      <c r="V222" s="365">
        <f>Ground!H28</f>
        <v>0</v>
      </c>
      <c r="W222" s="358">
        <f>Ground!I28</f>
        <v>0</v>
      </c>
      <c r="X222" s="358">
        <f>Ground!J28</f>
        <v>0</v>
      </c>
      <c r="Y222" s="358">
        <f>Ground!K28</f>
        <v>0</v>
      </c>
    </row>
    <row r="223" spans="1:25" x14ac:dyDescent="0.35">
      <c r="A223">
        <v>222</v>
      </c>
      <c r="B223" t="s">
        <v>1341</v>
      </c>
      <c r="C223" t="s">
        <v>946</v>
      </c>
      <c r="D223" t="s">
        <v>15</v>
      </c>
      <c r="E223" t="s">
        <v>69</v>
      </c>
      <c r="F223" t="s">
        <v>952</v>
      </c>
      <c r="G223" s="63" t="s">
        <v>1589</v>
      </c>
      <c r="H223" s="358">
        <v>15.5</v>
      </c>
      <c r="J223" s="357">
        <v>1.25</v>
      </c>
      <c r="L223" s="358">
        <v>16.75</v>
      </c>
      <c r="N223" s="361">
        <f>Ground!C29</f>
        <v>0</v>
      </c>
      <c r="O223" s="361">
        <f>Ground!D29</f>
        <v>0</v>
      </c>
      <c r="P223" s="358">
        <f>Ground!E29</f>
        <v>16.75</v>
      </c>
      <c r="R223" s="358">
        <f>Ground!F29</f>
        <v>0</v>
      </c>
      <c r="T223" s="358">
        <f>Ground!G29</f>
        <v>16.75</v>
      </c>
      <c r="V223" s="365">
        <f>Ground!H29</f>
        <v>0</v>
      </c>
      <c r="W223" s="358">
        <f>Ground!I29</f>
        <v>0</v>
      </c>
      <c r="X223" s="358">
        <f>Ground!J29</f>
        <v>0</v>
      </c>
      <c r="Y223" s="358">
        <f>Ground!K29</f>
        <v>0</v>
      </c>
    </row>
    <row r="224" spans="1:25" x14ac:dyDescent="0.35">
      <c r="A224">
        <v>223</v>
      </c>
      <c r="B224" t="s">
        <v>1341</v>
      </c>
      <c r="C224" t="s">
        <v>946</v>
      </c>
      <c r="D224" t="s">
        <v>15</v>
      </c>
      <c r="E224" t="s">
        <v>69</v>
      </c>
      <c r="F224" t="s">
        <v>304</v>
      </c>
      <c r="G224" s="63" t="s">
        <v>1590</v>
      </c>
      <c r="H224" s="358">
        <v>43</v>
      </c>
      <c r="J224" s="357">
        <v>3</v>
      </c>
      <c r="L224" s="358">
        <v>46</v>
      </c>
      <c r="N224" s="361">
        <f>Ground!C30</f>
        <v>0</v>
      </c>
      <c r="O224" s="361">
        <f>Ground!D30</f>
        <v>0</v>
      </c>
      <c r="P224" s="358">
        <f>Ground!E30</f>
        <v>46</v>
      </c>
      <c r="R224" s="358">
        <f>Ground!F30</f>
        <v>0</v>
      </c>
      <c r="T224" s="358">
        <f>Ground!G30</f>
        <v>46</v>
      </c>
      <c r="V224" s="365">
        <f>Ground!H30</f>
        <v>0</v>
      </c>
      <c r="W224" s="358">
        <f>Ground!I30</f>
        <v>0</v>
      </c>
      <c r="X224" s="358">
        <f>Ground!J30</f>
        <v>0</v>
      </c>
      <c r="Y224" s="358">
        <f>Ground!K30</f>
        <v>0</v>
      </c>
    </row>
    <row r="225" spans="1:25" x14ac:dyDescent="0.35">
      <c r="A225">
        <v>224</v>
      </c>
      <c r="B225" t="s">
        <v>1341</v>
      </c>
      <c r="C225" t="s">
        <v>946</v>
      </c>
      <c r="D225" t="s">
        <v>15</v>
      </c>
      <c r="E225" t="s">
        <v>69</v>
      </c>
      <c r="F225" t="s">
        <v>305</v>
      </c>
      <c r="G225" s="63" t="s">
        <v>1591</v>
      </c>
      <c r="H225" s="358">
        <v>43</v>
      </c>
      <c r="J225" s="357">
        <v>3</v>
      </c>
      <c r="L225" s="358">
        <v>46</v>
      </c>
      <c r="N225" s="361">
        <f>Ground!C31</f>
        <v>0</v>
      </c>
      <c r="O225" s="361">
        <f>Ground!D31</f>
        <v>0</v>
      </c>
      <c r="P225" s="358">
        <f>Ground!E31</f>
        <v>46</v>
      </c>
      <c r="R225" s="358">
        <f>Ground!F31</f>
        <v>0</v>
      </c>
      <c r="T225" s="358">
        <f>Ground!G31</f>
        <v>46</v>
      </c>
      <c r="V225" s="365">
        <f>Ground!H31</f>
        <v>0</v>
      </c>
      <c r="W225" s="358">
        <f>Ground!I31</f>
        <v>0</v>
      </c>
      <c r="X225" s="358">
        <f>Ground!J31</f>
        <v>0</v>
      </c>
      <c r="Y225" s="358">
        <f>Ground!K31</f>
        <v>0</v>
      </c>
    </row>
    <row r="226" spans="1:25" x14ac:dyDescent="0.35">
      <c r="A226">
        <v>225</v>
      </c>
      <c r="B226" t="s">
        <v>1341</v>
      </c>
      <c r="C226" t="s">
        <v>946</v>
      </c>
      <c r="D226" t="s">
        <v>15</v>
      </c>
      <c r="E226" t="s">
        <v>69</v>
      </c>
      <c r="F226" t="s">
        <v>308</v>
      </c>
      <c r="G226" s="63" t="s">
        <v>1592</v>
      </c>
      <c r="H226" s="358">
        <v>14.5</v>
      </c>
      <c r="J226" s="357">
        <v>1.75</v>
      </c>
      <c r="L226" s="358">
        <v>16.25</v>
      </c>
      <c r="N226" s="361">
        <f>Ground!C32</f>
        <v>0</v>
      </c>
      <c r="O226" s="361">
        <f>Ground!D32</f>
        <v>0</v>
      </c>
      <c r="P226" s="358">
        <f>Ground!E32</f>
        <v>16.25</v>
      </c>
      <c r="R226" s="358">
        <f>Ground!F32</f>
        <v>0</v>
      </c>
      <c r="T226" s="358">
        <f>Ground!G32</f>
        <v>16.25</v>
      </c>
      <c r="V226" s="365">
        <f>Ground!H32</f>
        <v>0</v>
      </c>
      <c r="W226" s="358">
        <f>Ground!I32</f>
        <v>0</v>
      </c>
      <c r="X226" s="358">
        <f>Ground!J32</f>
        <v>0</v>
      </c>
      <c r="Y226" s="358">
        <f>Ground!K32</f>
        <v>0</v>
      </c>
    </row>
    <row r="227" spans="1:25" x14ac:dyDescent="0.35">
      <c r="A227">
        <v>226</v>
      </c>
      <c r="B227" t="s">
        <v>1341</v>
      </c>
      <c r="C227" t="s">
        <v>946</v>
      </c>
      <c r="D227" t="s">
        <v>15</v>
      </c>
      <c r="E227" t="s">
        <v>69</v>
      </c>
      <c r="F227" t="s">
        <v>309</v>
      </c>
      <c r="G227" s="63" t="s">
        <v>1593</v>
      </c>
      <c r="H227" s="358">
        <v>14.5</v>
      </c>
      <c r="J227" s="357">
        <v>1.75</v>
      </c>
      <c r="L227" s="358">
        <v>16.25</v>
      </c>
      <c r="N227" s="361">
        <f>Ground!C33</f>
        <v>0</v>
      </c>
      <c r="O227" s="361">
        <f>Ground!D33</f>
        <v>0</v>
      </c>
      <c r="P227" s="358">
        <f>Ground!E33</f>
        <v>16.25</v>
      </c>
      <c r="R227" s="358">
        <f>Ground!F33</f>
        <v>0</v>
      </c>
      <c r="T227" s="358">
        <f>Ground!G33</f>
        <v>16.25</v>
      </c>
      <c r="V227" s="365">
        <f>Ground!H33</f>
        <v>0</v>
      </c>
      <c r="W227" s="358">
        <f>Ground!I33</f>
        <v>0</v>
      </c>
      <c r="X227" s="358">
        <f>Ground!J33</f>
        <v>0</v>
      </c>
      <c r="Y227" s="358">
        <f>Ground!K33</f>
        <v>0</v>
      </c>
    </row>
    <row r="228" spans="1:25" x14ac:dyDescent="0.35">
      <c r="A228">
        <v>227</v>
      </c>
      <c r="B228" t="s">
        <v>1341</v>
      </c>
      <c r="C228" t="s">
        <v>946</v>
      </c>
      <c r="D228" t="s">
        <v>15</v>
      </c>
      <c r="E228" t="s">
        <v>69</v>
      </c>
      <c r="F228" t="s">
        <v>310</v>
      </c>
      <c r="G228" s="63" t="s">
        <v>1594</v>
      </c>
      <c r="H228" s="358">
        <v>1.1000000000000001</v>
      </c>
      <c r="J228" s="357">
        <v>0</v>
      </c>
      <c r="L228" s="358">
        <v>1.1000000000000001</v>
      </c>
      <c r="N228" s="361">
        <f>Ground!C34</f>
        <v>0</v>
      </c>
      <c r="O228" s="361">
        <f>Ground!D34</f>
        <v>0</v>
      </c>
      <c r="P228" s="358">
        <f>Ground!E34</f>
        <v>1.1000000000000001</v>
      </c>
      <c r="R228" s="358">
        <f>Ground!F34</f>
        <v>0</v>
      </c>
      <c r="T228" s="358">
        <f>Ground!G34</f>
        <v>1.1000000000000001</v>
      </c>
      <c r="V228" s="365">
        <f>Ground!H34</f>
        <v>0</v>
      </c>
      <c r="W228" s="358">
        <f>Ground!I34</f>
        <v>0</v>
      </c>
      <c r="X228" s="358">
        <f>Ground!J34</f>
        <v>0</v>
      </c>
      <c r="Y228" s="358">
        <f>Ground!K34</f>
        <v>0</v>
      </c>
    </row>
    <row r="229" spans="1:25" x14ac:dyDescent="0.35">
      <c r="A229">
        <v>228</v>
      </c>
      <c r="B229" t="s">
        <v>1341</v>
      </c>
      <c r="C229" t="s">
        <v>946</v>
      </c>
      <c r="D229" t="s">
        <v>15</v>
      </c>
      <c r="E229" t="s">
        <v>69</v>
      </c>
      <c r="F229" t="s">
        <v>311</v>
      </c>
      <c r="G229" s="63" t="s">
        <v>1595</v>
      </c>
      <c r="H229" s="358">
        <v>1.1000000000000001</v>
      </c>
      <c r="J229" s="357">
        <v>0</v>
      </c>
      <c r="L229" s="358">
        <v>1.1000000000000001</v>
      </c>
      <c r="N229" s="361">
        <f>Ground!C35</f>
        <v>0</v>
      </c>
      <c r="O229" s="361">
        <f>Ground!D35</f>
        <v>0</v>
      </c>
      <c r="P229" s="358">
        <f>Ground!E35</f>
        <v>1.1000000000000001</v>
      </c>
      <c r="R229" s="358">
        <f>Ground!F35</f>
        <v>0</v>
      </c>
      <c r="T229" s="358">
        <f>Ground!G35</f>
        <v>1.1000000000000001</v>
      </c>
      <c r="V229" s="365">
        <f>Ground!H35</f>
        <v>0</v>
      </c>
      <c r="W229" s="358">
        <f>Ground!I35</f>
        <v>0</v>
      </c>
      <c r="X229" s="358">
        <f>Ground!J35</f>
        <v>0</v>
      </c>
      <c r="Y229" s="358">
        <f>Ground!K35</f>
        <v>0</v>
      </c>
    </row>
    <row r="230" spans="1:25" x14ac:dyDescent="0.35">
      <c r="A230">
        <v>229</v>
      </c>
      <c r="B230" t="s">
        <v>1341</v>
      </c>
      <c r="C230" t="s">
        <v>946</v>
      </c>
      <c r="D230" t="s">
        <v>15</v>
      </c>
      <c r="E230" t="s">
        <v>69</v>
      </c>
      <c r="F230" t="s">
        <v>881</v>
      </c>
      <c r="G230" s="63" t="s">
        <v>1596</v>
      </c>
      <c r="H230" s="358">
        <v>6.2</v>
      </c>
      <c r="J230" s="357">
        <v>0.39999999999999947</v>
      </c>
      <c r="L230" s="358">
        <v>6.6</v>
      </c>
      <c r="N230" s="361">
        <f>Ground!C36</f>
        <v>0</v>
      </c>
      <c r="O230" s="361">
        <f>Ground!D36</f>
        <v>0</v>
      </c>
      <c r="P230" s="358">
        <f>Ground!E36</f>
        <v>6.6</v>
      </c>
      <c r="R230" s="358">
        <f>Ground!F36</f>
        <v>0</v>
      </c>
      <c r="T230" s="358">
        <f>Ground!G36</f>
        <v>6.6</v>
      </c>
      <c r="V230" s="365">
        <f>Ground!H36</f>
        <v>0</v>
      </c>
      <c r="W230" s="358">
        <f>Ground!I36</f>
        <v>0</v>
      </c>
      <c r="X230" s="358">
        <f>Ground!J36</f>
        <v>0</v>
      </c>
      <c r="Y230" s="358">
        <f>Ground!K36</f>
        <v>0</v>
      </c>
    </row>
    <row r="231" spans="1:25" x14ac:dyDescent="0.35">
      <c r="A231">
        <v>230</v>
      </c>
      <c r="B231" t="s">
        <v>1341</v>
      </c>
      <c r="C231" t="s">
        <v>946</v>
      </c>
      <c r="D231" t="s">
        <v>15</v>
      </c>
      <c r="E231" t="s">
        <v>69</v>
      </c>
      <c r="F231" t="s">
        <v>882</v>
      </c>
      <c r="G231" s="63" t="s">
        <v>1597</v>
      </c>
      <c r="H231" s="358">
        <v>8.3000000000000007</v>
      </c>
      <c r="J231" s="357">
        <v>0.5</v>
      </c>
      <c r="L231" s="358">
        <v>8.8000000000000007</v>
      </c>
      <c r="N231" s="361">
        <f>Ground!C37</f>
        <v>0</v>
      </c>
      <c r="O231" s="361">
        <f>Ground!D37</f>
        <v>0</v>
      </c>
      <c r="P231" s="358">
        <f>Ground!E37</f>
        <v>8.8000000000000007</v>
      </c>
      <c r="R231" s="358">
        <f>Ground!F37</f>
        <v>0</v>
      </c>
      <c r="T231" s="358">
        <f>Ground!G37</f>
        <v>8.8000000000000007</v>
      </c>
      <c r="V231" s="365">
        <f>Ground!H37</f>
        <v>0</v>
      </c>
      <c r="W231" s="358">
        <f>Ground!I37</f>
        <v>0</v>
      </c>
      <c r="X231" s="358">
        <f>Ground!J37</f>
        <v>0</v>
      </c>
      <c r="Y231" s="358">
        <f>Ground!K37</f>
        <v>0</v>
      </c>
    </row>
    <row r="232" spans="1:25" x14ac:dyDescent="0.35">
      <c r="A232">
        <v>231</v>
      </c>
      <c r="B232" t="s">
        <v>1341</v>
      </c>
      <c r="C232" t="s">
        <v>946</v>
      </c>
      <c r="D232" t="s">
        <v>15</v>
      </c>
      <c r="E232" t="s">
        <v>69</v>
      </c>
      <c r="F232" t="s">
        <v>1260</v>
      </c>
      <c r="G232" s="63" t="s">
        <v>1598</v>
      </c>
      <c r="H232" s="358">
        <v>15.5</v>
      </c>
      <c r="J232" s="357">
        <v>1.25</v>
      </c>
      <c r="L232" s="358">
        <v>16.75</v>
      </c>
      <c r="N232" s="361">
        <f>Ground!C38</f>
        <v>0</v>
      </c>
      <c r="O232" s="361">
        <f>Ground!D38</f>
        <v>0</v>
      </c>
      <c r="P232" s="358">
        <f>Ground!E38</f>
        <v>16.75</v>
      </c>
      <c r="R232" s="358">
        <f>Ground!F38</f>
        <v>0</v>
      </c>
      <c r="T232" s="358">
        <f>Ground!G38</f>
        <v>16.75</v>
      </c>
      <c r="V232" s="365">
        <f>Ground!H38</f>
        <v>0</v>
      </c>
      <c r="W232" s="358">
        <f>Ground!I38</f>
        <v>0</v>
      </c>
      <c r="X232" s="358">
        <f>Ground!J38</f>
        <v>0</v>
      </c>
      <c r="Y232" s="358">
        <f>Ground!K38</f>
        <v>0</v>
      </c>
    </row>
    <row r="233" spans="1:25" x14ac:dyDescent="0.35">
      <c r="A233">
        <v>232</v>
      </c>
      <c r="B233" t="s">
        <v>1341</v>
      </c>
      <c r="C233" t="s">
        <v>946</v>
      </c>
      <c r="D233" t="s">
        <v>15</v>
      </c>
      <c r="E233" t="s">
        <v>286</v>
      </c>
      <c r="F233" t="s">
        <v>288</v>
      </c>
      <c r="G233" s="63" t="s">
        <v>1599</v>
      </c>
      <c r="H233" s="358">
        <v>8.65</v>
      </c>
      <c r="J233" s="357">
        <v>1.3499999999999996</v>
      </c>
      <c r="L233" s="358">
        <v>10</v>
      </c>
      <c r="N233" s="361">
        <f>Ground!C40</f>
        <v>0</v>
      </c>
      <c r="O233" s="361">
        <f>Ground!D40</f>
        <v>0</v>
      </c>
      <c r="P233" s="358">
        <f>Ground!E40</f>
        <v>10</v>
      </c>
      <c r="R233" s="358">
        <f>Ground!F40</f>
        <v>0</v>
      </c>
      <c r="T233" s="358">
        <f>Ground!G40</f>
        <v>10</v>
      </c>
      <c r="V233" s="365">
        <f>Ground!H40</f>
        <v>0</v>
      </c>
      <c r="W233" s="358">
        <f>Ground!I40</f>
        <v>0</v>
      </c>
      <c r="X233" s="358">
        <f>Ground!J40</f>
        <v>0</v>
      </c>
      <c r="Y233" s="358">
        <f>Ground!K40</f>
        <v>0</v>
      </c>
    </row>
    <row r="234" spans="1:25" x14ac:dyDescent="0.35">
      <c r="A234">
        <v>233</v>
      </c>
      <c r="B234" t="s">
        <v>1341</v>
      </c>
      <c r="C234" t="s">
        <v>946</v>
      </c>
      <c r="D234" t="s">
        <v>15</v>
      </c>
      <c r="E234" t="s">
        <v>286</v>
      </c>
      <c r="F234" t="s">
        <v>285</v>
      </c>
      <c r="G234" s="63" t="s">
        <v>1600</v>
      </c>
      <c r="H234" s="358">
        <v>7.15</v>
      </c>
      <c r="J234" s="357">
        <v>0.44999999999999929</v>
      </c>
      <c r="L234" s="358">
        <v>7.6</v>
      </c>
      <c r="N234" s="361">
        <f>Ground!C41</f>
        <v>0</v>
      </c>
      <c r="O234" s="361">
        <f>Ground!D41</f>
        <v>0</v>
      </c>
      <c r="P234" s="358">
        <f>Ground!E41</f>
        <v>7.6</v>
      </c>
      <c r="R234" s="358">
        <f>Ground!F41</f>
        <v>0</v>
      </c>
      <c r="T234" s="358">
        <f>Ground!G41</f>
        <v>7.6</v>
      </c>
      <c r="V234" s="365">
        <f>Ground!H41</f>
        <v>0</v>
      </c>
      <c r="W234" s="358">
        <f>Ground!I41</f>
        <v>0</v>
      </c>
      <c r="X234" s="358">
        <f>Ground!J41</f>
        <v>0</v>
      </c>
      <c r="Y234" s="358">
        <f>Ground!K41</f>
        <v>0</v>
      </c>
    </row>
    <row r="235" spans="1:25" x14ac:dyDescent="0.35">
      <c r="A235">
        <v>234</v>
      </c>
      <c r="B235" t="s">
        <v>1341</v>
      </c>
      <c r="C235" t="s">
        <v>946</v>
      </c>
      <c r="D235" t="s">
        <v>15</v>
      </c>
      <c r="E235" t="s">
        <v>286</v>
      </c>
      <c r="F235" t="s">
        <v>287</v>
      </c>
      <c r="G235" s="63" t="s">
        <v>1601</v>
      </c>
      <c r="H235" s="358">
        <v>7.15</v>
      </c>
      <c r="J235" s="357">
        <v>0.44999999999999929</v>
      </c>
      <c r="L235" s="358">
        <v>7.6</v>
      </c>
      <c r="N235" s="361">
        <f>Ground!C42</f>
        <v>0</v>
      </c>
      <c r="O235" s="361">
        <f>Ground!D42</f>
        <v>0</v>
      </c>
      <c r="P235" s="358">
        <f>Ground!E42</f>
        <v>7.6</v>
      </c>
      <c r="R235" s="358">
        <f>Ground!F42</f>
        <v>0</v>
      </c>
      <c r="T235" s="358">
        <f>Ground!G42</f>
        <v>7.6</v>
      </c>
      <c r="V235" s="365">
        <f>Ground!H42</f>
        <v>0</v>
      </c>
      <c r="W235" s="358">
        <f>Ground!I42</f>
        <v>0</v>
      </c>
      <c r="X235" s="358">
        <f>Ground!J42</f>
        <v>0</v>
      </c>
      <c r="Y235" s="358">
        <f>Ground!K42</f>
        <v>0</v>
      </c>
    </row>
    <row r="236" spans="1:25" x14ac:dyDescent="0.35">
      <c r="A236">
        <v>235</v>
      </c>
      <c r="B236" t="s">
        <v>1341</v>
      </c>
      <c r="C236" t="s">
        <v>946</v>
      </c>
      <c r="D236" t="s">
        <v>15</v>
      </c>
      <c r="E236" t="s">
        <v>18</v>
      </c>
      <c r="F236" t="s">
        <v>18</v>
      </c>
      <c r="G236" s="63" t="s">
        <v>19</v>
      </c>
      <c r="H236" s="358">
        <v>0</v>
      </c>
      <c r="J236" s="357">
        <v>0</v>
      </c>
      <c r="L236" s="358">
        <v>0</v>
      </c>
      <c r="N236" s="361">
        <f>Ground!C43</f>
        <v>0</v>
      </c>
      <c r="O236" s="361">
        <f>Ground!D43</f>
        <v>0</v>
      </c>
      <c r="V236" s="365">
        <f>Ground!H43</f>
        <v>0</v>
      </c>
    </row>
    <row r="237" spans="1:25" x14ac:dyDescent="0.35">
      <c r="A237">
        <v>236</v>
      </c>
      <c r="B237" t="s">
        <v>1341</v>
      </c>
      <c r="C237" t="s">
        <v>946</v>
      </c>
      <c r="D237" t="s">
        <v>15</v>
      </c>
      <c r="E237" t="s">
        <v>100</v>
      </c>
      <c r="F237" t="s">
        <v>100</v>
      </c>
      <c r="G237" s="63" t="s">
        <v>1602</v>
      </c>
      <c r="H237" s="358">
        <v>54</v>
      </c>
      <c r="J237" s="357">
        <v>3.25</v>
      </c>
      <c r="L237" s="358">
        <v>57.25</v>
      </c>
      <c r="N237" s="361">
        <f>Ground!C44</f>
        <v>0</v>
      </c>
      <c r="O237" s="361">
        <f>Ground!D44</f>
        <v>0</v>
      </c>
      <c r="P237" s="358">
        <f>Ground!E44</f>
        <v>57.25</v>
      </c>
      <c r="R237" s="358">
        <f>Ground!F44</f>
        <v>0</v>
      </c>
      <c r="T237" s="358">
        <f>Ground!G44</f>
        <v>57.25</v>
      </c>
      <c r="V237" s="365">
        <f>Ground!H44</f>
        <v>0</v>
      </c>
      <c r="W237" s="358">
        <f>Ground!I44</f>
        <v>0</v>
      </c>
      <c r="X237" s="358">
        <f>Ground!J44</f>
        <v>0</v>
      </c>
      <c r="Y237" s="358">
        <f>Ground!K44</f>
        <v>0</v>
      </c>
    </row>
    <row r="238" spans="1:25" x14ac:dyDescent="0.35">
      <c r="A238">
        <v>237</v>
      </c>
      <c r="B238" t="s">
        <v>1341</v>
      </c>
      <c r="C238" t="s">
        <v>946</v>
      </c>
      <c r="D238" t="s">
        <v>15</v>
      </c>
      <c r="E238" t="s">
        <v>57</v>
      </c>
      <c r="F238" t="s">
        <v>57</v>
      </c>
      <c r="G238" s="63" t="s">
        <v>1603</v>
      </c>
      <c r="H238" s="358">
        <v>24</v>
      </c>
      <c r="J238" s="357">
        <v>1.5</v>
      </c>
      <c r="L238" s="358">
        <v>25.5</v>
      </c>
      <c r="N238" s="361">
        <f>Ground!C45</f>
        <v>0</v>
      </c>
      <c r="O238" s="361">
        <f>Ground!D45</f>
        <v>0</v>
      </c>
      <c r="P238" s="358">
        <f>Ground!E45</f>
        <v>25.5</v>
      </c>
      <c r="R238" s="358">
        <f>Ground!F45</f>
        <v>0</v>
      </c>
      <c r="T238" s="358">
        <f>Ground!G45</f>
        <v>25.5</v>
      </c>
      <c r="V238" s="365">
        <f>Ground!H45</f>
        <v>0</v>
      </c>
      <c r="W238" s="358">
        <f>Ground!I45</f>
        <v>0</v>
      </c>
      <c r="X238" s="358">
        <f>Ground!J45</f>
        <v>0</v>
      </c>
      <c r="Y238" s="358">
        <f>Ground!K45</f>
        <v>0</v>
      </c>
    </row>
    <row r="239" spans="1:25" x14ac:dyDescent="0.35">
      <c r="A239">
        <v>238</v>
      </c>
      <c r="B239" t="s">
        <v>1341</v>
      </c>
      <c r="C239" t="s">
        <v>953</v>
      </c>
      <c r="D239" t="s">
        <v>15</v>
      </c>
      <c r="E239" t="s">
        <v>1514</v>
      </c>
      <c r="F239" t="s">
        <v>1193</v>
      </c>
      <c r="G239" s="63" t="s">
        <v>1457</v>
      </c>
      <c r="H239" s="358">
        <v>190</v>
      </c>
      <c r="J239" s="357">
        <v>18</v>
      </c>
      <c r="L239" s="358">
        <v>208</v>
      </c>
      <c r="N239" s="361">
        <f>Ground!C48</f>
        <v>0</v>
      </c>
      <c r="O239" s="361">
        <f>Ground!D48</f>
        <v>0</v>
      </c>
      <c r="P239" s="358">
        <f>Ground!E48</f>
        <v>208</v>
      </c>
      <c r="R239" s="358">
        <f>Ground!F48</f>
        <v>0</v>
      </c>
      <c r="T239" s="358">
        <f>Ground!G48</f>
        <v>208</v>
      </c>
      <c r="V239" s="365">
        <f>Ground!H48</f>
        <v>0</v>
      </c>
      <c r="W239" s="358">
        <f>Ground!I48</f>
        <v>0</v>
      </c>
      <c r="X239" s="358">
        <f>Ground!J48</f>
        <v>0</v>
      </c>
      <c r="Y239" s="358">
        <f>Ground!K48</f>
        <v>0</v>
      </c>
    </row>
    <row r="240" spans="1:25" x14ac:dyDescent="0.35">
      <c r="A240">
        <v>239</v>
      </c>
      <c r="B240" t="s">
        <v>1341</v>
      </c>
      <c r="C240" t="s">
        <v>946</v>
      </c>
      <c r="D240" t="s">
        <v>15</v>
      </c>
      <c r="E240" t="s">
        <v>852</v>
      </c>
      <c r="F240" t="s">
        <v>852</v>
      </c>
      <c r="G240" s="63" t="s">
        <v>1604</v>
      </c>
      <c r="H240" s="358">
        <v>24</v>
      </c>
      <c r="J240" s="357">
        <v>1.5</v>
      </c>
      <c r="L240" s="358">
        <v>25.5</v>
      </c>
      <c r="N240" s="361">
        <f>Ground!C49</f>
        <v>0</v>
      </c>
      <c r="O240" s="361">
        <f>Ground!D49</f>
        <v>0</v>
      </c>
      <c r="P240" s="358">
        <f>Ground!E49</f>
        <v>25.5</v>
      </c>
      <c r="R240" s="358">
        <f>Ground!F49</f>
        <v>0</v>
      </c>
      <c r="T240" s="358">
        <f>Ground!G49</f>
        <v>25.5</v>
      </c>
      <c r="V240" s="365">
        <f>Ground!H49</f>
        <v>0</v>
      </c>
      <c r="W240" s="358">
        <f>Ground!I49</f>
        <v>0</v>
      </c>
      <c r="X240" s="358">
        <f>Ground!J49</f>
        <v>0</v>
      </c>
      <c r="Y240" s="358">
        <f>Ground!K49</f>
        <v>0</v>
      </c>
    </row>
    <row r="241" spans="1:25" x14ac:dyDescent="0.35">
      <c r="A241">
        <v>240</v>
      </c>
      <c r="B241" t="s">
        <v>1341</v>
      </c>
      <c r="C241" t="s">
        <v>946</v>
      </c>
      <c r="D241" t="s">
        <v>15</v>
      </c>
      <c r="E241" t="s">
        <v>25</v>
      </c>
      <c r="F241" t="s">
        <v>1515</v>
      </c>
      <c r="G241" s="63" t="s">
        <v>1605</v>
      </c>
      <c r="H241" s="358">
        <v>5.95</v>
      </c>
      <c r="J241" s="357">
        <v>0.5</v>
      </c>
      <c r="L241" s="358">
        <v>6.45</v>
      </c>
      <c r="N241" s="361">
        <f>Ground!C51</f>
        <v>0</v>
      </c>
      <c r="O241" s="361">
        <f>Ground!D51</f>
        <v>0</v>
      </c>
      <c r="P241" s="358">
        <f>Ground!E51</f>
        <v>6.45</v>
      </c>
      <c r="R241" s="358">
        <f>Ground!F51</f>
        <v>0</v>
      </c>
      <c r="T241" s="358">
        <f>Ground!G51</f>
        <v>6.45</v>
      </c>
      <c r="V241" s="365">
        <f>Ground!H51</f>
        <v>0</v>
      </c>
      <c r="W241" s="358">
        <f>Ground!I51</f>
        <v>0</v>
      </c>
      <c r="X241" s="358">
        <f>Ground!J51</f>
        <v>0</v>
      </c>
      <c r="Y241" s="358">
        <f>Ground!K51</f>
        <v>0</v>
      </c>
    </row>
    <row r="242" spans="1:25" x14ac:dyDescent="0.35">
      <c r="A242">
        <v>241</v>
      </c>
      <c r="B242" t="s">
        <v>1341</v>
      </c>
      <c r="C242" t="s">
        <v>946</v>
      </c>
      <c r="D242" t="s">
        <v>15</v>
      </c>
      <c r="E242" t="s">
        <v>25</v>
      </c>
      <c r="F242" t="s">
        <v>1516</v>
      </c>
      <c r="G242" s="63" t="s">
        <v>1606</v>
      </c>
      <c r="H242" s="358">
        <v>5.95</v>
      </c>
      <c r="J242" s="357">
        <v>0.5</v>
      </c>
      <c r="L242" s="358">
        <v>6.45</v>
      </c>
      <c r="N242" s="361">
        <f>Ground!C52</f>
        <v>0</v>
      </c>
      <c r="O242" s="361">
        <f>Ground!D52</f>
        <v>0</v>
      </c>
      <c r="P242" s="358">
        <f>Ground!E52</f>
        <v>6.45</v>
      </c>
      <c r="R242" s="358">
        <f>Ground!F52</f>
        <v>0</v>
      </c>
      <c r="T242" s="358">
        <f>Ground!G52</f>
        <v>6.45</v>
      </c>
      <c r="V242" s="365">
        <f>Ground!H52</f>
        <v>0</v>
      </c>
      <c r="W242" s="358">
        <f>Ground!I52</f>
        <v>0</v>
      </c>
      <c r="X242" s="358">
        <f>Ground!J52</f>
        <v>0</v>
      </c>
      <c r="Y242" s="358">
        <f>Ground!K52</f>
        <v>0</v>
      </c>
    </row>
    <row r="243" spans="1:25" x14ac:dyDescent="0.35">
      <c r="A243">
        <v>242</v>
      </c>
      <c r="B243" t="s">
        <v>1341</v>
      </c>
      <c r="C243" t="s">
        <v>946</v>
      </c>
      <c r="D243" t="s">
        <v>15</v>
      </c>
      <c r="E243" t="s">
        <v>283</v>
      </c>
      <c r="F243" t="s">
        <v>1003</v>
      </c>
      <c r="G243" s="63" t="s">
        <v>1607</v>
      </c>
      <c r="H243" s="358">
        <v>1.05</v>
      </c>
      <c r="J243" s="357">
        <v>0</v>
      </c>
      <c r="L243" s="358">
        <v>1.05</v>
      </c>
      <c r="N243" s="361">
        <f>Ground!C55</f>
        <v>0</v>
      </c>
      <c r="O243" s="361">
        <f>Ground!D55</f>
        <v>0</v>
      </c>
      <c r="P243" s="358">
        <f>Ground!E55</f>
        <v>1.05</v>
      </c>
      <c r="R243" s="358">
        <f>Ground!F55</f>
        <v>0</v>
      </c>
      <c r="T243" s="358">
        <f>Ground!G55</f>
        <v>1.05</v>
      </c>
      <c r="V243" s="365">
        <f>Ground!H55</f>
        <v>0</v>
      </c>
      <c r="W243" s="358">
        <f>Ground!I55</f>
        <v>0</v>
      </c>
      <c r="X243" s="358">
        <f>Ground!J55</f>
        <v>0</v>
      </c>
      <c r="Y243" s="358">
        <f>Ground!K55</f>
        <v>0</v>
      </c>
    </row>
    <row r="244" spans="1:25" x14ac:dyDescent="0.35">
      <c r="A244">
        <v>243</v>
      </c>
      <c r="B244" t="s">
        <v>1341</v>
      </c>
      <c r="C244" t="s">
        <v>946</v>
      </c>
      <c r="D244" t="s">
        <v>15</v>
      </c>
      <c r="E244" t="s">
        <v>283</v>
      </c>
      <c r="F244" t="s">
        <v>1005</v>
      </c>
      <c r="G244" s="63" t="s">
        <v>1608</v>
      </c>
      <c r="H244" s="358">
        <v>1.05</v>
      </c>
      <c r="J244" s="357">
        <v>0</v>
      </c>
      <c r="L244" s="358">
        <v>1.05</v>
      </c>
      <c r="N244" s="361">
        <f>Ground!C56</f>
        <v>0</v>
      </c>
      <c r="O244" s="361">
        <f>Ground!D56</f>
        <v>0</v>
      </c>
      <c r="P244" s="358">
        <f>Ground!E56</f>
        <v>1.05</v>
      </c>
      <c r="R244" s="358">
        <f>Ground!F56</f>
        <v>0</v>
      </c>
      <c r="T244" s="358">
        <f>Ground!G56</f>
        <v>1.05</v>
      </c>
      <c r="V244" s="365">
        <f>Ground!H56</f>
        <v>0</v>
      </c>
      <c r="W244" s="358">
        <f>Ground!I56</f>
        <v>0</v>
      </c>
      <c r="X244" s="358">
        <f>Ground!J56</f>
        <v>0</v>
      </c>
      <c r="Y244" s="358">
        <f>Ground!K56</f>
        <v>0</v>
      </c>
    </row>
    <row r="245" spans="1:25" x14ac:dyDescent="0.35">
      <c r="A245">
        <v>244</v>
      </c>
      <c r="B245" t="s">
        <v>1341</v>
      </c>
      <c r="C245" t="s">
        <v>946</v>
      </c>
      <c r="D245" t="s">
        <v>15</v>
      </c>
      <c r="E245" t="s">
        <v>884</v>
      </c>
      <c r="F245" t="s">
        <v>884</v>
      </c>
      <c r="G245" s="63" t="s">
        <v>1609</v>
      </c>
      <c r="H245" s="358">
        <v>1775</v>
      </c>
      <c r="J245" s="357">
        <v>0</v>
      </c>
      <c r="L245" s="358">
        <v>1775</v>
      </c>
      <c r="N245" s="361">
        <f>Ground!C57</f>
        <v>0</v>
      </c>
      <c r="O245" s="361">
        <f>Ground!D57</f>
        <v>0</v>
      </c>
      <c r="P245" s="358">
        <f>Ground!E57</f>
        <v>1875</v>
      </c>
      <c r="R245" s="358">
        <f>Ground!F57</f>
        <v>0</v>
      </c>
      <c r="T245" s="358">
        <f>Ground!G57</f>
        <v>1875</v>
      </c>
      <c r="V245" s="365">
        <f>Ground!H57</f>
        <v>0</v>
      </c>
      <c r="W245" s="358">
        <f>Ground!I57</f>
        <v>0</v>
      </c>
      <c r="X245" s="358">
        <f>Ground!J57</f>
        <v>0</v>
      </c>
      <c r="Y245" s="358">
        <f>Ground!K57</f>
        <v>0</v>
      </c>
    </row>
    <row r="246" spans="1:25" x14ac:dyDescent="0.35">
      <c r="A246">
        <v>245</v>
      </c>
      <c r="B246" t="s">
        <v>1350</v>
      </c>
      <c r="C246" t="s">
        <v>953</v>
      </c>
      <c r="D246" t="s">
        <v>15</v>
      </c>
      <c r="E246" t="s">
        <v>66</v>
      </c>
      <c r="F246" t="s">
        <v>290</v>
      </c>
      <c r="G246" s="63" t="s">
        <v>1520</v>
      </c>
      <c r="H246" s="358">
        <v>27</v>
      </c>
      <c r="J246" s="357">
        <v>2.5</v>
      </c>
      <c r="L246" s="358">
        <v>29.5</v>
      </c>
      <c r="N246" s="361">
        <f>Ground!L6</f>
        <v>0</v>
      </c>
      <c r="O246" s="361">
        <f>Ground!M6</f>
        <v>0</v>
      </c>
      <c r="P246" s="358">
        <f>Ground!N6</f>
        <v>29.5</v>
      </c>
      <c r="R246" s="358">
        <f>Ground!O6</f>
        <v>0</v>
      </c>
      <c r="T246" s="358">
        <f>Ground!P6</f>
        <v>29.5</v>
      </c>
      <c r="V246" s="365">
        <f>Ground!Q6</f>
        <v>0</v>
      </c>
      <c r="W246" s="358">
        <f>Ground!R6</f>
        <v>0</v>
      </c>
      <c r="X246" s="358">
        <f>Ground!S6</f>
        <v>0</v>
      </c>
      <c r="Y246" s="358">
        <f>Ground!T6</f>
        <v>0</v>
      </c>
    </row>
    <row r="247" spans="1:25" x14ac:dyDescent="0.35">
      <c r="A247">
        <v>246</v>
      </c>
      <c r="B247" t="s">
        <v>1350</v>
      </c>
      <c r="C247" t="s">
        <v>953</v>
      </c>
      <c r="D247" t="s">
        <v>15</v>
      </c>
      <c r="E247" t="s">
        <v>66</v>
      </c>
      <c r="F247" t="s">
        <v>67</v>
      </c>
      <c r="G247" s="63" t="s">
        <v>1519</v>
      </c>
      <c r="H247" s="358">
        <v>38</v>
      </c>
      <c r="J247" s="357">
        <v>2</v>
      </c>
      <c r="L247" s="358">
        <v>40</v>
      </c>
      <c r="N247" s="361">
        <f>Ground!L7</f>
        <v>0</v>
      </c>
      <c r="O247" s="361">
        <f>Ground!M7</f>
        <v>0</v>
      </c>
      <c r="P247" s="358">
        <f>Ground!N7</f>
        <v>40</v>
      </c>
      <c r="R247" s="358">
        <f>Ground!O7</f>
        <v>0</v>
      </c>
      <c r="T247" s="358">
        <f>Ground!P7</f>
        <v>40</v>
      </c>
      <c r="V247" s="365">
        <f>Ground!Q7</f>
        <v>0</v>
      </c>
      <c r="W247" s="358">
        <f>Ground!R7</f>
        <v>0</v>
      </c>
      <c r="X247" s="358">
        <f>Ground!S7</f>
        <v>0</v>
      </c>
      <c r="Y247" s="358">
        <f>Ground!T7</f>
        <v>0</v>
      </c>
    </row>
    <row r="248" spans="1:25" x14ac:dyDescent="0.35">
      <c r="A248">
        <v>247</v>
      </c>
      <c r="B248" t="s">
        <v>1350</v>
      </c>
      <c r="C248" t="s">
        <v>953</v>
      </c>
      <c r="D248" t="s">
        <v>15</v>
      </c>
      <c r="E248" t="s">
        <v>66</v>
      </c>
      <c r="F248" t="s">
        <v>68</v>
      </c>
      <c r="G248" s="63" t="s">
        <v>1518</v>
      </c>
      <c r="H248" s="358">
        <v>27</v>
      </c>
      <c r="J248" s="357">
        <v>2.5</v>
      </c>
      <c r="L248" s="358">
        <v>29.5</v>
      </c>
      <c r="N248" s="361">
        <f>Ground!L8</f>
        <v>0</v>
      </c>
      <c r="O248" s="361">
        <f>Ground!M8</f>
        <v>0</v>
      </c>
      <c r="P248" s="358">
        <f>Ground!N8</f>
        <v>29.5</v>
      </c>
      <c r="R248" s="358">
        <f>Ground!O8</f>
        <v>0</v>
      </c>
      <c r="T248" s="358">
        <f>Ground!P8</f>
        <v>29.5</v>
      </c>
      <c r="V248" s="365">
        <f>Ground!Q8</f>
        <v>0</v>
      </c>
      <c r="W248" s="358">
        <f>Ground!R8</f>
        <v>0</v>
      </c>
      <c r="X248" s="358">
        <f>Ground!S8</f>
        <v>0</v>
      </c>
      <c r="Y248" s="358">
        <f>Ground!T8</f>
        <v>0</v>
      </c>
    </row>
    <row r="249" spans="1:25" x14ac:dyDescent="0.35">
      <c r="A249">
        <v>248</v>
      </c>
      <c r="B249" t="s">
        <v>1350</v>
      </c>
      <c r="C249" t="s">
        <v>946</v>
      </c>
      <c r="D249" t="s">
        <v>15</v>
      </c>
      <c r="E249" t="s">
        <v>31</v>
      </c>
      <c r="F249" t="s">
        <v>31</v>
      </c>
      <c r="G249" s="63" t="s">
        <v>1572</v>
      </c>
      <c r="H249" s="358">
        <v>24</v>
      </c>
      <c r="J249" s="357">
        <v>1.5</v>
      </c>
      <c r="L249" s="358">
        <v>25.5</v>
      </c>
      <c r="N249" s="361">
        <f>Ground!L9</f>
        <v>0</v>
      </c>
      <c r="O249" s="361">
        <f>Ground!M9</f>
        <v>0</v>
      </c>
      <c r="P249" s="358">
        <f>Ground!N9</f>
        <v>25.5</v>
      </c>
      <c r="R249" s="358">
        <f>Ground!O9</f>
        <v>0</v>
      </c>
      <c r="T249" s="358">
        <f>Ground!P9</f>
        <v>25.5</v>
      </c>
      <c r="V249" s="365">
        <f>Ground!Q9</f>
        <v>0</v>
      </c>
      <c r="W249" s="358">
        <f>Ground!R9</f>
        <v>0</v>
      </c>
      <c r="X249" s="358">
        <f>Ground!S9</f>
        <v>0</v>
      </c>
      <c r="Y249" s="358">
        <f>Ground!T9</f>
        <v>0</v>
      </c>
    </row>
    <row r="250" spans="1:25" x14ac:dyDescent="0.35">
      <c r="A250">
        <v>249</v>
      </c>
      <c r="B250" t="s">
        <v>1350</v>
      </c>
      <c r="C250" t="s">
        <v>946</v>
      </c>
      <c r="D250" t="s">
        <v>15</v>
      </c>
      <c r="E250" t="s">
        <v>935</v>
      </c>
      <c r="F250" t="s">
        <v>935</v>
      </c>
      <c r="G250" s="63" t="s">
        <v>1573</v>
      </c>
      <c r="H250" s="358">
        <v>16.5</v>
      </c>
      <c r="J250" s="357">
        <v>0</v>
      </c>
      <c r="L250" s="358">
        <v>16.5</v>
      </c>
      <c r="N250" s="361">
        <f>Ground!L10</f>
        <v>0</v>
      </c>
      <c r="O250" s="361">
        <f>Ground!M10</f>
        <v>0</v>
      </c>
      <c r="P250" s="358">
        <f>Ground!N10</f>
        <v>16.5</v>
      </c>
      <c r="R250" s="358">
        <f>Ground!O10</f>
        <v>0</v>
      </c>
      <c r="T250" s="358">
        <f>Ground!P10</f>
        <v>16.5</v>
      </c>
      <c r="V250" s="365">
        <f>Ground!Q10</f>
        <v>0</v>
      </c>
      <c r="W250" s="358">
        <f>Ground!R10</f>
        <v>0</v>
      </c>
      <c r="X250" s="358">
        <f>Ground!S10</f>
        <v>0</v>
      </c>
      <c r="Y250" s="358">
        <f>Ground!T10</f>
        <v>0</v>
      </c>
    </row>
    <row r="251" spans="1:25" x14ac:dyDescent="0.35">
      <c r="A251">
        <v>250</v>
      </c>
      <c r="B251" t="s">
        <v>1350</v>
      </c>
      <c r="C251" t="s">
        <v>946</v>
      </c>
      <c r="D251" t="s">
        <v>15</v>
      </c>
      <c r="E251" t="s">
        <v>17</v>
      </c>
      <c r="F251" t="s">
        <v>17</v>
      </c>
      <c r="G251" s="63" t="s">
        <v>1574</v>
      </c>
      <c r="H251" s="358">
        <v>8.3000000000000007</v>
      </c>
      <c r="J251" s="357">
        <v>0.5</v>
      </c>
      <c r="L251" s="358">
        <v>8.8000000000000007</v>
      </c>
      <c r="N251" s="361">
        <f>Ground!L11</f>
        <v>0</v>
      </c>
      <c r="O251" s="361">
        <f>Ground!M11</f>
        <v>0</v>
      </c>
      <c r="P251" s="358">
        <f>Ground!N11</f>
        <v>8.8000000000000007</v>
      </c>
      <c r="R251" s="358">
        <f>Ground!O11</f>
        <v>0</v>
      </c>
      <c r="T251" s="358">
        <f>Ground!P11</f>
        <v>8.8000000000000007</v>
      </c>
      <c r="V251" s="365">
        <f>Ground!Q11</f>
        <v>0</v>
      </c>
      <c r="W251" s="358">
        <f>Ground!R11</f>
        <v>0</v>
      </c>
      <c r="X251" s="358">
        <f>Ground!S11</f>
        <v>0</v>
      </c>
      <c r="Y251" s="358">
        <f>Ground!T11</f>
        <v>0</v>
      </c>
    </row>
    <row r="252" spans="1:25" x14ac:dyDescent="0.35">
      <c r="A252">
        <v>251</v>
      </c>
      <c r="B252" t="s">
        <v>1350</v>
      </c>
      <c r="C252" t="s">
        <v>946</v>
      </c>
      <c r="D252" t="s">
        <v>15</v>
      </c>
      <c r="E252" t="s">
        <v>274</v>
      </c>
      <c r="F252" t="s">
        <v>905</v>
      </c>
      <c r="G252" s="63" t="s">
        <v>1575</v>
      </c>
      <c r="H252" s="358">
        <v>20</v>
      </c>
      <c r="J252" s="357">
        <v>0</v>
      </c>
      <c r="L252" s="358">
        <v>20</v>
      </c>
      <c r="N252" s="361">
        <f>Ground!L13</f>
        <v>0</v>
      </c>
      <c r="O252" s="361">
        <f>Ground!M13</f>
        <v>0</v>
      </c>
      <c r="P252" s="358">
        <f>Ground!N13</f>
        <v>20</v>
      </c>
      <c r="R252" s="358">
        <f>Ground!O13</f>
        <v>0</v>
      </c>
      <c r="T252" s="358">
        <f>Ground!P13</f>
        <v>20</v>
      </c>
      <c r="V252" s="365">
        <f>Ground!Q13</f>
        <v>0</v>
      </c>
      <c r="W252" s="358">
        <f>Ground!R13</f>
        <v>0</v>
      </c>
      <c r="X252" s="358">
        <f>Ground!S13</f>
        <v>0</v>
      </c>
      <c r="Y252" s="358">
        <f>Ground!T13</f>
        <v>0</v>
      </c>
    </row>
    <row r="253" spans="1:25" x14ac:dyDescent="0.35">
      <c r="A253">
        <v>252</v>
      </c>
      <c r="B253" t="s">
        <v>1350</v>
      </c>
      <c r="C253" t="s">
        <v>946</v>
      </c>
      <c r="D253" t="s">
        <v>15</v>
      </c>
      <c r="E253" t="s">
        <v>274</v>
      </c>
      <c r="F253" t="s">
        <v>908</v>
      </c>
      <c r="G253" s="63" t="s">
        <v>1576</v>
      </c>
      <c r="H253" s="358">
        <v>60</v>
      </c>
      <c r="J253" s="357">
        <v>0</v>
      </c>
      <c r="L253" s="358">
        <v>60</v>
      </c>
      <c r="N253" s="361">
        <f>Ground!L14</f>
        <v>0</v>
      </c>
      <c r="O253" s="361">
        <f>Ground!M14</f>
        <v>0</v>
      </c>
      <c r="P253" s="358">
        <f>Ground!N14</f>
        <v>60</v>
      </c>
      <c r="R253" s="358">
        <f>Ground!O14</f>
        <v>0</v>
      </c>
      <c r="T253" s="358">
        <f>Ground!P14</f>
        <v>60</v>
      </c>
      <c r="V253" s="365">
        <f>Ground!Q14</f>
        <v>0</v>
      </c>
      <c r="W253" s="358">
        <f>Ground!R14</f>
        <v>0</v>
      </c>
      <c r="X253" s="358">
        <f>Ground!S14</f>
        <v>0</v>
      </c>
      <c r="Y253" s="358">
        <f>Ground!T14</f>
        <v>0</v>
      </c>
    </row>
    <row r="254" spans="1:25" x14ac:dyDescent="0.35">
      <c r="A254">
        <v>253</v>
      </c>
      <c r="B254" t="s">
        <v>1350</v>
      </c>
      <c r="C254" t="s">
        <v>946</v>
      </c>
      <c r="D254" t="s">
        <v>15</v>
      </c>
      <c r="E254" t="s">
        <v>274</v>
      </c>
      <c r="F254" t="s">
        <v>906</v>
      </c>
      <c r="G254" s="63" t="s">
        <v>1577</v>
      </c>
      <c r="H254" s="358">
        <v>20</v>
      </c>
      <c r="J254" s="357">
        <v>0</v>
      </c>
      <c r="L254" s="358">
        <v>20</v>
      </c>
      <c r="N254" s="361">
        <f>Ground!L15</f>
        <v>0</v>
      </c>
      <c r="O254" s="361">
        <f>Ground!M15</f>
        <v>0</v>
      </c>
      <c r="P254" s="358">
        <f>Ground!N15</f>
        <v>20</v>
      </c>
      <c r="R254" s="358">
        <f>Ground!O15</f>
        <v>0</v>
      </c>
      <c r="T254" s="358">
        <f>Ground!P15</f>
        <v>20</v>
      </c>
      <c r="V254" s="365">
        <f>Ground!Q15</f>
        <v>0</v>
      </c>
      <c r="W254" s="358">
        <f>Ground!R15</f>
        <v>0</v>
      </c>
      <c r="X254" s="358">
        <f>Ground!S15</f>
        <v>0</v>
      </c>
      <c r="Y254" s="358">
        <f>Ground!T15</f>
        <v>0</v>
      </c>
    </row>
    <row r="255" spans="1:25" x14ac:dyDescent="0.35">
      <c r="A255">
        <v>254</v>
      </c>
      <c r="B255" t="s">
        <v>1350</v>
      </c>
      <c r="C255" t="s">
        <v>946</v>
      </c>
      <c r="D255" t="s">
        <v>15</v>
      </c>
      <c r="E255" t="s">
        <v>274</v>
      </c>
      <c r="F255" t="s">
        <v>909</v>
      </c>
      <c r="G255" s="63" t="s">
        <v>1578</v>
      </c>
      <c r="H255" s="358">
        <v>47</v>
      </c>
      <c r="J255" s="357">
        <v>0</v>
      </c>
      <c r="L255" s="358">
        <v>47</v>
      </c>
      <c r="N255" s="361">
        <f>Ground!L16</f>
        <v>0</v>
      </c>
      <c r="O255" s="361">
        <f>Ground!M16</f>
        <v>0</v>
      </c>
      <c r="P255" s="358">
        <f>Ground!N16</f>
        <v>47</v>
      </c>
      <c r="R255" s="358">
        <f>Ground!O16</f>
        <v>0</v>
      </c>
      <c r="T255" s="358">
        <f>Ground!P16</f>
        <v>47</v>
      </c>
      <c r="V255" s="365">
        <f>Ground!Q16</f>
        <v>0</v>
      </c>
      <c r="W255" s="358">
        <f>Ground!R16</f>
        <v>0</v>
      </c>
      <c r="X255" s="358">
        <f>Ground!S16</f>
        <v>0</v>
      </c>
      <c r="Y255" s="358">
        <f>Ground!T16</f>
        <v>0</v>
      </c>
    </row>
    <row r="256" spans="1:25" x14ac:dyDescent="0.35">
      <c r="A256">
        <v>255</v>
      </c>
      <c r="B256" t="s">
        <v>1350</v>
      </c>
      <c r="C256" t="s">
        <v>946</v>
      </c>
      <c r="D256" t="s">
        <v>15</v>
      </c>
      <c r="E256" t="s">
        <v>274</v>
      </c>
      <c r="F256" t="s">
        <v>907</v>
      </c>
      <c r="G256" s="63" t="s">
        <v>1579</v>
      </c>
      <c r="H256" s="358">
        <v>14.5</v>
      </c>
      <c r="J256" s="357">
        <v>0</v>
      </c>
      <c r="L256" s="358">
        <v>14.5</v>
      </c>
      <c r="N256" s="361">
        <f>Ground!L17</f>
        <v>0</v>
      </c>
      <c r="O256" s="361">
        <f>Ground!M17</f>
        <v>0</v>
      </c>
      <c r="P256" s="358">
        <f>Ground!N17</f>
        <v>14.5</v>
      </c>
      <c r="R256" s="358">
        <f>Ground!O17</f>
        <v>0</v>
      </c>
      <c r="T256" s="358">
        <f>Ground!P17</f>
        <v>14.5</v>
      </c>
      <c r="V256" s="365">
        <f>Ground!Q17</f>
        <v>0</v>
      </c>
      <c r="W256" s="358">
        <f>Ground!R17</f>
        <v>0</v>
      </c>
      <c r="X256" s="358">
        <f>Ground!S17</f>
        <v>0</v>
      </c>
      <c r="Y256" s="358">
        <f>Ground!T17</f>
        <v>0</v>
      </c>
    </row>
    <row r="257" spans="1:25" x14ac:dyDescent="0.35">
      <c r="A257">
        <v>256</v>
      </c>
      <c r="B257" t="s">
        <v>1350</v>
      </c>
      <c r="C257" t="s">
        <v>946</v>
      </c>
      <c r="D257" t="s">
        <v>15</v>
      </c>
      <c r="E257" t="s">
        <v>883</v>
      </c>
      <c r="F257" t="s">
        <v>300</v>
      </c>
      <c r="G257" s="63" t="s">
        <v>1580</v>
      </c>
      <c r="H257" s="358">
        <v>4.6500000000000004</v>
      </c>
      <c r="J257" s="357">
        <v>0.29999999999999982</v>
      </c>
      <c r="L257" s="358">
        <v>4.95</v>
      </c>
      <c r="N257" s="361">
        <f>Ground!L19</f>
        <v>0</v>
      </c>
      <c r="O257" s="361">
        <f>Ground!M19</f>
        <v>0</v>
      </c>
      <c r="P257" s="358">
        <f>Ground!N19</f>
        <v>4.95</v>
      </c>
      <c r="R257" s="358">
        <f>Ground!O19</f>
        <v>0</v>
      </c>
      <c r="T257" s="358">
        <f>Ground!P19</f>
        <v>4.95</v>
      </c>
      <c r="V257" s="365">
        <f>Ground!Q19</f>
        <v>0</v>
      </c>
      <c r="W257" s="358">
        <f>Ground!R19</f>
        <v>0</v>
      </c>
      <c r="X257" s="358">
        <f>Ground!S19</f>
        <v>0</v>
      </c>
      <c r="Y257" s="358">
        <f>Ground!T19</f>
        <v>0</v>
      </c>
    </row>
    <row r="258" spans="1:25" x14ac:dyDescent="0.35">
      <c r="A258">
        <v>257</v>
      </c>
      <c r="B258" t="s">
        <v>1350</v>
      </c>
      <c r="C258" t="s">
        <v>946</v>
      </c>
      <c r="D258" t="s">
        <v>15</v>
      </c>
      <c r="E258" t="s">
        <v>883</v>
      </c>
      <c r="F258" t="s">
        <v>301</v>
      </c>
      <c r="G258" s="63" t="s">
        <v>1581</v>
      </c>
      <c r="H258" s="358">
        <v>10.5</v>
      </c>
      <c r="J258" s="357">
        <v>0.75</v>
      </c>
      <c r="L258" s="358">
        <v>11.25</v>
      </c>
      <c r="N258" s="361">
        <f>Ground!L20</f>
        <v>0</v>
      </c>
      <c r="O258" s="361">
        <f>Ground!M20</f>
        <v>0</v>
      </c>
      <c r="P258" s="358">
        <f>Ground!N20</f>
        <v>11.25</v>
      </c>
      <c r="R258" s="358">
        <f>Ground!O20</f>
        <v>0</v>
      </c>
      <c r="T258" s="358">
        <f>Ground!P20</f>
        <v>11.25</v>
      </c>
      <c r="V258" s="365">
        <f>Ground!Q20</f>
        <v>0</v>
      </c>
      <c r="W258" s="358">
        <f>Ground!R20</f>
        <v>0</v>
      </c>
      <c r="X258" s="358">
        <f>Ground!S20</f>
        <v>0</v>
      </c>
      <c r="Y258" s="358">
        <f>Ground!T20</f>
        <v>0</v>
      </c>
    </row>
    <row r="259" spans="1:25" x14ac:dyDescent="0.35">
      <c r="A259">
        <v>258</v>
      </c>
      <c r="B259" t="s">
        <v>1350</v>
      </c>
      <c r="C259" t="s">
        <v>946</v>
      </c>
      <c r="D259" t="s">
        <v>15</v>
      </c>
      <c r="E259" t="s">
        <v>883</v>
      </c>
      <c r="F259" t="s">
        <v>299</v>
      </c>
      <c r="G259" s="63" t="s">
        <v>1582</v>
      </c>
      <c r="H259" s="358">
        <v>24</v>
      </c>
      <c r="J259" s="357">
        <v>1.5</v>
      </c>
      <c r="L259" s="358">
        <v>25.5</v>
      </c>
      <c r="N259" s="361">
        <f>Ground!L21</f>
        <v>0</v>
      </c>
      <c r="O259" s="361">
        <f>Ground!M21</f>
        <v>0</v>
      </c>
      <c r="P259" s="358">
        <f>Ground!N21</f>
        <v>25.5</v>
      </c>
      <c r="R259" s="358">
        <f>Ground!O21</f>
        <v>0</v>
      </c>
      <c r="T259" s="358">
        <f>Ground!P21</f>
        <v>25.5</v>
      </c>
      <c r="V259" s="365">
        <f>Ground!Q21</f>
        <v>0</v>
      </c>
      <c r="W259" s="358">
        <f>Ground!R21</f>
        <v>0</v>
      </c>
      <c r="X259" s="358">
        <f>Ground!S21</f>
        <v>0</v>
      </c>
      <c r="Y259" s="358">
        <f>Ground!T21</f>
        <v>0</v>
      </c>
    </row>
    <row r="260" spans="1:25" x14ac:dyDescent="0.35">
      <c r="A260">
        <v>259</v>
      </c>
      <c r="B260" t="s">
        <v>1350</v>
      </c>
      <c r="C260" t="s">
        <v>946</v>
      </c>
      <c r="D260" t="s">
        <v>15</v>
      </c>
      <c r="E260" t="s">
        <v>28</v>
      </c>
      <c r="F260" t="s">
        <v>28</v>
      </c>
      <c r="G260" s="63" t="s">
        <v>1583</v>
      </c>
      <c r="H260" s="358">
        <v>1.5</v>
      </c>
      <c r="J260" s="357">
        <v>0.14999999999999991</v>
      </c>
      <c r="L260" s="358">
        <v>1.65</v>
      </c>
      <c r="N260" s="361">
        <f>Ground!L22</f>
        <v>0</v>
      </c>
      <c r="O260" s="361">
        <f>Ground!M22</f>
        <v>0</v>
      </c>
      <c r="P260" s="358">
        <f>Ground!N22</f>
        <v>1.65</v>
      </c>
      <c r="R260" s="358">
        <f>Ground!O22</f>
        <v>0</v>
      </c>
      <c r="T260" s="358">
        <f>Ground!P22</f>
        <v>1.65</v>
      </c>
      <c r="V260" s="365">
        <f>Ground!Q22</f>
        <v>0</v>
      </c>
    </row>
    <row r="261" spans="1:25" x14ac:dyDescent="0.35">
      <c r="A261">
        <v>260</v>
      </c>
      <c r="B261" t="s">
        <v>1350</v>
      </c>
      <c r="C261" t="s">
        <v>946</v>
      </c>
      <c r="D261" t="s">
        <v>15</v>
      </c>
      <c r="E261" t="s">
        <v>69</v>
      </c>
      <c r="F261" t="s">
        <v>281</v>
      </c>
      <c r="G261" s="63" t="s">
        <v>1584</v>
      </c>
      <c r="H261" s="358">
        <v>4.2</v>
      </c>
      <c r="J261" s="357">
        <v>0.25</v>
      </c>
      <c r="L261" s="358">
        <v>4.45</v>
      </c>
      <c r="N261" s="361">
        <f>Ground!L24</f>
        <v>0</v>
      </c>
      <c r="O261" s="361">
        <f>Ground!M24</f>
        <v>0</v>
      </c>
      <c r="P261" s="358">
        <f>Ground!N24</f>
        <v>4.45</v>
      </c>
      <c r="R261" s="358">
        <f>Ground!O24</f>
        <v>0</v>
      </c>
      <c r="T261" s="358">
        <f>Ground!P24</f>
        <v>4.45</v>
      </c>
      <c r="V261" s="365">
        <f>Ground!Q24</f>
        <v>0</v>
      </c>
      <c r="W261" s="358">
        <f>Ground!R24</f>
        <v>0</v>
      </c>
      <c r="X261" s="358">
        <f>Ground!S24</f>
        <v>0</v>
      </c>
      <c r="Y261" s="358">
        <f>Ground!T24</f>
        <v>0</v>
      </c>
    </row>
    <row r="262" spans="1:25" x14ac:dyDescent="0.35">
      <c r="A262">
        <v>261</v>
      </c>
      <c r="B262" t="s">
        <v>1350</v>
      </c>
      <c r="C262" t="s">
        <v>946</v>
      </c>
      <c r="D262" t="s">
        <v>15</v>
      </c>
      <c r="E262" t="s">
        <v>69</v>
      </c>
      <c r="F262" t="s">
        <v>306</v>
      </c>
      <c r="G262" s="63" t="s">
        <v>1585</v>
      </c>
      <c r="H262" s="358">
        <v>5.25</v>
      </c>
      <c r="J262" s="357">
        <v>0.29999999999999982</v>
      </c>
      <c r="L262" s="358">
        <v>5.55</v>
      </c>
      <c r="N262" s="361">
        <f>Ground!L25</f>
        <v>0</v>
      </c>
      <c r="O262" s="361">
        <f>Ground!M25</f>
        <v>0</v>
      </c>
      <c r="P262" s="358">
        <f>Ground!N25</f>
        <v>5.55</v>
      </c>
      <c r="R262" s="358">
        <f>Ground!O25</f>
        <v>0</v>
      </c>
      <c r="T262" s="358">
        <f>Ground!P25</f>
        <v>5.55</v>
      </c>
      <c r="V262" s="365">
        <f>Ground!Q25</f>
        <v>0</v>
      </c>
      <c r="W262" s="358">
        <f>Ground!R25</f>
        <v>0</v>
      </c>
      <c r="X262" s="358">
        <f>Ground!S25</f>
        <v>0</v>
      </c>
      <c r="Y262" s="358">
        <f>Ground!T25</f>
        <v>0</v>
      </c>
    </row>
    <row r="263" spans="1:25" x14ac:dyDescent="0.35">
      <c r="A263">
        <v>262</v>
      </c>
      <c r="B263" t="s">
        <v>1350</v>
      </c>
      <c r="C263" t="s">
        <v>946</v>
      </c>
      <c r="D263" t="s">
        <v>15</v>
      </c>
      <c r="E263" t="s">
        <v>69</v>
      </c>
      <c r="F263" t="s">
        <v>951</v>
      </c>
      <c r="G263" s="63" t="s">
        <v>1586</v>
      </c>
      <c r="H263" s="358">
        <v>15.5</v>
      </c>
      <c r="J263" s="357">
        <v>1.25</v>
      </c>
      <c r="L263" s="358">
        <v>16.75</v>
      </c>
      <c r="N263" s="361">
        <f>Ground!L26</f>
        <v>0</v>
      </c>
      <c r="O263" s="361">
        <f>Ground!M26</f>
        <v>0</v>
      </c>
      <c r="P263" s="358">
        <f>Ground!N26</f>
        <v>16.75</v>
      </c>
      <c r="R263" s="358">
        <f>Ground!O26</f>
        <v>0</v>
      </c>
      <c r="T263" s="358">
        <f>Ground!P26</f>
        <v>16.75</v>
      </c>
      <c r="V263" s="365">
        <f>Ground!Q26</f>
        <v>0</v>
      </c>
      <c r="W263" s="358">
        <f>Ground!R26</f>
        <v>0</v>
      </c>
      <c r="X263" s="358">
        <f>Ground!S26</f>
        <v>0</v>
      </c>
      <c r="Y263" s="358">
        <f>Ground!T26</f>
        <v>0</v>
      </c>
    </row>
    <row r="264" spans="1:25" x14ac:dyDescent="0.35">
      <c r="A264">
        <v>263</v>
      </c>
      <c r="B264" t="s">
        <v>1350</v>
      </c>
      <c r="C264" t="s">
        <v>946</v>
      </c>
      <c r="D264" t="s">
        <v>15</v>
      </c>
      <c r="E264" t="s">
        <v>69</v>
      </c>
      <c r="F264" t="s">
        <v>282</v>
      </c>
      <c r="G264" s="63" t="s">
        <v>1587</v>
      </c>
      <c r="H264" s="358">
        <v>6.2</v>
      </c>
      <c r="J264" s="357">
        <v>0.39999999999999947</v>
      </c>
      <c r="L264" s="358">
        <v>6.6</v>
      </c>
      <c r="N264" s="361">
        <f>Ground!L27</f>
        <v>0</v>
      </c>
      <c r="O264" s="361">
        <f>Ground!M27</f>
        <v>0</v>
      </c>
      <c r="P264" s="358">
        <f>Ground!N27</f>
        <v>6.6</v>
      </c>
      <c r="R264" s="358">
        <f>Ground!O27</f>
        <v>0</v>
      </c>
      <c r="T264" s="358">
        <f>Ground!P27</f>
        <v>6.6</v>
      </c>
      <c r="V264" s="365">
        <f>Ground!Q27</f>
        <v>0</v>
      </c>
      <c r="W264" s="358">
        <f>Ground!R27</f>
        <v>0</v>
      </c>
      <c r="X264" s="358">
        <f>Ground!S27</f>
        <v>0</v>
      </c>
      <c r="Y264" s="358">
        <f>Ground!T27</f>
        <v>0</v>
      </c>
    </row>
    <row r="265" spans="1:25" x14ac:dyDescent="0.35">
      <c r="A265">
        <v>264</v>
      </c>
      <c r="B265" t="s">
        <v>1350</v>
      </c>
      <c r="C265" t="s">
        <v>946</v>
      </c>
      <c r="D265" t="s">
        <v>15</v>
      </c>
      <c r="E265" t="s">
        <v>69</v>
      </c>
      <c r="F265" t="s">
        <v>307</v>
      </c>
      <c r="G265" s="63" t="s">
        <v>1588</v>
      </c>
      <c r="H265" s="358">
        <v>8.3000000000000007</v>
      </c>
      <c r="J265" s="357">
        <v>0.5</v>
      </c>
      <c r="L265" s="358">
        <v>8.8000000000000007</v>
      </c>
      <c r="N265" s="361">
        <f>Ground!L28</f>
        <v>0</v>
      </c>
      <c r="O265" s="361">
        <f>Ground!M28</f>
        <v>0</v>
      </c>
      <c r="P265" s="358">
        <f>Ground!N28</f>
        <v>8.8000000000000007</v>
      </c>
      <c r="R265" s="358">
        <f>Ground!O28</f>
        <v>0</v>
      </c>
      <c r="T265" s="358">
        <f>Ground!P28</f>
        <v>8.8000000000000007</v>
      </c>
      <c r="V265" s="365">
        <f>Ground!Q28</f>
        <v>0</v>
      </c>
      <c r="W265" s="358">
        <f>Ground!R28</f>
        <v>0</v>
      </c>
      <c r="X265" s="358">
        <f>Ground!S28</f>
        <v>0</v>
      </c>
      <c r="Y265" s="358">
        <f>Ground!T28</f>
        <v>0</v>
      </c>
    </row>
    <row r="266" spans="1:25" x14ac:dyDescent="0.35">
      <c r="A266">
        <v>265</v>
      </c>
      <c r="B266" t="s">
        <v>1350</v>
      </c>
      <c r="C266" t="s">
        <v>946</v>
      </c>
      <c r="D266" t="s">
        <v>15</v>
      </c>
      <c r="E266" t="s">
        <v>69</v>
      </c>
      <c r="F266" t="s">
        <v>952</v>
      </c>
      <c r="G266" s="63" t="s">
        <v>1589</v>
      </c>
      <c r="H266" s="358">
        <v>15.5</v>
      </c>
      <c r="J266" s="357">
        <v>1.25</v>
      </c>
      <c r="L266" s="358">
        <v>16.75</v>
      </c>
      <c r="N266" s="361">
        <f>Ground!L29</f>
        <v>0</v>
      </c>
      <c r="O266" s="361">
        <f>Ground!M29</f>
        <v>0</v>
      </c>
      <c r="P266" s="358">
        <f>Ground!N29</f>
        <v>16.75</v>
      </c>
      <c r="R266" s="358">
        <f>Ground!O29</f>
        <v>0</v>
      </c>
      <c r="T266" s="358">
        <f>Ground!P29</f>
        <v>16.75</v>
      </c>
      <c r="V266" s="365">
        <f>Ground!Q29</f>
        <v>0</v>
      </c>
      <c r="W266" s="358">
        <f>Ground!R29</f>
        <v>0</v>
      </c>
      <c r="X266" s="358">
        <f>Ground!S29</f>
        <v>0</v>
      </c>
      <c r="Y266" s="358">
        <f>Ground!T29</f>
        <v>0</v>
      </c>
    </row>
    <row r="267" spans="1:25" x14ac:dyDescent="0.35">
      <c r="A267">
        <v>266</v>
      </c>
      <c r="B267" t="s">
        <v>1350</v>
      </c>
      <c r="C267" t="s">
        <v>946</v>
      </c>
      <c r="D267" t="s">
        <v>15</v>
      </c>
      <c r="E267" t="s">
        <v>69</v>
      </c>
      <c r="F267" t="s">
        <v>304</v>
      </c>
      <c r="G267" s="63" t="s">
        <v>1590</v>
      </c>
      <c r="H267" s="358">
        <v>43</v>
      </c>
      <c r="J267" s="357">
        <v>3</v>
      </c>
      <c r="L267" s="358">
        <v>46</v>
      </c>
      <c r="N267" s="361">
        <f>Ground!L30</f>
        <v>0</v>
      </c>
      <c r="O267" s="361">
        <f>Ground!M30</f>
        <v>0</v>
      </c>
      <c r="P267" s="358">
        <f>Ground!N30</f>
        <v>46</v>
      </c>
      <c r="R267" s="358">
        <f>Ground!O30</f>
        <v>0</v>
      </c>
      <c r="T267" s="358">
        <f>Ground!P30</f>
        <v>46</v>
      </c>
      <c r="V267" s="365">
        <f>Ground!Q30</f>
        <v>0</v>
      </c>
      <c r="W267" s="358">
        <f>Ground!R30</f>
        <v>0</v>
      </c>
      <c r="X267" s="358">
        <f>Ground!S30</f>
        <v>0</v>
      </c>
      <c r="Y267" s="358">
        <f>Ground!T30</f>
        <v>0</v>
      </c>
    </row>
    <row r="268" spans="1:25" x14ac:dyDescent="0.35">
      <c r="A268">
        <v>267</v>
      </c>
      <c r="B268" t="s">
        <v>1350</v>
      </c>
      <c r="C268" t="s">
        <v>946</v>
      </c>
      <c r="D268" t="s">
        <v>15</v>
      </c>
      <c r="E268" t="s">
        <v>69</v>
      </c>
      <c r="F268" t="s">
        <v>305</v>
      </c>
      <c r="G268" s="63" t="s">
        <v>1591</v>
      </c>
      <c r="H268" s="358">
        <v>43</v>
      </c>
      <c r="J268" s="357">
        <v>3</v>
      </c>
      <c r="L268" s="358">
        <v>46</v>
      </c>
      <c r="N268" s="361">
        <f>Ground!L31</f>
        <v>0</v>
      </c>
      <c r="O268" s="361">
        <f>Ground!M31</f>
        <v>0</v>
      </c>
      <c r="P268" s="358">
        <f>Ground!N31</f>
        <v>46</v>
      </c>
      <c r="R268" s="358">
        <f>Ground!O31</f>
        <v>0</v>
      </c>
      <c r="T268" s="358">
        <f>Ground!P31</f>
        <v>46</v>
      </c>
      <c r="V268" s="365">
        <f>Ground!Q31</f>
        <v>0</v>
      </c>
      <c r="W268" s="358">
        <f>Ground!R31</f>
        <v>0</v>
      </c>
      <c r="X268" s="358">
        <f>Ground!S31</f>
        <v>0</v>
      </c>
      <c r="Y268" s="358">
        <f>Ground!T31</f>
        <v>0</v>
      </c>
    </row>
    <row r="269" spans="1:25" x14ac:dyDescent="0.35">
      <c r="A269">
        <v>268</v>
      </c>
      <c r="B269" t="s">
        <v>1350</v>
      </c>
      <c r="C269" t="s">
        <v>946</v>
      </c>
      <c r="D269" t="s">
        <v>15</v>
      </c>
      <c r="E269" t="s">
        <v>69</v>
      </c>
      <c r="F269" t="s">
        <v>308</v>
      </c>
      <c r="G269" s="63" t="s">
        <v>1592</v>
      </c>
      <c r="H269" s="358">
        <v>14.5</v>
      </c>
      <c r="J269" s="357">
        <v>1.75</v>
      </c>
      <c r="L269" s="358">
        <v>16.25</v>
      </c>
      <c r="N269" s="361">
        <f>Ground!L32</f>
        <v>0</v>
      </c>
      <c r="O269" s="361">
        <f>Ground!M32</f>
        <v>0</v>
      </c>
      <c r="P269" s="358">
        <f>Ground!N32</f>
        <v>16.25</v>
      </c>
      <c r="R269" s="358">
        <f>Ground!O32</f>
        <v>0</v>
      </c>
      <c r="T269" s="358">
        <f>Ground!P32</f>
        <v>16.25</v>
      </c>
      <c r="V269" s="365">
        <f>Ground!Q32</f>
        <v>0</v>
      </c>
      <c r="W269" s="358">
        <f>Ground!R32</f>
        <v>0</v>
      </c>
      <c r="X269" s="358">
        <f>Ground!S32</f>
        <v>0</v>
      </c>
      <c r="Y269" s="358">
        <f>Ground!T32</f>
        <v>0</v>
      </c>
    </row>
    <row r="270" spans="1:25" x14ac:dyDescent="0.35">
      <c r="A270">
        <v>269</v>
      </c>
      <c r="B270" t="s">
        <v>1350</v>
      </c>
      <c r="C270" t="s">
        <v>946</v>
      </c>
      <c r="D270" t="s">
        <v>15</v>
      </c>
      <c r="E270" t="s">
        <v>69</v>
      </c>
      <c r="F270" t="s">
        <v>309</v>
      </c>
      <c r="G270" s="63" t="s">
        <v>1593</v>
      </c>
      <c r="H270" s="358">
        <v>14.5</v>
      </c>
      <c r="J270" s="357">
        <v>1.75</v>
      </c>
      <c r="L270" s="358">
        <v>16.25</v>
      </c>
      <c r="N270" s="361">
        <f>Ground!L33</f>
        <v>0</v>
      </c>
      <c r="O270" s="361">
        <f>Ground!M33</f>
        <v>0</v>
      </c>
      <c r="P270" s="358">
        <f>Ground!N33</f>
        <v>16.25</v>
      </c>
      <c r="R270" s="358">
        <f>Ground!O33</f>
        <v>0</v>
      </c>
      <c r="T270" s="358">
        <f>Ground!P33</f>
        <v>16.25</v>
      </c>
      <c r="V270" s="365">
        <f>Ground!Q33</f>
        <v>0</v>
      </c>
      <c r="W270" s="358">
        <f>Ground!R33</f>
        <v>0</v>
      </c>
      <c r="X270" s="358">
        <f>Ground!S33</f>
        <v>0</v>
      </c>
      <c r="Y270" s="358">
        <f>Ground!T33</f>
        <v>0</v>
      </c>
    </row>
    <row r="271" spans="1:25" x14ac:dyDescent="0.35">
      <c r="A271">
        <v>270</v>
      </c>
      <c r="B271" t="s">
        <v>1350</v>
      </c>
      <c r="C271" t="s">
        <v>946</v>
      </c>
      <c r="D271" t="s">
        <v>15</v>
      </c>
      <c r="E271" t="s">
        <v>69</v>
      </c>
      <c r="F271" t="s">
        <v>310</v>
      </c>
      <c r="G271" s="63" t="s">
        <v>1594</v>
      </c>
      <c r="H271" s="358">
        <v>1.1000000000000001</v>
      </c>
      <c r="J271" s="357">
        <v>0</v>
      </c>
      <c r="L271" s="358">
        <v>1.1000000000000001</v>
      </c>
      <c r="N271" s="361">
        <f>Ground!L34</f>
        <v>0</v>
      </c>
      <c r="O271" s="361">
        <f>Ground!M34</f>
        <v>0</v>
      </c>
      <c r="P271" s="358">
        <f>Ground!N34</f>
        <v>1.1000000000000001</v>
      </c>
      <c r="R271" s="358">
        <f>Ground!O34</f>
        <v>0</v>
      </c>
      <c r="T271" s="358">
        <f>Ground!P34</f>
        <v>1.1000000000000001</v>
      </c>
      <c r="V271" s="365">
        <f>Ground!Q34</f>
        <v>0</v>
      </c>
      <c r="W271" s="358">
        <f>Ground!R34</f>
        <v>0</v>
      </c>
      <c r="X271" s="358">
        <f>Ground!S34</f>
        <v>0</v>
      </c>
      <c r="Y271" s="358">
        <f>Ground!T34</f>
        <v>0</v>
      </c>
    </row>
    <row r="272" spans="1:25" x14ac:dyDescent="0.35">
      <c r="A272">
        <v>271</v>
      </c>
      <c r="B272" t="s">
        <v>1350</v>
      </c>
      <c r="C272" t="s">
        <v>946</v>
      </c>
      <c r="D272" t="s">
        <v>15</v>
      </c>
      <c r="E272" t="s">
        <v>69</v>
      </c>
      <c r="F272" t="s">
        <v>311</v>
      </c>
      <c r="G272" s="63" t="s">
        <v>1595</v>
      </c>
      <c r="H272" s="358">
        <v>1.1000000000000001</v>
      </c>
      <c r="J272" s="357">
        <v>0</v>
      </c>
      <c r="L272" s="358">
        <v>1.1000000000000001</v>
      </c>
      <c r="N272" s="361">
        <f>Ground!L35</f>
        <v>0</v>
      </c>
      <c r="O272" s="361">
        <f>Ground!M35</f>
        <v>0</v>
      </c>
      <c r="P272" s="358">
        <f>Ground!N35</f>
        <v>1.1000000000000001</v>
      </c>
      <c r="R272" s="358">
        <f>Ground!O35</f>
        <v>0</v>
      </c>
      <c r="T272" s="358">
        <f>Ground!P35</f>
        <v>1.1000000000000001</v>
      </c>
      <c r="V272" s="365">
        <f>Ground!Q35</f>
        <v>0</v>
      </c>
      <c r="W272" s="358">
        <f>Ground!R35</f>
        <v>0</v>
      </c>
      <c r="X272" s="358">
        <f>Ground!S35</f>
        <v>0</v>
      </c>
      <c r="Y272" s="358">
        <f>Ground!T35</f>
        <v>0</v>
      </c>
    </row>
    <row r="273" spans="1:25" x14ac:dyDescent="0.35">
      <c r="A273">
        <v>272</v>
      </c>
      <c r="B273" t="s">
        <v>1350</v>
      </c>
      <c r="C273" t="s">
        <v>946</v>
      </c>
      <c r="D273" t="s">
        <v>15</v>
      </c>
      <c r="E273" t="s">
        <v>69</v>
      </c>
      <c r="F273" t="s">
        <v>881</v>
      </c>
      <c r="G273" s="63" t="s">
        <v>1596</v>
      </c>
      <c r="H273" s="358">
        <v>6.2</v>
      </c>
      <c r="J273" s="357">
        <v>0.39999999999999947</v>
      </c>
      <c r="L273" s="358">
        <v>6.6</v>
      </c>
      <c r="N273" s="361">
        <f>Ground!L36</f>
        <v>0</v>
      </c>
      <c r="O273" s="361">
        <f>Ground!M36</f>
        <v>0</v>
      </c>
      <c r="P273" s="358">
        <f>Ground!N36</f>
        <v>6.6</v>
      </c>
      <c r="R273" s="358">
        <f>Ground!O36</f>
        <v>0</v>
      </c>
      <c r="T273" s="358">
        <f>Ground!P36</f>
        <v>6.6</v>
      </c>
      <c r="V273" s="365">
        <f>Ground!Q36</f>
        <v>0</v>
      </c>
      <c r="W273" s="358">
        <f>Ground!R36</f>
        <v>0</v>
      </c>
      <c r="X273" s="358">
        <f>Ground!S36</f>
        <v>0</v>
      </c>
      <c r="Y273" s="358">
        <f>Ground!T36</f>
        <v>0</v>
      </c>
    </row>
    <row r="274" spans="1:25" x14ac:dyDescent="0.35">
      <c r="A274">
        <v>273</v>
      </c>
      <c r="B274" t="s">
        <v>1350</v>
      </c>
      <c r="C274" t="s">
        <v>946</v>
      </c>
      <c r="D274" t="s">
        <v>15</v>
      </c>
      <c r="E274" t="s">
        <v>69</v>
      </c>
      <c r="F274" t="s">
        <v>882</v>
      </c>
      <c r="G274" s="63" t="s">
        <v>1597</v>
      </c>
      <c r="H274" s="358">
        <v>8.3000000000000007</v>
      </c>
      <c r="J274" s="357">
        <v>0.5</v>
      </c>
      <c r="L274" s="358">
        <v>8.8000000000000007</v>
      </c>
      <c r="N274" s="361">
        <f>Ground!L37</f>
        <v>0</v>
      </c>
      <c r="O274" s="361">
        <f>Ground!M37</f>
        <v>0</v>
      </c>
      <c r="P274" s="358">
        <f>Ground!N37</f>
        <v>8.8000000000000007</v>
      </c>
      <c r="R274" s="358">
        <f>Ground!O37</f>
        <v>0</v>
      </c>
      <c r="T274" s="358">
        <f>Ground!P37</f>
        <v>8.8000000000000007</v>
      </c>
      <c r="V274" s="365">
        <f>Ground!Q37</f>
        <v>0</v>
      </c>
      <c r="W274" s="358">
        <f>Ground!R37</f>
        <v>0</v>
      </c>
      <c r="X274" s="358">
        <f>Ground!S37</f>
        <v>0</v>
      </c>
      <c r="Y274" s="358">
        <f>Ground!T37</f>
        <v>0</v>
      </c>
    </row>
    <row r="275" spans="1:25" x14ac:dyDescent="0.35">
      <c r="A275">
        <v>274</v>
      </c>
      <c r="B275" t="s">
        <v>1350</v>
      </c>
      <c r="C275" t="s">
        <v>946</v>
      </c>
      <c r="D275" t="s">
        <v>15</v>
      </c>
      <c r="E275" t="s">
        <v>69</v>
      </c>
      <c r="F275" t="s">
        <v>1260</v>
      </c>
      <c r="G275" s="63" t="s">
        <v>1598</v>
      </c>
      <c r="H275" s="358">
        <v>15.5</v>
      </c>
      <c r="J275" s="357">
        <v>1.25</v>
      </c>
      <c r="L275" s="358">
        <v>16.75</v>
      </c>
      <c r="N275" s="361">
        <f>Ground!L38</f>
        <v>0</v>
      </c>
      <c r="O275" s="361">
        <f>Ground!M38</f>
        <v>0</v>
      </c>
      <c r="P275" s="358">
        <f>Ground!N38</f>
        <v>16.75</v>
      </c>
      <c r="R275" s="358">
        <f>Ground!O38</f>
        <v>0</v>
      </c>
      <c r="T275" s="358">
        <f>Ground!P38</f>
        <v>16.75</v>
      </c>
      <c r="V275" s="365">
        <f>Ground!Q38</f>
        <v>0</v>
      </c>
      <c r="W275" s="358">
        <f>Ground!R38</f>
        <v>0</v>
      </c>
      <c r="X275" s="358">
        <f>Ground!S38</f>
        <v>0</v>
      </c>
      <c r="Y275" s="358">
        <f>Ground!T38</f>
        <v>0</v>
      </c>
    </row>
    <row r="276" spans="1:25" x14ac:dyDescent="0.35">
      <c r="A276">
        <v>275</v>
      </c>
      <c r="B276" t="s">
        <v>1350</v>
      </c>
      <c r="C276" t="s">
        <v>946</v>
      </c>
      <c r="D276" t="s">
        <v>15</v>
      </c>
      <c r="E276" t="s">
        <v>286</v>
      </c>
      <c r="F276" t="s">
        <v>288</v>
      </c>
      <c r="G276" s="63" t="s">
        <v>1599</v>
      </c>
      <c r="H276" s="358">
        <v>8.65</v>
      </c>
      <c r="J276" s="357">
        <v>1.3499999999999996</v>
      </c>
      <c r="L276" s="358">
        <v>10</v>
      </c>
      <c r="N276" s="361">
        <f>Ground!L40</f>
        <v>0</v>
      </c>
      <c r="O276" s="361">
        <f>Ground!M40</f>
        <v>0</v>
      </c>
      <c r="P276" s="358">
        <f>Ground!N40</f>
        <v>10</v>
      </c>
      <c r="R276" s="358">
        <f>Ground!O40</f>
        <v>0</v>
      </c>
      <c r="T276" s="358">
        <f>Ground!P40</f>
        <v>10</v>
      </c>
      <c r="V276" s="365">
        <f>Ground!Q40</f>
        <v>0</v>
      </c>
      <c r="W276" s="358">
        <f>Ground!R40</f>
        <v>0</v>
      </c>
      <c r="X276" s="358">
        <f>Ground!S40</f>
        <v>0</v>
      </c>
      <c r="Y276" s="358">
        <f>Ground!T40</f>
        <v>0</v>
      </c>
    </row>
    <row r="277" spans="1:25" x14ac:dyDescent="0.35">
      <c r="A277">
        <v>276</v>
      </c>
      <c r="B277" t="s">
        <v>1350</v>
      </c>
      <c r="C277" t="s">
        <v>946</v>
      </c>
      <c r="D277" t="s">
        <v>15</v>
      </c>
      <c r="E277" t="s">
        <v>286</v>
      </c>
      <c r="F277" t="s">
        <v>285</v>
      </c>
      <c r="G277" s="63" t="s">
        <v>1600</v>
      </c>
      <c r="H277" s="358">
        <v>7.15</v>
      </c>
      <c r="J277" s="357">
        <v>0.44999999999999929</v>
      </c>
      <c r="L277" s="358">
        <v>7.6</v>
      </c>
      <c r="N277" s="361">
        <f>Ground!L41</f>
        <v>0</v>
      </c>
      <c r="O277" s="361">
        <f>Ground!M41</f>
        <v>0</v>
      </c>
      <c r="P277" s="358">
        <f>Ground!N41</f>
        <v>7.6</v>
      </c>
      <c r="R277" s="358">
        <f>Ground!O41</f>
        <v>0</v>
      </c>
      <c r="T277" s="358">
        <f>Ground!P41</f>
        <v>7.6</v>
      </c>
      <c r="V277" s="365">
        <f>Ground!Q41</f>
        <v>0</v>
      </c>
      <c r="W277" s="358">
        <f>Ground!R41</f>
        <v>0</v>
      </c>
      <c r="X277" s="358">
        <f>Ground!S41</f>
        <v>0</v>
      </c>
      <c r="Y277" s="358">
        <f>Ground!T41</f>
        <v>0</v>
      </c>
    </row>
    <row r="278" spans="1:25" x14ac:dyDescent="0.35">
      <c r="A278">
        <v>277</v>
      </c>
      <c r="B278" t="s">
        <v>1350</v>
      </c>
      <c r="C278" t="s">
        <v>946</v>
      </c>
      <c r="D278" t="s">
        <v>15</v>
      </c>
      <c r="E278" t="s">
        <v>286</v>
      </c>
      <c r="F278" t="s">
        <v>287</v>
      </c>
      <c r="G278" s="63" t="s">
        <v>1601</v>
      </c>
      <c r="H278" s="358">
        <v>7.15</v>
      </c>
      <c r="J278" s="357">
        <v>0.44999999999999929</v>
      </c>
      <c r="L278" s="358">
        <v>7.6</v>
      </c>
      <c r="N278" s="361">
        <f>Ground!L42</f>
        <v>0</v>
      </c>
      <c r="O278" s="361">
        <f>Ground!M42</f>
        <v>0</v>
      </c>
      <c r="P278" s="358">
        <f>Ground!N42</f>
        <v>7.6</v>
      </c>
      <c r="R278" s="358">
        <f>Ground!O42</f>
        <v>0</v>
      </c>
      <c r="T278" s="358">
        <f>Ground!P42</f>
        <v>7.6</v>
      </c>
      <c r="V278" s="365">
        <f>Ground!Q42</f>
        <v>0</v>
      </c>
      <c r="W278" s="358">
        <f>Ground!R42</f>
        <v>0</v>
      </c>
      <c r="X278" s="358">
        <f>Ground!S42</f>
        <v>0</v>
      </c>
      <c r="Y278" s="358">
        <f>Ground!T42</f>
        <v>0</v>
      </c>
    </row>
    <row r="279" spans="1:25" x14ac:dyDescent="0.35">
      <c r="A279">
        <v>278</v>
      </c>
      <c r="B279" t="s">
        <v>1350</v>
      </c>
      <c r="C279" t="s">
        <v>946</v>
      </c>
      <c r="D279" t="s">
        <v>15</v>
      </c>
      <c r="E279" t="s">
        <v>18</v>
      </c>
      <c r="F279" t="s">
        <v>18</v>
      </c>
      <c r="G279" s="63" t="s">
        <v>19</v>
      </c>
      <c r="H279" s="358">
        <v>0</v>
      </c>
      <c r="J279" s="357">
        <v>0</v>
      </c>
      <c r="L279" s="358">
        <v>0</v>
      </c>
      <c r="N279" s="361">
        <f>Ground!L43</f>
        <v>0</v>
      </c>
      <c r="O279" s="361">
        <f>Ground!M43</f>
        <v>0</v>
      </c>
      <c r="V279" s="365">
        <f>Ground!Q43</f>
        <v>0</v>
      </c>
    </row>
    <row r="280" spans="1:25" x14ac:dyDescent="0.35">
      <c r="A280">
        <v>279</v>
      </c>
      <c r="B280" t="s">
        <v>1350</v>
      </c>
      <c r="C280" t="s">
        <v>946</v>
      </c>
      <c r="D280" t="s">
        <v>15</v>
      </c>
      <c r="E280" t="s">
        <v>100</v>
      </c>
      <c r="F280" t="s">
        <v>100</v>
      </c>
      <c r="G280" s="63" t="s">
        <v>1602</v>
      </c>
      <c r="H280" s="358">
        <v>54</v>
      </c>
      <c r="J280" s="357">
        <v>3.25</v>
      </c>
      <c r="L280" s="358">
        <v>57.25</v>
      </c>
      <c r="N280" s="361">
        <f>Ground!L44</f>
        <v>0</v>
      </c>
      <c r="O280" s="361">
        <f>Ground!M44</f>
        <v>0</v>
      </c>
      <c r="P280" s="358">
        <f>Ground!N44</f>
        <v>57.25</v>
      </c>
      <c r="R280" s="358">
        <f>Ground!O44</f>
        <v>0</v>
      </c>
      <c r="T280" s="358">
        <f>Ground!P44</f>
        <v>57.25</v>
      </c>
      <c r="V280" s="365">
        <f>Ground!Q44</f>
        <v>0</v>
      </c>
      <c r="W280" s="358">
        <f>Ground!R44</f>
        <v>0</v>
      </c>
      <c r="X280" s="358">
        <f>Ground!S44</f>
        <v>0</v>
      </c>
      <c r="Y280" s="358">
        <f>Ground!T44</f>
        <v>0</v>
      </c>
    </row>
    <row r="281" spans="1:25" x14ac:dyDescent="0.35">
      <c r="A281">
        <v>280</v>
      </c>
      <c r="B281" t="s">
        <v>1350</v>
      </c>
      <c r="C281" t="s">
        <v>946</v>
      </c>
      <c r="D281" t="s">
        <v>15</v>
      </c>
      <c r="E281" t="s">
        <v>57</v>
      </c>
      <c r="F281" t="s">
        <v>57</v>
      </c>
      <c r="G281" s="63" t="s">
        <v>1603</v>
      </c>
      <c r="H281" s="358">
        <v>24</v>
      </c>
      <c r="J281" s="357">
        <v>1.5</v>
      </c>
      <c r="L281" s="358">
        <v>25.5</v>
      </c>
      <c r="N281" s="361">
        <f>Ground!L45</f>
        <v>0</v>
      </c>
      <c r="O281" s="361">
        <f>Ground!M45</f>
        <v>0</v>
      </c>
      <c r="P281" s="358">
        <f>Ground!N45</f>
        <v>25.5</v>
      </c>
      <c r="R281" s="358">
        <f>Ground!O45</f>
        <v>0</v>
      </c>
      <c r="T281" s="358">
        <f>Ground!P45</f>
        <v>25.5</v>
      </c>
      <c r="V281" s="365">
        <f>Ground!Q45</f>
        <v>0</v>
      </c>
      <c r="W281" s="358">
        <f>Ground!R45</f>
        <v>0</v>
      </c>
      <c r="X281" s="358">
        <f>Ground!S45</f>
        <v>0</v>
      </c>
      <c r="Y281" s="358">
        <f>Ground!T45</f>
        <v>0</v>
      </c>
    </row>
    <row r="282" spans="1:25" x14ac:dyDescent="0.35">
      <c r="A282">
        <v>281</v>
      </c>
      <c r="B282" t="s">
        <v>1350</v>
      </c>
      <c r="C282" t="s">
        <v>953</v>
      </c>
      <c r="D282" t="s">
        <v>15</v>
      </c>
      <c r="E282" t="s">
        <v>1514</v>
      </c>
      <c r="F282" t="s">
        <v>1193</v>
      </c>
      <c r="G282" s="63" t="s">
        <v>1457</v>
      </c>
      <c r="H282" s="358">
        <v>190</v>
      </c>
      <c r="J282" s="357">
        <v>18</v>
      </c>
      <c r="L282" s="358">
        <v>208</v>
      </c>
      <c r="N282" s="361">
        <f>Ground!L48</f>
        <v>0</v>
      </c>
      <c r="O282" s="361">
        <f>Ground!M48</f>
        <v>0</v>
      </c>
      <c r="P282" s="358">
        <f>Ground!N48</f>
        <v>208</v>
      </c>
      <c r="R282" s="358">
        <f>Ground!O48</f>
        <v>0</v>
      </c>
      <c r="T282" s="358">
        <f>Ground!P48</f>
        <v>208</v>
      </c>
      <c r="V282" s="365">
        <f>Ground!Q48</f>
        <v>0</v>
      </c>
      <c r="W282" s="358">
        <f>Ground!R48</f>
        <v>0</v>
      </c>
      <c r="X282" s="358">
        <f>Ground!S48</f>
        <v>0</v>
      </c>
      <c r="Y282" s="358">
        <f>Ground!T48</f>
        <v>0</v>
      </c>
    </row>
    <row r="283" spans="1:25" x14ac:dyDescent="0.35">
      <c r="A283">
        <v>282</v>
      </c>
      <c r="B283" t="s">
        <v>1350</v>
      </c>
      <c r="C283" t="s">
        <v>946</v>
      </c>
      <c r="D283" t="s">
        <v>15</v>
      </c>
      <c r="E283" t="s">
        <v>852</v>
      </c>
      <c r="F283" t="s">
        <v>852</v>
      </c>
      <c r="G283" s="63" t="s">
        <v>1604</v>
      </c>
      <c r="H283" s="358">
        <v>24</v>
      </c>
      <c r="J283" s="357">
        <v>1.5</v>
      </c>
      <c r="L283" s="358">
        <v>25.5</v>
      </c>
      <c r="N283" s="361">
        <f>Ground!L49</f>
        <v>0</v>
      </c>
      <c r="O283" s="361">
        <f>Ground!M49</f>
        <v>0</v>
      </c>
      <c r="P283" s="358">
        <f>Ground!N49</f>
        <v>25.5</v>
      </c>
      <c r="R283" s="358">
        <f>Ground!O49</f>
        <v>0</v>
      </c>
      <c r="T283" s="358">
        <f>Ground!P49</f>
        <v>25.5</v>
      </c>
      <c r="V283" s="365">
        <f>Ground!Q49</f>
        <v>0</v>
      </c>
      <c r="W283" s="358">
        <f>Ground!R49</f>
        <v>0</v>
      </c>
      <c r="X283" s="358">
        <f>Ground!S49</f>
        <v>0</v>
      </c>
      <c r="Y283" s="358">
        <f>Ground!T49</f>
        <v>0</v>
      </c>
    </row>
    <row r="284" spans="1:25" x14ac:dyDescent="0.35">
      <c r="A284">
        <v>283</v>
      </c>
      <c r="B284" t="s">
        <v>1350</v>
      </c>
      <c r="C284" t="s">
        <v>946</v>
      </c>
      <c r="D284" t="s">
        <v>15</v>
      </c>
      <c r="E284" t="s">
        <v>25</v>
      </c>
      <c r="F284" t="s">
        <v>1515</v>
      </c>
      <c r="G284" s="63" t="s">
        <v>1605</v>
      </c>
      <c r="H284" s="358">
        <v>5.95</v>
      </c>
      <c r="J284" s="357">
        <v>0.5</v>
      </c>
      <c r="L284" s="358">
        <v>6.45</v>
      </c>
      <c r="N284" s="361">
        <f>Ground!L51</f>
        <v>0</v>
      </c>
      <c r="O284" s="361">
        <f>Ground!M51</f>
        <v>0</v>
      </c>
      <c r="P284" s="358">
        <f>Ground!N51</f>
        <v>6.45</v>
      </c>
      <c r="R284" s="358">
        <f>Ground!O51</f>
        <v>0</v>
      </c>
      <c r="T284" s="358">
        <f>Ground!P51</f>
        <v>6.45</v>
      </c>
      <c r="V284" s="365">
        <f>Ground!Q51</f>
        <v>0</v>
      </c>
      <c r="W284" s="358">
        <f>Ground!R51</f>
        <v>0</v>
      </c>
      <c r="X284" s="358">
        <f>Ground!S51</f>
        <v>0</v>
      </c>
      <c r="Y284" s="358">
        <f>Ground!T51</f>
        <v>0</v>
      </c>
    </row>
    <row r="285" spans="1:25" x14ac:dyDescent="0.35">
      <c r="A285">
        <v>284</v>
      </c>
      <c r="B285" t="s">
        <v>1350</v>
      </c>
      <c r="C285" t="s">
        <v>946</v>
      </c>
      <c r="D285" t="s">
        <v>15</v>
      </c>
      <c r="E285" t="s">
        <v>25</v>
      </c>
      <c r="F285" t="s">
        <v>1516</v>
      </c>
      <c r="G285" s="63" t="s">
        <v>1606</v>
      </c>
      <c r="H285" s="358">
        <v>5.95</v>
      </c>
      <c r="J285" s="357">
        <v>0.5</v>
      </c>
      <c r="L285" s="358">
        <v>6.45</v>
      </c>
      <c r="N285" s="361">
        <f>Ground!L52</f>
        <v>0</v>
      </c>
      <c r="O285" s="361">
        <f>Ground!M52</f>
        <v>0</v>
      </c>
      <c r="P285" s="358">
        <f>Ground!N52</f>
        <v>6.45</v>
      </c>
      <c r="R285" s="358">
        <f>Ground!O52</f>
        <v>0</v>
      </c>
      <c r="T285" s="358">
        <f>Ground!P52</f>
        <v>6.45</v>
      </c>
      <c r="V285" s="365">
        <f>Ground!Q52</f>
        <v>0</v>
      </c>
      <c r="W285" s="358">
        <f>Ground!R52</f>
        <v>0</v>
      </c>
      <c r="X285" s="358">
        <f>Ground!S52</f>
        <v>0</v>
      </c>
      <c r="Y285" s="358">
        <f>Ground!T52</f>
        <v>0</v>
      </c>
    </row>
    <row r="286" spans="1:25" x14ac:dyDescent="0.35">
      <c r="A286">
        <v>285</v>
      </c>
      <c r="B286" t="s">
        <v>1350</v>
      </c>
      <c r="C286" t="s">
        <v>946</v>
      </c>
      <c r="D286" t="s">
        <v>15</v>
      </c>
      <c r="E286" t="s">
        <v>283</v>
      </c>
      <c r="F286" t="s">
        <v>1003</v>
      </c>
      <c r="G286" s="63" t="s">
        <v>1607</v>
      </c>
      <c r="H286" s="358">
        <v>1.05</v>
      </c>
      <c r="J286" s="357">
        <v>0</v>
      </c>
      <c r="L286" s="358">
        <v>1.05</v>
      </c>
      <c r="N286" s="361">
        <f>Ground!L55</f>
        <v>0</v>
      </c>
      <c r="O286" s="361">
        <f>Ground!M55</f>
        <v>0</v>
      </c>
      <c r="P286" s="358">
        <f>Ground!N55</f>
        <v>1.05</v>
      </c>
      <c r="R286" s="358">
        <f>Ground!O55</f>
        <v>0</v>
      </c>
      <c r="T286" s="358">
        <f>Ground!P55</f>
        <v>1.05</v>
      </c>
      <c r="V286" s="365">
        <f>Ground!Q55</f>
        <v>0</v>
      </c>
      <c r="W286" s="358">
        <f>Ground!R55</f>
        <v>0</v>
      </c>
      <c r="X286" s="358">
        <f>Ground!S55</f>
        <v>0</v>
      </c>
      <c r="Y286" s="358">
        <f>Ground!T55</f>
        <v>0</v>
      </c>
    </row>
    <row r="287" spans="1:25" x14ac:dyDescent="0.35">
      <c r="A287">
        <v>286</v>
      </c>
      <c r="B287" t="s">
        <v>1350</v>
      </c>
      <c r="C287" t="s">
        <v>946</v>
      </c>
      <c r="D287" t="s">
        <v>15</v>
      </c>
      <c r="E287" t="s">
        <v>283</v>
      </c>
      <c r="F287" t="s">
        <v>1005</v>
      </c>
      <c r="G287" s="63" t="s">
        <v>1608</v>
      </c>
      <c r="H287" s="358">
        <v>1.05</v>
      </c>
      <c r="J287" s="357">
        <v>0</v>
      </c>
      <c r="L287" s="358">
        <v>1.05</v>
      </c>
      <c r="N287" s="361">
        <f>Ground!L56</f>
        <v>0</v>
      </c>
      <c r="O287" s="361">
        <f>Ground!M56</f>
        <v>0</v>
      </c>
      <c r="P287" s="358">
        <f>Ground!N56</f>
        <v>1.05</v>
      </c>
      <c r="R287" s="358">
        <f>Ground!O56</f>
        <v>0</v>
      </c>
      <c r="T287" s="358">
        <f>Ground!P56</f>
        <v>1.05</v>
      </c>
      <c r="V287" s="365">
        <f>Ground!Q56</f>
        <v>0</v>
      </c>
      <c r="W287" s="358">
        <f>Ground!R56</f>
        <v>0</v>
      </c>
      <c r="X287" s="358">
        <f>Ground!S56</f>
        <v>0</v>
      </c>
      <c r="Y287" s="358">
        <f>Ground!T56</f>
        <v>0</v>
      </c>
    </row>
    <row r="288" spans="1:25" x14ac:dyDescent="0.35">
      <c r="A288">
        <v>287</v>
      </c>
      <c r="B288" t="s">
        <v>1350</v>
      </c>
      <c r="C288" t="s">
        <v>946</v>
      </c>
      <c r="D288" t="s">
        <v>15</v>
      </c>
      <c r="E288" t="s">
        <v>884</v>
      </c>
      <c r="F288" t="s">
        <v>884</v>
      </c>
      <c r="G288" s="63" t="s">
        <v>1609</v>
      </c>
      <c r="H288" s="358">
        <v>1775</v>
      </c>
      <c r="J288" s="357">
        <v>0</v>
      </c>
      <c r="L288" s="358">
        <v>1775</v>
      </c>
      <c r="N288" s="361">
        <f>Ground!L57</f>
        <v>0</v>
      </c>
      <c r="O288" s="361">
        <f>Ground!M57</f>
        <v>0</v>
      </c>
      <c r="P288" s="358">
        <f>Ground!N57</f>
        <v>1875</v>
      </c>
      <c r="R288" s="358">
        <f>Ground!O57</f>
        <v>0</v>
      </c>
      <c r="T288" s="358">
        <f>Ground!P57</f>
        <v>1875</v>
      </c>
      <c r="V288" s="365">
        <f>Ground!Q57</f>
        <v>0</v>
      </c>
      <c r="W288" s="358">
        <f>Ground!R57</f>
        <v>0</v>
      </c>
      <c r="X288" s="358">
        <f>Ground!S57</f>
        <v>0</v>
      </c>
      <c r="Y288" s="358">
        <f>Ground!T57</f>
        <v>0</v>
      </c>
    </row>
    <row r="289" spans="1:25" x14ac:dyDescent="0.35">
      <c r="A289">
        <v>288</v>
      </c>
      <c r="B289" t="s">
        <v>1351</v>
      </c>
      <c r="C289" t="s">
        <v>953</v>
      </c>
      <c r="D289" t="s">
        <v>15</v>
      </c>
      <c r="E289" t="s">
        <v>66</v>
      </c>
      <c r="F289" t="s">
        <v>290</v>
      </c>
      <c r="G289" s="63" t="s">
        <v>1520</v>
      </c>
      <c r="H289" s="358">
        <v>27</v>
      </c>
      <c r="J289" s="357">
        <v>2.5</v>
      </c>
      <c r="L289" s="358">
        <v>29.5</v>
      </c>
      <c r="N289" s="361">
        <f>Ground!U6</f>
        <v>0</v>
      </c>
      <c r="O289" s="361">
        <f>Ground!V6</f>
        <v>0</v>
      </c>
      <c r="P289" s="358">
        <f>Ground!W6</f>
        <v>29.5</v>
      </c>
      <c r="R289" s="358">
        <f>Ground!X6</f>
        <v>0</v>
      </c>
      <c r="T289" s="358">
        <f>Ground!Y6</f>
        <v>29.5</v>
      </c>
      <c r="V289" s="365">
        <f>Ground!Z6</f>
        <v>0</v>
      </c>
      <c r="W289" s="358">
        <f>Ground!AA6</f>
        <v>0</v>
      </c>
      <c r="X289" s="358">
        <f>Ground!AB6</f>
        <v>0</v>
      </c>
      <c r="Y289" s="358">
        <f>Ground!AC6</f>
        <v>0</v>
      </c>
    </row>
    <row r="290" spans="1:25" x14ac:dyDescent="0.35">
      <c r="A290">
        <v>289</v>
      </c>
      <c r="B290" t="s">
        <v>1351</v>
      </c>
      <c r="C290" t="s">
        <v>953</v>
      </c>
      <c r="D290" t="s">
        <v>15</v>
      </c>
      <c r="E290" t="s">
        <v>66</v>
      </c>
      <c r="F290" t="s">
        <v>67</v>
      </c>
      <c r="G290" s="63" t="s">
        <v>1519</v>
      </c>
      <c r="H290" s="358">
        <v>38</v>
      </c>
      <c r="J290" s="357">
        <v>2</v>
      </c>
      <c r="L290" s="358">
        <v>40</v>
      </c>
      <c r="N290" s="361">
        <f>Ground!U7</f>
        <v>0</v>
      </c>
      <c r="O290" s="361">
        <f>Ground!V7</f>
        <v>0</v>
      </c>
      <c r="P290" s="358">
        <f>Ground!W7</f>
        <v>40</v>
      </c>
      <c r="R290" s="358">
        <f>Ground!X7</f>
        <v>0</v>
      </c>
      <c r="T290" s="358">
        <f>Ground!Y7</f>
        <v>40</v>
      </c>
      <c r="V290" s="365">
        <f>Ground!Z7</f>
        <v>0</v>
      </c>
      <c r="W290" s="358">
        <f>Ground!AA7</f>
        <v>0</v>
      </c>
      <c r="X290" s="358">
        <f>Ground!AB7</f>
        <v>0</v>
      </c>
      <c r="Y290" s="358">
        <f>Ground!AC7</f>
        <v>0</v>
      </c>
    </row>
    <row r="291" spans="1:25" x14ac:dyDescent="0.35">
      <c r="A291">
        <v>290</v>
      </c>
      <c r="B291" t="s">
        <v>1351</v>
      </c>
      <c r="C291" t="s">
        <v>953</v>
      </c>
      <c r="D291" t="s">
        <v>15</v>
      </c>
      <c r="E291" t="s">
        <v>66</v>
      </c>
      <c r="F291" t="s">
        <v>68</v>
      </c>
      <c r="G291" s="63" t="s">
        <v>1518</v>
      </c>
      <c r="H291" s="358">
        <v>27</v>
      </c>
      <c r="J291" s="357">
        <v>2.5</v>
      </c>
      <c r="L291" s="358">
        <v>29.5</v>
      </c>
      <c r="N291" s="361">
        <f>Ground!U8</f>
        <v>0</v>
      </c>
      <c r="O291" s="361">
        <f>Ground!V8</f>
        <v>0</v>
      </c>
      <c r="P291" s="358">
        <f>Ground!W8</f>
        <v>29.5</v>
      </c>
      <c r="R291" s="358">
        <f>Ground!X8</f>
        <v>0</v>
      </c>
      <c r="T291" s="358">
        <f>Ground!Y8</f>
        <v>29.5</v>
      </c>
      <c r="V291" s="365">
        <f>Ground!Z8</f>
        <v>0</v>
      </c>
      <c r="W291" s="358">
        <f>Ground!AA8</f>
        <v>0</v>
      </c>
      <c r="X291" s="358">
        <f>Ground!AB8</f>
        <v>0</v>
      </c>
      <c r="Y291" s="358">
        <f>Ground!AC8</f>
        <v>0</v>
      </c>
    </row>
    <row r="292" spans="1:25" x14ac:dyDescent="0.35">
      <c r="A292">
        <v>291</v>
      </c>
      <c r="B292" t="s">
        <v>1351</v>
      </c>
      <c r="C292" t="s">
        <v>946</v>
      </c>
      <c r="D292" t="s">
        <v>15</v>
      </c>
      <c r="E292" t="s">
        <v>31</v>
      </c>
      <c r="F292" t="s">
        <v>31</v>
      </c>
      <c r="G292" s="63" t="s">
        <v>1572</v>
      </c>
      <c r="H292" s="358">
        <v>24</v>
      </c>
      <c r="J292" s="357">
        <v>1.5</v>
      </c>
      <c r="L292" s="358">
        <v>25.5</v>
      </c>
      <c r="N292" s="361">
        <f>Ground!U9</f>
        <v>0</v>
      </c>
      <c r="O292" s="361">
        <f>Ground!V9</f>
        <v>0</v>
      </c>
      <c r="P292" s="358">
        <f>Ground!W9</f>
        <v>25.5</v>
      </c>
      <c r="R292" s="358">
        <f>Ground!X9</f>
        <v>0</v>
      </c>
      <c r="T292" s="358">
        <f>Ground!Y9</f>
        <v>25.5</v>
      </c>
      <c r="V292" s="365">
        <f>Ground!Z9</f>
        <v>0</v>
      </c>
      <c r="W292" s="358">
        <f>Ground!AA9</f>
        <v>0</v>
      </c>
      <c r="X292" s="358">
        <f>Ground!AB9</f>
        <v>0</v>
      </c>
      <c r="Y292" s="358">
        <f>Ground!AC9</f>
        <v>0</v>
      </c>
    </row>
    <row r="293" spans="1:25" x14ac:dyDescent="0.35">
      <c r="A293">
        <v>292</v>
      </c>
      <c r="B293" t="s">
        <v>1351</v>
      </c>
      <c r="C293" t="s">
        <v>946</v>
      </c>
      <c r="D293" t="s">
        <v>15</v>
      </c>
      <c r="E293" t="s">
        <v>935</v>
      </c>
      <c r="F293" t="s">
        <v>935</v>
      </c>
      <c r="G293" s="63" t="s">
        <v>1573</v>
      </c>
      <c r="H293" s="358">
        <v>16.5</v>
      </c>
      <c r="J293" s="357">
        <v>0</v>
      </c>
      <c r="L293" s="358">
        <v>16.5</v>
      </c>
      <c r="N293" s="361">
        <f>Ground!U10</f>
        <v>0</v>
      </c>
      <c r="O293" s="361">
        <f>Ground!V10</f>
        <v>0</v>
      </c>
      <c r="P293" s="358">
        <f>Ground!W10</f>
        <v>16.5</v>
      </c>
      <c r="R293" s="358">
        <f>Ground!X10</f>
        <v>0</v>
      </c>
      <c r="T293" s="358">
        <f>Ground!Y10</f>
        <v>16.5</v>
      </c>
      <c r="V293" s="365">
        <f>Ground!Z10</f>
        <v>0</v>
      </c>
      <c r="W293" s="358">
        <f>Ground!AA10</f>
        <v>0</v>
      </c>
      <c r="X293" s="358">
        <f>Ground!AB10</f>
        <v>0</v>
      </c>
      <c r="Y293" s="358">
        <f>Ground!AC10</f>
        <v>0</v>
      </c>
    </row>
    <row r="294" spans="1:25" x14ac:dyDescent="0.35">
      <c r="A294">
        <v>293</v>
      </c>
      <c r="B294" t="s">
        <v>1351</v>
      </c>
      <c r="C294" t="s">
        <v>946</v>
      </c>
      <c r="D294" t="s">
        <v>15</v>
      </c>
      <c r="E294" t="s">
        <v>17</v>
      </c>
      <c r="F294" t="s">
        <v>17</v>
      </c>
      <c r="G294" s="63" t="s">
        <v>1574</v>
      </c>
      <c r="H294" s="358">
        <v>8.3000000000000007</v>
      </c>
      <c r="J294" s="357">
        <v>0.5</v>
      </c>
      <c r="L294" s="358">
        <v>8.8000000000000007</v>
      </c>
      <c r="N294" s="361">
        <f>Ground!U11</f>
        <v>0</v>
      </c>
      <c r="O294" s="361">
        <f>Ground!V11</f>
        <v>0</v>
      </c>
      <c r="P294" s="358">
        <f>Ground!W11</f>
        <v>8.8000000000000007</v>
      </c>
      <c r="R294" s="358">
        <f>Ground!X11</f>
        <v>0</v>
      </c>
      <c r="T294" s="358">
        <f>Ground!Y11</f>
        <v>8.8000000000000007</v>
      </c>
      <c r="V294" s="365">
        <f>Ground!Z11</f>
        <v>0</v>
      </c>
      <c r="W294" s="358">
        <f>Ground!AA11</f>
        <v>0</v>
      </c>
      <c r="X294" s="358">
        <f>Ground!AB11</f>
        <v>0</v>
      </c>
      <c r="Y294" s="358">
        <f>Ground!AC11</f>
        <v>0</v>
      </c>
    </row>
    <row r="295" spans="1:25" x14ac:dyDescent="0.35">
      <c r="A295">
        <v>294</v>
      </c>
      <c r="B295" t="s">
        <v>1351</v>
      </c>
      <c r="C295" t="s">
        <v>946</v>
      </c>
      <c r="D295" t="s">
        <v>15</v>
      </c>
      <c r="E295" t="s">
        <v>274</v>
      </c>
      <c r="F295" t="s">
        <v>905</v>
      </c>
      <c r="G295" s="63" t="s">
        <v>1575</v>
      </c>
      <c r="H295" s="358">
        <v>20</v>
      </c>
      <c r="J295" s="357">
        <v>0</v>
      </c>
      <c r="L295" s="358">
        <v>20</v>
      </c>
      <c r="N295" s="361">
        <f>Ground!U13</f>
        <v>0</v>
      </c>
      <c r="O295" s="361">
        <f>Ground!V13</f>
        <v>0</v>
      </c>
      <c r="P295" s="358">
        <f>Ground!W13</f>
        <v>20</v>
      </c>
      <c r="R295" s="358">
        <f>Ground!X13</f>
        <v>0</v>
      </c>
      <c r="T295" s="358">
        <f>Ground!Y13</f>
        <v>20</v>
      </c>
      <c r="V295" s="365">
        <f>Ground!Z13</f>
        <v>0</v>
      </c>
      <c r="W295" s="358">
        <f>Ground!AA13</f>
        <v>0</v>
      </c>
      <c r="X295" s="358">
        <f>Ground!AB13</f>
        <v>0</v>
      </c>
      <c r="Y295" s="358">
        <f>Ground!AC13</f>
        <v>0</v>
      </c>
    </row>
    <row r="296" spans="1:25" x14ac:dyDescent="0.35">
      <c r="A296">
        <v>295</v>
      </c>
      <c r="B296" t="s">
        <v>1351</v>
      </c>
      <c r="C296" t="s">
        <v>946</v>
      </c>
      <c r="D296" t="s">
        <v>15</v>
      </c>
      <c r="E296" t="s">
        <v>274</v>
      </c>
      <c r="F296" t="s">
        <v>908</v>
      </c>
      <c r="G296" s="63" t="s">
        <v>1576</v>
      </c>
      <c r="H296" s="358">
        <v>60</v>
      </c>
      <c r="J296" s="357">
        <v>0</v>
      </c>
      <c r="L296" s="358">
        <v>60</v>
      </c>
      <c r="N296" s="361">
        <f>Ground!U14</f>
        <v>0</v>
      </c>
      <c r="O296" s="361">
        <f>Ground!V14</f>
        <v>0</v>
      </c>
      <c r="P296" s="358">
        <f>Ground!W14</f>
        <v>60</v>
      </c>
      <c r="R296" s="358">
        <f>Ground!X14</f>
        <v>0</v>
      </c>
      <c r="T296" s="358">
        <f>Ground!Y14</f>
        <v>60</v>
      </c>
      <c r="V296" s="365">
        <f>Ground!Z14</f>
        <v>0</v>
      </c>
      <c r="W296" s="358">
        <f>Ground!AA14</f>
        <v>0</v>
      </c>
      <c r="X296" s="358">
        <f>Ground!AB14</f>
        <v>0</v>
      </c>
      <c r="Y296" s="358">
        <f>Ground!AC14</f>
        <v>0</v>
      </c>
    </row>
    <row r="297" spans="1:25" x14ac:dyDescent="0.35">
      <c r="A297">
        <v>296</v>
      </c>
      <c r="B297" t="s">
        <v>1351</v>
      </c>
      <c r="C297" t="s">
        <v>946</v>
      </c>
      <c r="D297" t="s">
        <v>15</v>
      </c>
      <c r="E297" t="s">
        <v>274</v>
      </c>
      <c r="F297" t="s">
        <v>906</v>
      </c>
      <c r="G297" s="63" t="s">
        <v>1577</v>
      </c>
      <c r="H297" s="358">
        <v>20</v>
      </c>
      <c r="J297" s="357">
        <v>0</v>
      </c>
      <c r="L297" s="358">
        <v>20</v>
      </c>
      <c r="N297" s="361">
        <f>Ground!U15</f>
        <v>0</v>
      </c>
      <c r="O297" s="361">
        <f>Ground!V15</f>
        <v>0</v>
      </c>
      <c r="P297" s="358">
        <f>Ground!W15</f>
        <v>20</v>
      </c>
      <c r="R297" s="358">
        <f>Ground!X15</f>
        <v>0</v>
      </c>
      <c r="T297" s="358">
        <f>Ground!Y15</f>
        <v>20</v>
      </c>
      <c r="V297" s="365">
        <f>Ground!Z15</f>
        <v>0</v>
      </c>
      <c r="W297" s="358">
        <f>Ground!AA15</f>
        <v>0</v>
      </c>
      <c r="X297" s="358">
        <f>Ground!AB15</f>
        <v>0</v>
      </c>
      <c r="Y297" s="358">
        <f>Ground!AC15</f>
        <v>0</v>
      </c>
    </row>
    <row r="298" spans="1:25" x14ac:dyDescent="0.35">
      <c r="A298">
        <v>297</v>
      </c>
      <c r="B298" t="s">
        <v>1351</v>
      </c>
      <c r="C298" t="s">
        <v>946</v>
      </c>
      <c r="D298" t="s">
        <v>15</v>
      </c>
      <c r="E298" t="s">
        <v>274</v>
      </c>
      <c r="F298" t="s">
        <v>909</v>
      </c>
      <c r="G298" s="63" t="s">
        <v>1578</v>
      </c>
      <c r="H298" s="358">
        <v>47</v>
      </c>
      <c r="J298" s="357">
        <v>0</v>
      </c>
      <c r="L298" s="358">
        <v>47</v>
      </c>
      <c r="N298" s="361">
        <f>Ground!U16</f>
        <v>0</v>
      </c>
      <c r="O298" s="361">
        <f>Ground!V16</f>
        <v>0</v>
      </c>
      <c r="P298" s="358">
        <f>Ground!W16</f>
        <v>47</v>
      </c>
      <c r="R298" s="358">
        <f>Ground!X16</f>
        <v>0</v>
      </c>
      <c r="T298" s="358">
        <f>Ground!Y16</f>
        <v>47</v>
      </c>
      <c r="V298" s="365">
        <f>Ground!Z16</f>
        <v>0</v>
      </c>
      <c r="W298" s="358">
        <f>Ground!AA16</f>
        <v>0</v>
      </c>
      <c r="X298" s="358">
        <f>Ground!AB16</f>
        <v>0</v>
      </c>
      <c r="Y298" s="358">
        <f>Ground!AC16</f>
        <v>0</v>
      </c>
    </row>
    <row r="299" spans="1:25" x14ac:dyDescent="0.35">
      <c r="A299">
        <v>298</v>
      </c>
      <c r="B299" t="s">
        <v>1351</v>
      </c>
      <c r="C299" t="s">
        <v>946</v>
      </c>
      <c r="D299" t="s">
        <v>15</v>
      </c>
      <c r="E299" t="s">
        <v>274</v>
      </c>
      <c r="F299" t="s">
        <v>907</v>
      </c>
      <c r="G299" s="63" t="s">
        <v>1579</v>
      </c>
      <c r="H299" s="358">
        <v>14.5</v>
      </c>
      <c r="J299" s="357">
        <v>0</v>
      </c>
      <c r="L299" s="358">
        <v>14.5</v>
      </c>
      <c r="N299" s="361">
        <f>Ground!U17</f>
        <v>0</v>
      </c>
      <c r="O299" s="361">
        <f>Ground!V17</f>
        <v>0</v>
      </c>
      <c r="P299" s="358">
        <f>Ground!W17</f>
        <v>14.5</v>
      </c>
      <c r="R299" s="358">
        <f>Ground!X17</f>
        <v>0</v>
      </c>
      <c r="T299" s="358">
        <f>Ground!Y17</f>
        <v>14.5</v>
      </c>
      <c r="V299" s="365">
        <f>Ground!Z17</f>
        <v>0</v>
      </c>
      <c r="W299" s="358">
        <f>Ground!AA17</f>
        <v>0</v>
      </c>
      <c r="X299" s="358">
        <f>Ground!AB17</f>
        <v>0</v>
      </c>
      <c r="Y299" s="358">
        <f>Ground!AC17</f>
        <v>0</v>
      </c>
    </row>
    <row r="300" spans="1:25" x14ac:dyDescent="0.35">
      <c r="A300">
        <v>299</v>
      </c>
      <c r="B300" t="s">
        <v>1351</v>
      </c>
      <c r="C300" t="s">
        <v>946</v>
      </c>
      <c r="D300" t="s">
        <v>15</v>
      </c>
      <c r="E300" t="s">
        <v>883</v>
      </c>
      <c r="F300" t="s">
        <v>300</v>
      </c>
      <c r="G300" s="63" t="s">
        <v>1580</v>
      </c>
      <c r="H300" s="358">
        <v>4.6500000000000004</v>
      </c>
      <c r="J300" s="357">
        <v>0.29999999999999982</v>
      </c>
      <c r="L300" s="358">
        <v>4.95</v>
      </c>
      <c r="N300" s="361">
        <f>Ground!U19</f>
        <v>0</v>
      </c>
      <c r="O300" s="361">
        <f>Ground!V19</f>
        <v>0</v>
      </c>
      <c r="P300" s="358">
        <f>Ground!W19</f>
        <v>4.95</v>
      </c>
      <c r="R300" s="358">
        <f>Ground!X19</f>
        <v>0</v>
      </c>
      <c r="T300" s="358">
        <f>Ground!Y19</f>
        <v>4.95</v>
      </c>
      <c r="V300" s="365">
        <f>Ground!Z19</f>
        <v>0</v>
      </c>
      <c r="W300" s="358">
        <f>Ground!AA19</f>
        <v>0</v>
      </c>
      <c r="X300" s="358">
        <f>Ground!AB19</f>
        <v>0</v>
      </c>
      <c r="Y300" s="358">
        <f>Ground!AC19</f>
        <v>0</v>
      </c>
    </row>
    <row r="301" spans="1:25" x14ac:dyDescent="0.35">
      <c r="A301">
        <v>300</v>
      </c>
      <c r="B301" t="s">
        <v>1351</v>
      </c>
      <c r="C301" t="s">
        <v>946</v>
      </c>
      <c r="D301" t="s">
        <v>15</v>
      </c>
      <c r="E301" t="s">
        <v>883</v>
      </c>
      <c r="F301" t="s">
        <v>301</v>
      </c>
      <c r="G301" s="63" t="s">
        <v>1581</v>
      </c>
      <c r="H301" s="358">
        <v>10.5</v>
      </c>
      <c r="J301" s="357">
        <v>0.75</v>
      </c>
      <c r="L301" s="358">
        <v>11.25</v>
      </c>
      <c r="N301" s="361">
        <f>Ground!U20</f>
        <v>0</v>
      </c>
      <c r="O301" s="361">
        <f>Ground!V20</f>
        <v>0</v>
      </c>
      <c r="P301" s="358">
        <f>Ground!W20</f>
        <v>11.25</v>
      </c>
      <c r="R301" s="358">
        <f>Ground!X20</f>
        <v>0</v>
      </c>
      <c r="T301" s="358">
        <f>Ground!Y20</f>
        <v>11.25</v>
      </c>
      <c r="V301" s="365">
        <f>Ground!Z20</f>
        <v>0</v>
      </c>
      <c r="W301" s="358">
        <f>Ground!AA20</f>
        <v>0</v>
      </c>
      <c r="X301" s="358">
        <f>Ground!AB20</f>
        <v>0</v>
      </c>
      <c r="Y301" s="358">
        <f>Ground!AC20</f>
        <v>0</v>
      </c>
    </row>
    <row r="302" spans="1:25" x14ac:dyDescent="0.35">
      <c r="A302">
        <v>301</v>
      </c>
      <c r="B302" t="s">
        <v>1351</v>
      </c>
      <c r="C302" t="s">
        <v>946</v>
      </c>
      <c r="D302" t="s">
        <v>15</v>
      </c>
      <c r="E302" t="s">
        <v>883</v>
      </c>
      <c r="F302" t="s">
        <v>299</v>
      </c>
      <c r="G302" s="63" t="s">
        <v>1582</v>
      </c>
      <c r="H302" s="358">
        <v>24</v>
      </c>
      <c r="J302" s="357">
        <v>1.5</v>
      </c>
      <c r="L302" s="358">
        <v>25.5</v>
      </c>
      <c r="N302" s="361">
        <f>Ground!U21</f>
        <v>0</v>
      </c>
      <c r="O302" s="361">
        <f>Ground!V21</f>
        <v>0</v>
      </c>
      <c r="P302" s="358">
        <f>Ground!W21</f>
        <v>25.5</v>
      </c>
      <c r="R302" s="358">
        <f>Ground!X21</f>
        <v>0</v>
      </c>
      <c r="T302" s="358">
        <f>Ground!Y21</f>
        <v>25.5</v>
      </c>
      <c r="V302" s="365">
        <f>Ground!Z21</f>
        <v>0</v>
      </c>
      <c r="W302" s="358">
        <f>Ground!AA21</f>
        <v>0</v>
      </c>
      <c r="X302" s="358">
        <f>Ground!AB21</f>
        <v>0</v>
      </c>
      <c r="Y302" s="358">
        <f>Ground!AC21</f>
        <v>0</v>
      </c>
    </row>
    <row r="303" spans="1:25" x14ac:dyDescent="0.35">
      <c r="A303">
        <v>302</v>
      </c>
      <c r="B303" t="s">
        <v>1351</v>
      </c>
      <c r="C303" t="s">
        <v>946</v>
      </c>
      <c r="D303" t="s">
        <v>15</v>
      </c>
      <c r="E303" t="s">
        <v>28</v>
      </c>
      <c r="F303" t="s">
        <v>28</v>
      </c>
      <c r="G303" s="63" t="s">
        <v>1583</v>
      </c>
      <c r="H303" s="358">
        <v>1.5</v>
      </c>
      <c r="J303" s="357">
        <v>0.14999999999999991</v>
      </c>
      <c r="L303" s="358">
        <v>1.65</v>
      </c>
      <c r="N303" s="361">
        <f>Ground!U22</f>
        <v>0</v>
      </c>
      <c r="O303" s="361">
        <f>Ground!V22</f>
        <v>0</v>
      </c>
      <c r="P303" s="358">
        <f>Ground!W22</f>
        <v>1.65</v>
      </c>
      <c r="R303" s="358">
        <f>Ground!X22</f>
        <v>0</v>
      </c>
      <c r="T303" s="358">
        <f>Ground!Y22</f>
        <v>1.65</v>
      </c>
      <c r="V303" s="365">
        <f>Ground!Z22</f>
        <v>0</v>
      </c>
    </row>
    <row r="304" spans="1:25" x14ac:dyDescent="0.35">
      <c r="A304">
        <v>303</v>
      </c>
      <c r="B304" t="s">
        <v>1351</v>
      </c>
      <c r="C304" t="s">
        <v>946</v>
      </c>
      <c r="D304" t="s">
        <v>15</v>
      </c>
      <c r="E304" t="s">
        <v>69</v>
      </c>
      <c r="F304" t="s">
        <v>281</v>
      </c>
      <c r="G304" s="63" t="s">
        <v>1584</v>
      </c>
      <c r="H304" s="358">
        <v>4.2</v>
      </c>
      <c r="J304" s="357">
        <v>0.25</v>
      </c>
      <c r="L304" s="358">
        <v>4.45</v>
      </c>
      <c r="N304" s="361">
        <f>Ground!U24</f>
        <v>0</v>
      </c>
      <c r="O304" s="361">
        <f>Ground!V24</f>
        <v>0</v>
      </c>
      <c r="P304" s="358">
        <f>Ground!W24</f>
        <v>4.45</v>
      </c>
      <c r="R304" s="358">
        <f>Ground!X24</f>
        <v>0</v>
      </c>
      <c r="T304" s="358">
        <f>Ground!Y24</f>
        <v>4.45</v>
      </c>
      <c r="V304" s="365">
        <f>Ground!Z24</f>
        <v>0</v>
      </c>
      <c r="W304" s="358">
        <f>Ground!AA24</f>
        <v>0</v>
      </c>
      <c r="X304" s="358">
        <f>Ground!AB24</f>
        <v>0</v>
      </c>
      <c r="Y304" s="358">
        <f>Ground!AC24</f>
        <v>0</v>
      </c>
    </row>
    <row r="305" spans="1:25" x14ac:dyDescent="0.35">
      <c r="A305">
        <v>304</v>
      </c>
      <c r="B305" t="s">
        <v>1351</v>
      </c>
      <c r="C305" t="s">
        <v>946</v>
      </c>
      <c r="D305" t="s">
        <v>15</v>
      </c>
      <c r="E305" t="s">
        <v>69</v>
      </c>
      <c r="F305" t="s">
        <v>306</v>
      </c>
      <c r="G305" s="63" t="s">
        <v>1585</v>
      </c>
      <c r="H305" s="358">
        <v>5.25</v>
      </c>
      <c r="J305" s="357">
        <v>0.29999999999999982</v>
      </c>
      <c r="L305" s="358">
        <v>5.55</v>
      </c>
      <c r="N305" s="361">
        <f>Ground!U25</f>
        <v>0</v>
      </c>
      <c r="O305" s="361">
        <f>Ground!V25</f>
        <v>0</v>
      </c>
      <c r="P305" s="358">
        <f>Ground!W25</f>
        <v>5.55</v>
      </c>
      <c r="R305" s="358">
        <f>Ground!X25</f>
        <v>0</v>
      </c>
      <c r="T305" s="358">
        <f>Ground!Y25</f>
        <v>5.55</v>
      </c>
      <c r="V305" s="365">
        <f>Ground!Z25</f>
        <v>0</v>
      </c>
      <c r="W305" s="358">
        <f>Ground!AA25</f>
        <v>0</v>
      </c>
      <c r="X305" s="358">
        <f>Ground!AB25</f>
        <v>0</v>
      </c>
      <c r="Y305" s="358">
        <f>Ground!AC25</f>
        <v>0</v>
      </c>
    </row>
    <row r="306" spans="1:25" x14ac:dyDescent="0.35">
      <c r="A306">
        <v>305</v>
      </c>
      <c r="B306" t="s">
        <v>1351</v>
      </c>
      <c r="C306" t="s">
        <v>946</v>
      </c>
      <c r="D306" t="s">
        <v>15</v>
      </c>
      <c r="E306" t="s">
        <v>69</v>
      </c>
      <c r="F306" t="s">
        <v>951</v>
      </c>
      <c r="G306" s="63" t="s">
        <v>1586</v>
      </c>
      <c r="H306" s="358">
        <v>15.5</v>
      </c>
      <c r="J306" s="357">
        <v>1.25</v>
      </c>
      <c r="L306" s="358">
        <v>16.75</v>
      </c>
      <c r="N306" s="361">
        <f>Ground!U26</f>
        <v>0</v>
      </c>
      <c r="O306" s="361">
        <f>Ground!V26</f>
        <v>0</v>
      </c>
      <c r="P306" s="358">
        <f>Ground!W26</f>
        <v>16.75</v>
      </c>
      <c r="R306" s="358">
        <f>Ground!X26</f>
        <v>0</v>
      </c>
      <c r="T306" s="358">
        <f>Ground!Y26</f>
        <v>16.75</v>
      </c>
      <c r="V306" s="365">
        <f>Ground!Z26</f>
        <v>0</v>
      </c>
      <c r="W306" s="358">
        <f>Ground!AA26</f>
        <v>0</v>
      </c>
      <c r="X306" s="358">
        <f>Ground!AB26</f>
        <v>0</v>
      </c>
      <c r="Y306" s="358">
        <f>Ground!AC26</f>
        <v>0</v>
      </c>
    </row>
    <row r="307" spans="1:25" x14ac:dyDescent="0.35">
      <c r="A307">
        <v>306</v>
      </c>
      <c r="B307" t="s">
        <v>1351</v>
      </c>
      <c r="C307" t="s">
        <v>946</v>
      </c>
      <c r="D307" t="s">
        <v>15</v>
      </c>
      <c r="E307" t="s">
        <v>69</v>
      </c>
      <c r="F307" t="s">
        <v>282</v>
      </c>
      <c r="G307" s="63" t="s">
        <v>1587</v>
      </c>
      <c r="H307" s="358">
        <v>6.2</v>
      </c>
      <c r="J307" s="357">
        <v>0.39999999999999947</v>
      </c>
      <c r="L307" s="358">
        <v>6.6</v>
      </c>
      <c r="N307" s="361">
        <f>Ground!U27</f>
        <v>0</v>
      </c>
      <c r="O307" s="361">
        <f>Ground!V27</f>
        <v>0</v>
      </c>
      <c r="P307" s="358">
        <f>Ground!W27</f>
        <v>6.6</v>
      </c>
      <c r="R307" s="358">
        <f>Ground!X27</f>
        <v>0</v>
      </c>
      <c r="T307" s="358">
        <f>Ground!Y27</f>
        <v>6.6</v>
      </c>
      <c r="V307" s="365">
        <f>Ground!Z27</f>
        <v>0</v>
      </c>
      <c r="W307" s="358">
        <f>Ground!AA27</f>
        <v>0</v>
      </c>
      <c r="X307" s="358">
        <f>Ground!AB27</f>
        <v>0</v>
      </c>
      <c r="Y307" s="358">
        <f>Ground!AC27</f>
        <v>0</v>
      </c>
    </row>
    <row r="308" spans="1:25" x14ac:dyDescent="0.35">
      <c r="A308">
        <v>307</v>
      </c>
      <c r="B308" t="s">
        <v>1351</v>
      </c>
      <c r="C308" t="s">
        <v>946</v>
      </c>
      <c r="D308" t="s">
        <v>15</v>
      </c>
      <c r="E308" t="s">
        <v>69</v>
      </c>
      <c r="F308" t="s">
        <v>307</v>
      </c>
      <c r="G308" s="63" t="s">
        <v>1588</v>
      </c>
      <c r="H308" s="358">
        <v>8.3000000000000007</v>
      </c>
      <c r="J308" s="357">
        <v>0.5</v>
      </c>
      <c r="L308" s="358">
        <v>8.8000000000000007</v>
      </c>
      <c r="N308" s="361">
        <f>Ground!U28</f>
        <v>0</v>
      </c>
      <c r="O308" s="361">
        <f>Ground!V28</f>
        <v>0</v>
      </c>
      <c r="P308" s="358">
        <f>Ground!W28</f>
        <v>8.8000000000000007</v>
      </c>
      <c r="R308" s="358">
        <f>Ground!X28</f>
        <v>0</v>
      </c>
      <c r="T308" s="358">
        <f>Ground!Y28</f>
        <v>8.8000000000000007</v>
      </c>
      <c r="V308" s="365">
        <f>Ground!Z28</f>
        <v>0</v>
      </c>
      <c r="W308" s="358">
        <f>Ground!AA28</f>
        <v>0</v>
      </c>
      <c r="X308" s="358">
        <f>Ground!AB28</f>
        <v>0</v>
      </c>
      <c r="Y308" s="358">
        <f>Ground!AC28</f>
        <v>0</v>
      </c>
    </row>
    <row r="309" spans="1:25" x14ac:dyDescent="0.35">
      <c r="A309">
        <v>308</v>
      </c>
      <c r="B309" t="s">
        <v>1351</v>
      </c>
      <c r="C309" t="s">
        <v>946</v>
      </c>
      <c r="D309" t="s">
        <v>15</v>
      </c>
      <c r="E309" t="s">
        <v>69</v>
      </c>
      <c r="F309" t="s">
        <v>952</v>
      </c>
      <c r="G309" s="63" t="s">
        <v>1589</v>
      </c>
      <c r="H309" s="358">
        <v>15.5</v>
      </c>
      <c r="J309" s="357">
        <v>1.25</v>
      </c>
      <c r="L309" s="358">
        <v>16.75</v>
      </c>
      <c r="N309" s="361">
        <f>Ground!U29</f>
        <v>0</v>
      </c>
      <c r="O309" s="361">
        <f>Ground!V29</f>
        <v>0</v>
      </c>
      <c r="P309" s="358">
        <f>Ground!W29</f>
        <v>16.75</v>
      </c>
      <c r="R309" s="358">
        <f>Ground!X29</f>
        <v>0</v>
      </c>
      <c r="T309" s="358">
        <f>Ground!Y29</f>
        <v>16.75</v>
      </c>
      <c r="V309" s="365">
        <f>Ground!Z29</f>
        <v>0</v>
      </c>
      <c r="W309" s="358">
        <f>Ground!AA29</f>
        <v>0</v>
      </c>
      <c r="X309" s="358">
        <f>Ground!AB29</f>
        <v>0</v>
      </c>
      <c r="Y309" s="358">
        <f>Ground!AC29</f>
        <v>0</v>
      </c>
    </row>
    <row r="310" spans="1:25" x14ac:dyDescent="0.35">
      <c r="A310">
        <v>309</v>
      </c>
      <c r="B310" t="s">
        <v>1351</v>
      </c>
      <c r="C310" t="s">
        <v>946</v>
      </c>
      <c r="D310" t="s">
        <v>15</v>
      </c>
      <c r="E310" t="s">
        <v>69</v>
      </c>
      <c r="F310" t="s">
        <v>304</v>
      </c>
      <c r="G310" s="63" t="s">
        <v>1590</v>
      </c>
      <c r="H310" s="358">
        <v>43</v>
      </c>
      <c r="J310" s="357">
        <v>3</v>
      </c>
      <c r="L310" s="358">
        <v>46</v>
      </c>
      <c r="N310" s="361">
        <f>Ground!U30</f>
        <v>0</v>
      </c>
      <c r="O310" s="361">
        <f>Ground!V30</f>
        <v>0</v>
      </c>
      <c r="P310" s="358">
        <f>Ground!W30</f>
        <v>46</v>
      </c>
      <c r="R310" s="358">
        <f>Ground!X30</f>
        <v>0</v>
      </c>
      <c r="T310" s="358">
        <f>Ground!Y30</f>
        <v>46</v>
      </c>
      <c r="V310" s="365">
        <f>Ground!Z30</f>
        <v>0</v>
      </c>
      <c r="W310" s="358">
        <f>Ground!AA30</f>
        <v>0</v>
      </c>
      <c r="X310" s="358">
        <f>Ground!AB30</f>
        <v>0</v>
      </c>
      <c r="Y310" s="358">
        <f>Ground!AC30</f>
        <v>0</v>
      </c>
    </row>
    <row r="311" spans="1:25" x14ac:dyDescent="0.35">
      <c r="A311">
        <v>310</v>
      </c>
      <c r="B311" t="s">
        <v>1351</v>
      </c>
      <c r="C311" t="s">
        <v>946</v>
      </c>
      <c r="D311" t="s">
        <v>15</v>
      </c>
      <c r="E311" t="s">
        <v>69</v>
      </c>
      <c r="F311" t="s">
        <v>305</v>
      </c>
      <c r="G311" s="63" t="s">
        <v>1591</v>
      </c>
      <c r="H311" s="358">
        <v>43</v>
      </c>
      <c r="J311" s="357">
        <v>3</v>
      </c>
      <c r="L311" s="358">
        <v>46</v>
      </c>
      <c r="N311" s="361">
        <f>Ground!U31</f>
        <v>0</v>
      </c>
      <c r="O311" s="361">
        <f>Ground!V31</f>
        <v>0</v>
      </c>
      <c r="P311" s="358">
        <f>Ground!W31</f>
        <v>46</v>
      </c>
      <c r="R311" s="358">
        <f>Ground!X31</f>
        <v>0</v>
      </c>
      <c r="T311" s="358">
        <f>Ground!Y31</f>
        <v>46</v>
      </c>
      <c r="V311" s="365">
        <f>Ground!Z31</f>
        <v>0</v>
      </c>
      <c r="W311" s="358">
        <f>Ground!AA31</f>
        <v>0</v>
      </c>
      <c r="X311" s="358">
        <f>Ground!AB31</f>
        <v>0</v>
      </c>
      <c r="Y311" s="358">
        <f>Ground!AC31</f>
        <v>0</v>
      </c>
    </row>
    <row r="312" spans="1:25" x14ac:dyDescent="0.35">
      <c r="A312">
        <v>311</v>
      </c>
      <c r="B312" t="s">
        <v>1351</v>
      </c>
      <c r="C312" t="s">
        <v>946</v>
      </c>
      <c r="D312" t="s">
        <v>15</v>
      </c>
      <c r="E312" t="s">
        <v>69</v>
      </c>
      <c r="F312" t="s">
        <v>308</v>
      </c>
      <c r="G312" s="63" t="s">
        <v>1592</v>
      </c>
      <c r="H312" s="358">
        <v>14.5</v>
      </c>
      <c r="J312" s="357">
        <v>1.75</v>
      </c>
      <c r="L312" s="358">
        <v>16.25</v>
      </c>
      <c r="N312" s="361">
        <f>Ground!U32</f>
        <v>0</v>
      </c>
      <c r="O312" s="361">
        <f>Ground!V32</f>
        <v>0</v>
      </c>
      <c r="P312" s="358">
        <f>Ground!W32</f>
        <v>16.25</v>
      </c>
      <c r="R312" s="358">
        <f>Ground!X32</f>
        <v>0</v>
      </c>
      <c r="T312" s="358">
        <f>Ground!Y32</f>
        <v>16.25</v>
      </c>
      <c r="V312" s="365">
        <f>Ground!Z32</f>
        <v>0</v>
      </c>
      <c r="W312" s="358">
        <f>Ground!AA32</f>
        <v>0</v>
      </c>
      <c r="X312" s="358">
        <f>Ground!AB32</f>
        <v>0</v>
      </c>
      <c r="Y312" s="358">
        <f>Ground!AC32</f>
        <v>0</v>
      </c>
    </row>
    <row r="313" spans="1:25" x14ac:dyDescent="0.35">
      <c r="A313">
        <v>312</v>
      </c>
      <c r="B313" t="s">
        <v>1351</v>
      </c>
      <c r="C313" t="s">
        <v>946</v>
      </c>
      <c r="D313" t="s">
        <v>15</v>
      </c>
      <c r="E313" t="s">
        <v>69</v>
      </c>
      <c r="F313" t="s">
        <v>309</v>
      </c>
      <c r="G313" s="63" t="s">
        <v>1593</v>
      </c>
      <c r="H313" s="358">
        <v>14.5</v>
      </c>
      <c r="J313" s="357">
        <v>1.75</v>
      </c>
      <c r="L313" s="358">
        <v>16.25</v>
      </c>
      <c r="N313" s="361">
        <f>Ground!U33</f>
        <v>0</v>
      </c>
      <c r="O313" s="361">
        <f>Ground!V33</f>
        <v>0</v>
      </c>
      <c r="P313" s="358">
        <f>Ground!W33</f>
        <v>16.25</v>
      </c>
      <c r="R313" s="358">
        <f>Ground!X33</f>
        <v>0</v>
      </c>
      <c r="T313" s="358">
        <f>Ground!Y33</f>
        <v>16.25</v>
      </c>
      <c r="V313" s="365">
        <f>Ground!Z33</f>
        <v>0</v>
      </c>
      <c r="W313" s="358">
        <f>Ground!AA33</f>
        <v>0</v>
      </c>
      <c r="X313" s="358">
        <f>Ground!AB33</f>
        <v>0</v>
      </c>
      <c r="Y313" s="358">
        <f>Ground!AC33</f>
        <v>0</v>
      </c>
    </row>
    <row r="314" spans="1:25" x14ac:dyDescent="0.35">
      <c r="A314">
        <v>313</v>
      </c>
      <c r="B314" t="s">
        <v>1351</v>
      </c>
      <c r="C314" t="s">
        <v>946</v>
      </c>
      <c r="D314" t="s">
        <v>15</v>
      </c>
      <c r="E314" t="s">
        <v>69</v>
      </c>
      <c r="F314" t="s">
        <v>310</v>
      </c>
      <c r="G314" s="63" t="s">
        <v>1594</v>
      </c>
      <c r="H314" s="358">
        <v>1.1000000000000001</v>
      </c>
      <c r="J314" s="357">
        <v>0</v>
      </c>
      <c r="L314" s="358">
        <v>1.1000000000000001</v>
      </c>
      <c r="N314" s="361">
        <f>Ground!U34</f>
        <v>0</v>
      </c>
      <c r="O314" s="361">
        <f>Ground!V34</f>
        <v>0</v>
      </c>
      <c r="P314" s="358">
        <f>Ground!W34</f>
        <v>1.1000000000000001</v>
      </c>
      <c r="R314" s="358">
        <f>Ground!X34</f>
        <v>0</v>
      </c>
      <c r="T314" s="358">
        <f>Ground!Y34</f>
        <v>1.1000000000000001</v>
      </c>
      <c r="V314" s="365">
        <f>Ground!Z34</f>
        <v>0</v>
      </c>
      <c r="W314" s="358">
        <f>Ground!AA34</f>
        <v>0</v>
      </c>
      <c r="X314" s="358">
        <f>Ground!AB34</f>
        <v>0</v>
      </c>
      <c r="Y314" s="358">
        <f>Ground!AC34</f>
        <v>0</v>
      </c>
    </row>
    <row r="315" spans="1:25" x14ac:dyDescent="0.35">
      <c r="A315">
        <v>314</v>
      </c>
      <c r="B315" t="s">
        <v>1351</v>
      </c>
      <c r="C315" t="s">
        <v>946</v>
      </c>
      <c r="D315" t="s">
        <v>15</v>
      </c>
      <c r="E315" t="s">
        <v>69</v>
      </c>
      <c r="F315" t="s">
        <v>311</v>
      </c>
      <c r="G315" s="63" t="s">
        <v>1595</v>
      </c>
      <c r="H315" s="358">
        <v>1.1000000000000001</v>
      </c>
      <c r="J315" s="357">
        <v>0</v>
      </c>
      <c r="L315" s="358">
        <v>1.1000000000000001</v>
      </c>
      <c r="N315" s="361">
        <f>Ground!U35</f>
        <v>0</v>
      </c>
      <c r="O315" s="361">
        <f>Ground!V35</f>
        <v>0</v>
      </c>
      <c r="P315" s="358">
        <f>Ground!W35</f>
        <v>1.1000000000000001</v>
      </c>
      <c r="R315" s="358">
        <f>Ground!X35</f>
        <v>0</v>
      </c>
      <c r="T315" s="358">
        <f>Ground!Y35</f>
        <v>1.1000000000000001</v>
      </c>
      <c r="V315" s="365">
        <f>Ground!Z35</f>
        <v>0</v>
      </c>
      <c r="W315" s="358">
        <f>Ground!AA35</f>
        <v>0</v>
      </c>
      <c r="X315" s="358">
        <f>Ground!AB35</f>
        <v>0</v>
      </c>
      <c r="Y315" s="358">
        <f>Ground!AC35</f>
        <v>0</v>
      </c>
    </row>
    <row r="316" spans="1:25" x14ac:dyDescent="0.35">
      <c r="A316">
        <v>315</v>
      </c>
      <c r="B316" t="s">
        <v>1351</v>
      </c>
      <c r="C316" t="s">
        <v>946</v>
      </c>
      <c r="D316" t="s">
        <v>15</v>
      </c>
      <c r="E316" t="s">
        <v>69</v>
      </c>
      <c r="F316" t="s">
        <v>881</v>
      </c>
      <c r="G316" s="63" t="s">
        <v>1596</v>
      </c>
      <c r="H316" s="358">
        <v>6.2</v>
      </c>
      <c r="J316" s="357">
        <v>0.39999999999999947</v>
      </c>
      <c r="L316" s="358">
        <v>6.6</v>
      </c>
      <c r="N316" s="361">
        <f>Ground!U36</f>
        <v>0</v>
      </c>
      <c r="O316" s="361">
        <f>Ground!V36</f>
        <v>0</v>
      </c>
      <c r="P316" s="358">
        <f>Ground!W36</f>
        <v>6.6</v>
      </c>
      <c r="R316" s="358">
        <f>Ground!X36</f>
        <v>0</v>
      </c>
      <c r="T316" s="358">
        <f>Ground!Y36</f>
        <v>6.6</v>
      </c>
      <c r="V316" s="365">
        <f>Ground!Z36</f>
        <v>0</v>
      </c>
      <c r="W316" s="358">
        <f>Ground!AA36</f>
        <v>0</v>
      </c>
      <c r="X316" s="358">
        <f>Ground!AB36</f>
        <v>0</v>
      </c>
      <c r="Y316" s="358">
        <f>Ground!AC36</f>
        <v>0</v>
      </c>
    </row>
    <row r="317" spans="1:25" x14ac:dyDescent="0.35">
      <c r="A317">
        <v>316</v>
      </c>
      <c r="B317" t="s">
        <v>1351</v>
      </c>
      <c r="C317" t="s">
        <v>946</v>
      </c>
      <c r="D317" t="s">
        <v>15</v>
      </c>
      <c r="E317" t="s">
        <v>69</v>
      </c>
      <c r="F317" t="s">
        <v>882</v>
      </c>
      <c r="G317" s="63" t="s">
        <v>1597</v>
      </c>
      <c r="H317" s="358">
        <v>8.3000000000000007</v>
      </c>
      <c r="J317" s="357">
        <v>0.5</v>
      </c>
      <c r="L317" s="358">
        <v>8.8000000000000007</v>
      </c>
      <c r="N317" s="361">
        <f>Ground!U37</f>
        <v>0</v>
      </c>
      <c r="O317" s="361">
        <f>Ground!V37</f>
        <v>0</v>
      </c>
      <c r="P317" s="358">
        <f>Ground!W37</f>
        <v>8.8000000000000007</v>
      </c>
      <c r="R317" s="358">
        <f>Ground!X37</f>
        <v>0</v>
      </c>
      <c r="T317" s="358">
        <f>Ground!Y37</f>
        <v>8.8000000000000007</v>
      </c>
      <c r="V317" s="365">
        <f>Ground!Z37</f>
        <v>0</v>
      </c>
      <c r="W317" s="358">
        <f>Ground!AA37</f>
        <v>0</v>
      </c>
      <c r="X317" s="358">
        <f>Ground!AB37</f>
        <v>0</v>
      </c>
      <c r="Y317" s="358">
        <f>Ground!AC37</f>
        <v>0</v>
      </c>
    </row>
    <row r="318" spans="1:25" x14ac:dyDescent="0.35">
      <c r="A318">
        <v>317</v>
      </c>
      <c r="B318" t="s">
        <v>1351</v>
      </c>
      <c r="C318" t="s">
        <v>946</v>
      </c>
      <c r="D318" t="s">
        <v>15</v>
      </c>
      <c r="E318" t="s">
        <v>69</v>
      </c>
      <c r="F318" t="s">
        <v>1260</v>
      </c>
      <c r="G318" s="63" t="s">
        <v>1598</v>
      </c>
      <c r="H318" s="358">
        <v>15.5</v>
      </c>
      <c r="J318" s="357">
        <v>1.25</v>
      </c>
      <c r="L318" s="358">
        <v>16.75</v>
      </c>
      <c r="N318" s="361">
        <f>Ground!U38</f>
        <v>0</v>
      </c>
      <c r="O318" s="361">
        <f>Ground!V38</f>
        <v>0</v>
      </c>
      <c r="P318" s="358">
        <f>Ground!W38</f>
        <v>16.75</v>
      </c>
      <c r="R318" s="358">
        <f>Ground!X38</f>
        <v>0</v>
      </c>
      <c r="T318" s="358">
        <f>Ground!Y38</f>
        <v>16.75</v>
      </c>
      <c r="V318" s="365">
        <f>Ground!Z38</f>
        <v>0</v>
      </c>
      <c r="W318" s="358">
        <f>Ground!AA38</f>
        <v>0</v>
      </c>
      <c r="X318" s="358">
        <f>Ground!AB38</f>
        <v>0</v>
      </c>
      <c r="Y318" s="358">
        <f>Ground!AC38</f>
        <v>0</v>
      </c>
    </row>
    <row r="319" spans="1:25" x14ac:dyDescent="0.35">
      <c r="A319">
        <v>318</v>
      </c>
      <c r="B319" t="s">
        <v>1351</v>
      </c>
      <c r="C319" t="s">
        <v>946</v>
      </c>
      <c r="D319" t="s">
        <v>15</v>
      </c>
      <c r="E319" t="s">
        <v>286</v>
      </c>
      <c r="F319" t="s">
        <v>288</v>
      </c>
      <c r="G319" s="63" t="s">
        <v>1599</v>
      </c>
      <c r="H319" s="358">
        <v>8.65</v>
      </c>
      <c r="J319" s="357">
        <v>1.3499999999999996</v>
      </c>
      <c r="L319" s="358">
        <v>10</v>
      </c>
      <c r="N319" s="361">
        <f>Ground!U40</f>
        <v>0</v>
      </c>
      <c r="O319" s="361">
        <f>Ground!V40</f>
        <v>0</v>
      </c>
      <c r="P319" s="358">
        <f>Ground!W40</f>
        <v>10</v>
      </c>
      <c r="R319" s="358">
        <f>Ground!X40</f>
        <v>0</v>
      </c>
      <c r="T319" s="358">
        <f>Ground!Y40</f>
        <v>10</v>
      </c>
      <c r="V319" s="365">
        <f>Ground!Z40</f>
        <v>0</v>
      </c>
      <c r="W319" s="358">
        <f>Ground!AA40</f>
        <v>0</v>
      </c>
      <c r="X319" s="358">
        <f>Ground!AB40</f>
        <v>0</v>
      </c>
      <c r="Y319" s="358">
        <f>Ground!AC40</f>
        <v>0</v>
      </c>
    </row>
    <row r="320" spans="1:25" x14ac:dyDescent="0.35">
      <c r="A320">
        <v>319</v>
      </c>
      <c r="B320" t="s">
        <v>1351</v>
      </c>
      <c r="C320" t="s">
        <v>946</v>
      </c>
      <c r="D320" t="s">
        <v>15</v>
      </c>
      <c r="E320" t="s">
        <v>286</v>
      </c>
      <c r="F320" t="s">
        <v>285</v>
      </c>
      <c r="G320" s="63" t="s">
        <v>1600</v>
      </c>
      <c r="H320" s="358">
        <v>7.15</v>
      </c>
      <c r="J320" s="357">
        <v>0.44999999999999929</v>
      </c>
      <c r="L320" s="358">
        <v>7.6</v>
      </c>
      <c r="N320" s="361">
        <f>Ground!U41</f>
        <v>0</v>
      </c>
      <c r="O320" s="361">
        <f>Ground!V41</f>
        <v>0</v>
      </c>
      <c r="P320" s="358">
        <f>Ground!W41</f>
        <v>7.6</v>
      </c>
      <c r="R320" s="358">
        <f>Ground!X41</f>
        <v>0</v>
      </c>
      <c r="T320" s="358">
        <f>Ground!Y41</f>
        <v>7.6</v>
      </c>
      <c r="V320" s="365">
        <f>Ground!Z41</f>
        <v>0</v>
      </c>
      <c r="W320" s="358">
        <f>Ground!AA41</f>
        <v>0</v>
      </c>
      <c r="X320" s="358">
        <f>Ground!AB41</f>
        <v>0</v>
      </c>
      <c r="Y320" s="358">
        <f>Ground!AC41</f>
        <v>0</v>
      </c>
    </row>
    <row r="321" spans="1:25" x14ac:dyDescent="0.35">
      <c r="A321">
        <v>320</v>
      </c>
      <c r="B321" t="s">
        <v>1351</v>
      </c>
      <c r="C321" t="s">
        <v>946</v>
      </c>
      <c r="D321" t="s">
        <v>15</v>
      </c>
      <c r="E321" t="s">
        <v>286</v>
      </c>
      <c r="F321" t="s">
        <v>287</v>
      </c>
      <c r="G321" s="63" t="s">
        <v>1601</v>
      </c>
      <c r="H321" s="358">
        <v>7.15</v>
      </c>
      <c r="J321" s="357">
        <v>0.44999999999999929</v>
      </c>
      <c r="L321" s="358">
        <v>7.6</v>
      </c>
      <c r="N321" s="361">
        <f>Ground!U42</f>
        <v>0</v>
      </c>
      <c r="O321" s="361">
        <f>Ground!V42</f>
        <v>0</v>
      </c>
      <c r="P321" s="358">
        <f>Ground!W42</f>
        <v>7.6</v>
      </c>
      <c r="R321" s="358">
        <f>Ground!X42</f>
        <v>0</v>
      </c>
      <c r="T321" s="358">
        <f>Ground!Y42</f>
        <v>7.6</v>
      </c>
      <c r="V321" s="365">
        <f>Ground!Z42</f>
        <v>0</v>
      </c>
      <c r="W321" s="358">
        <f>Ground!AA42</f>
        <v>0</v>
      </c>
      <c r="X321" s="358">
        <f>Ground!AB42</f>
        <v>0</v>
      </c>
      <c r="Y321" s="358">
        <f>Ground!AC42</f>
        <v>0</v>
      </c>
    </row>
    <row r="322" spans="1:25" x14ac:dyDescent="0.35">
      <c r="A322">
        <v>321</v>
      </c>
      <c r="B322" t="s">
        <v>1351</v>
      </c>
      <c r="C322" t="s">
        <v>946</v>
      </c>
      <c r="D322" t="s">
        <v>15</v>
      </c>
      <c r="E322" t="s">
        <v>18</v>
      </c>
      <c r="F322" t="s">
        <v>18</v>
      </c>
      <c r="G322" s="63" t="s">
        <v>19</v>
      </c>
      <c r="H322" s="358">
        <v>0</v>
      </c>
      <c r="J322" s="357">
        <v>0</v>
      </c>
      <c r="L322" s="358">
        <v>0</v>
      </c>
      <c r="N322" s="361">
        <f>Ground!U43</f>
        <v>0</v>
      </c>
      <c r="O322" s="361">
        <f>Ground!V43</f>
        <v>0</v>
      </c>
      <c r="V322" s="365">
        <f>Ground!Z43</f>
        <v>0</v>
      </c>
    </row>
    <row r="323" spans="1:25" x14ac:dyDescent="0.35">
      <c r="A323">
        <v>322</v>
      </c>
      <c r="B323" t="s">
        <v>1351</v>
      </c>
      <c r="C323" t="s">
        <v>946</v>
      </c>
      <c r="D323" t="s">
        <v>15</v>
      </c>
      <c r="E323" t="s">
        <v>100</v>
      </c>
      <c r="F323" t="s">
        <v>100</v>
      </c>
      <c r="G323" s="63" t="s">
        <v>1602</v>
      </c>
      <c r="H323" s="358">
        <v>54</v>
      </c>
      <c r="J323" s="357">
        <v>3.25</v>
      </c>
      <c r="L323" s="358">
        <v>57.25</v>
      </c>
      <c r="N323" s="361">
        <f>Ground!U44</f>
        <v>0</v>
      </c>
      <c r="O323" s="361">
        <f>Ground!V44</f>
        <v>0</v>
      </c>
      <c r="P323" s="358">
        <f>Ground!W44</f>
        <v>57.25</v>
      </c>
      <c r="R323" s="358">
        <f>Ground!X44</f>
        <v>0</v>
      </c>
      <c r="T323" s="358">
        <f>Ground!Y44</f>
        <v>57.25</v>
      </c>
      <c r="V323" s="365">
        <f>Ground!Z44</f>
        <v>0</v>
      </c>
      <c r="W323" s="358">
        <f>Ground!AA44</f>
        <v>0</v>
      </c>
      <c r="X323" s="358">
        <f>Ground!AB44</f>
        <v>0</v>
      </c>
      <c r="Y323" s="358">
        <f>Ground!AC44</f>
        <v>0</v>
      </c>
    </row>
    <row r="324" spans="1:25" x14ac:dyDescent="0.35">
      <c r="A324">
        <v>323</v>
      </c>
      <c r="B324" t="s">
        <v>1351</v>
      </c>
      <c r="C324" t="s">
        <v>946</v>
      </c>
      <c r="D324" t="s">
        <v>15</v>
      </c>
      <c r="E324" t="s">
        <v>57</v>
      </c>
      <c r="F324" t="s">
        <v>57</v>
      </c>
      <c r="G324" s="63" t="s">
        <v>1603</v>
      </c>
      <c r="H324" s="358">
        <v>24</v>
      </c>
      <c r="J324" s="357">
        <v>1.5</v>
      </c>
      <c r="L324" s="358">
        <v>25.5</v>
      </c>
      <c r="N324" s="361">
        <f>Ground!U45</f>
        <v>0</v>
      </c>
      <c r="O324" s="361">
        <f>Ground!V45</f>
        <v>0</v>
      </c>
      <c r="P324" s="358">
        <f>Ground!W45</f>
        <v>25.5</v>
      </c>
      <c r="R324" s="358">
        <f>Ground!X45</f>
        <v>0</v>
      </c>
      <c r="T324" s="358">
        <f>Ground!Y45</f>
        <v>25.5</v>
      </c>
      <c r="V324" s="365">
        <f>Ground!Z45</f>
        <v>0</v>
      </c>
      <c r="W324" s="358">
        <f>Ground!AA45</f>
        <v>0</v>
      </c>
      <c r="X324" s="358">
        <f>Ground!AB45</f>
        <v>0</v>
      </c>
      <c r="Y324" s="358">
        <f>Ground!AC45</f>
        <v>0</v>
      </c>
    </row>
    <row r="325" spans="1:25" x14ac:dyDescent="0.35">
      <c r="A325">
        <v>324</v>
      </c>
      <c r="B325" t="s">
        <v>1351</v>
      </c>
      <c r="C325" t="s">
        <v>953</v>
      </c>
      <c r="D325" t="s">
        <v>15</v>
      </c>
      <c r="E325" t="s">
        <v>1514</v>
      </c>
      <c r="F325" t="s">
        <v>1193</v>
      </c>
      <c r="G325" s="63" t="s">
        <v>1457</v>
      </c>
      <c r="H325" s="358">
        <v>190</v>
      </c>
      <c r="J325" s="357">
        <v>18</v>
      </c>
      <c r="L325" s="358">
        <v>208</v>
      </c>
      <c r="N325" s="361">
        <f>Ground!U48</f>
        <v>0</v>
      </c>
      <c r="O325" s="361">
        <f>Ground!V48</f>
        <v>0</v>
      </c>
      <c r="P325" s="358">
        <f>Ground!W48</f>
        <v>208</v>
      </c>
      <c r="R325" s="358">
        <f>Ground!X48</f>
        <v>0</v>
      </c>
      <c r="T325" s="358">
        <f>Ground!Y48</f>
        <v>208</v>
      </c>
      <c r="V325" s="365">
        <f>Ground!Z48</f>
        <v>0</v>
      </c>
      <c r="W325" s="358">
        <f>Ground!AA48</f>
        <v>0</v>
      </c>
      <c r="X325" s="358">
        <f>Ground!AB48</f>
        <v>0</v>
      </c>
      <c r="Y325" s="358">
        <f>Ground!AC48</f>
        <v>0</v>
      </c>
    </row>
    <row r="326" spans="1:25" x14ac:dyDescent="0.35">
      <c r="A326">
        <v>325</v>
      </c>
      <c r="B326" t="s">
        <v>1351</v>
      </c>
      <c r="C326" t="s">
        <v>946</v>
      </c>
      <c r="D326" t="s">
        <v>15</v>
      </c>
      <c r="E326" t="s">
        <v>852</v>
      </c>
      <c r="F326" t="s">
        <v>852</v>
      </c>
      <c r="G326" s="63" t="s">
        <v>1604</v>
      </c>
      <c r="H326" s="358">
        <v>24</v>
      </c>
      <c r="J326" s="357">
        <v>1.5</v>
      </c>
      <c r="L326" s="358">
        <v>25.5</v>
      </c>
      <c r="N326" s="361">
        <f>Ground!U49</f>
        <v>0</v>
      </c>
      <c r="O326" s="361">
        <f>Ground!V49</f>
        <v>0</v>
      </c>
      <c r="P326" s="358">
        <f>Ground!W49</f>
        <v>25.5</v>
      </c>
      <c r="R326" s="358">
        <f>Ground!X49</f>
        <v>0</v>
      </c>
      <c r="T326" s="358">
        <f>Ground!Y49</f>
        <v>25.5</v>
      </c>
      <c r="V326" s="365">
        <f>Ground!Z49</f>
        <v>0</v>
      </c>
      <c r="W326" s="358">
        <f>Ground!AA49</f>
        <v>0</v>
      </c>
      <c r="X326" s="358">
        <f>Ground!AB49</f>
        <v>0</v>
      </c>
      <c r="Y326" s="358">
        <f>Ground!AC49</f>
        <v>0</v>
      </c>
    </row>
    <row r="327" spans="1:25" x14ac:dyDescent="0.35">
      <c r="A327">
        <v>326</v>
      </c>
      <c r="B327" t="s">
        <v>1351</v>
      </c>
      <c r="C327" t="s">
        <v>946</v>
      </c>
      <c r="D327" t="s">
        <v>15</v>
      </c>
      <c r="E327" t="s">
        <v>25</v>
      </c>
      <c r="F327" t="s">
        <v>1515</v>
      </c>
      <c r="G327" s="63" t="s">
        <v>1605</v>
      </c>
      <c r="H327" s="358">
        <v>5.95</v>
      </c>
      <c r="J327" s="357">
        <v>0.5</v>
      </c>
      <c r="L327" s="358">
        <v>6.45</v>
      </c>
      <c r="N327" s="361">
        <f>Ground!U51</f>
        <v>0</v>
      </c>
      <c r="O327" s="361">
        <f>Ground!V51</f>
        <v>0</v>
      </c>
      <c r="P327" s="358">
        <f>Ground!W51</f>
        <v>6.45</v>
      </c>
      <c r="R327" s="358">
        <f>Ground!X51</f>
        <v>0</v>
      </c>
      <c r="T327" s="358">
        <f>Ground!Y51</f>
        <v>6.45</v>
      </c>
      <c r="V327" s="365">
        <f>Ground!Z51</f>
        <v>0</v>
      </c>
      <c r="W327" s="358">
        <f>Ground!AA51</f>
        <v>0</v>
      </c>
      <c r="X327" s="358">
        <f>Ground!AB51</f>
        <v>0</v>
      </c>
      <c r="Y327" s="358">
        <f>Ground!AC51</f>
        <v>0</v>
      </c>
    </row>
    <row r="328" spans="1:25" x14ac:dyDescent="0.35">
      <c r="A328">
        <v>327</v>
      </c>
      <c r="B328" t="s">
        <v>1351</v>
      </c>
      <c r="C328" t="s">
        <v>946</v>
      </c>
      <c r="D328" t="s">
        <v>15</v>
      </c>
      <c r="E328" t="s">
        <v>25</v>
      </c>
      <c r="F328" t="s">
        <v>1516</v>
      </c>
      <c r="G328" s="63" t="s">
        <v>1606</v>
      </c>
      <c r="H328" s="358">
        <v>5.95</v>
      </c>
      <c r="J328" s="357">
        <v>0.5</v>
      </c>
      <c r="L328" s="358">
        <v>6.45</v>
      </c>
      <c r="N328" s="361">
        <f>Ground!U52</f>
        <v>0</v>
      </c>
      <c r="O328" s="361">
        <f>Ground!V52</f>
        <v>0</v>
      </c>
      <c r="P328" s="358">
        <f>Ground!W52</f>
        <v>6.45</v>
      </c>
      <c r="R328" s="358">
        <f>Ground!X52</f>
        <v>0</v>
      </c>
      <c r="T328" s="358">
        <f>Ground!Y52</f>
        <v>6.45</v>
      </c>
      <c r="V328" s="365">
        <f>Ground!Z52</f>
        <v>0</v>
      </c>
      <c r="W328" s="358">
        <f>Ground!AA52</f>
        <v>0</v>
      </c>
      <c r="X328" s="358">
        <f>Ground!AB52</f>
        <v>0</v>
      </c>
      <c r="Y328" s="358">
        <f>Ground!AC52</f>
        <v>0</v>
      </c>
    </row>
    <row r="329" spans="1:25" x14ac:dyDescent="0.35">
      <c r="A329">
        <v>328</v>
      </c>
      <c r="B329" t="s">
        <v>1351</v>
      </c>
      <c r="C329" t="s">
        <v>946</v>
      </c>
      <c r="D329" t="s">
        <v>15</v>
      </c>
      <c r="E329" t="s">
        <v>283</v>
      </c>
      <c r="F329" t="s">
        <v>1003</v>
      </c>
      <c r="G329" s="63" t="s">
        <v>1607</v>
      </c>
      <c r="H329" s="358">
        <v>1.05</v>
      </c>
      <c r="J329" s="357">
        <v>0</v>
      </c>
      <c r="L329" s="358">
        <v>1.05</v>
      </c>
      <c r="N329" s="361">
        <f>Ground!U55</f>
        <v>0</v>
      </c>
      <c r="O329" s="361">
        <f>Ground!V55</f>
        <v>0</v>
      </c>
      <c r="P329" s="358">
        <f>Ground!W55</f>
        <v>1.05</v>
      </c>
      <c r="R329" s="358">
        <f>Ground!X55</f>
        <v>0</v>
      </c>
      <c r="T329" s="358">
        <f>Ground!Y55</f>
        <v>1.05</v>
      </c>
      <c r="V329" s="365">
        <f>Ground!Z55</f>
        <v>0</v>
      </c>
      <c r="W329" s="358">
        <f>Ground!AA55</f>
        <v>0</v>
      </c>
      <c r="X329" s="358">
        <f>Ground!AB55</f>
        <v>0</v>
      </c>
      <c r="Y329" s="358">
        <f>Ground!AC55</f>
        <v>0</v>
      </c>
    </row>
    <row r="330" spans="1:25" x14ac:dyDescent="0.35">
      <c r="A330">
        <v>329</v>
      </c>
      <c r="B330" t="s">
        <v>1351</v>
      </c>
      <c r="C330" t="s">
        <v>946</v>
      </c>
      <c r="D330" t="s">
        <v>15</v>
      </c>
      <c r="E330" t="s">
        <v>283</v>
      </c>
      <c r="F330" t="s">
        <v>1005</v>
      </c>
      <c r="G330" s="63" t="s">
        <v>1608</v>
      </c>
      <c r="H330" s="358">
        <v>1.05</v>
      </c>
      <c r="J330" s="357">
        <v>0</v>
      </c>
      <c r="L330" s="358">
        <v>1.05</v>
      </c>
      <c r="N330" s="361">
        <f>Ground!U56</f>
        <v>0</v>
      </c>
      <c r="O330" s="361">
        <f>Ground!V56</f>
        <v>0</v>
      </c>
      <c r="P330" s="358">
        <f>Ground!W56</f>
        <v>1.05</v>
      </c>
      <c r="R330" s="358">
        <f>Ground!X56</f>
        <v>0</v>
      </c>
      <c r="T330" s="358">
        <f>Ground!Y56</f>
        <v>1.05</v>
      </c>
      <c r="V330" s="365">
        <f>Ground!Z56</f>
        <v>0</v>
      </c>
      <c r="W330" s="358">
        <f>Ground!AA56</f>
        <v>0</v>
      </c>
      <c r="X330" s="358">
        <f>Ground!AB56</f>
        <v>0</v>
      </c>
      <c r="Y330" s="358">
        <f>Ground!AC56</f>
        <v>0</v>
      </c>
    </row>
    <row r="331" spans="1:25" x14ac:dyDescent="0.35">
      <c r="A331">
        <v>330</v>
      </c>
      <c r="B331" t="s">
        <v>1351</v>
      </c>
      <c r="C331" t="s">
        <v>946</v>
      </c>
      <c r="D331" t="s">
        <v>15</v>
      </c>
      <c r="E331" t="s">
        <v>884</v>
      </c>
      <c r="F331" t="s">
        <v>884</v>
      </c>
      <c r="G331" s="63" t="s">
        <v>1609</v>
      </c>
      <c r="H331" s="358">
        <v>1775</v>
      </c>
      <c r="J331" s="357">
        <v>0</v>
      </c>
      <c r="L331" s="358">
        <v>1775</v>
      </c>
      <c r="N331" s="361">
        <f>Ground!U57</f>
        <v>0</v>
      </c>
      <c r="O331" s="361">
        <f>Ground!V57</f>
        <v>0</v>
      </c>
      <c r="P331" s="358">
        <f>Ground!W57</f>
        <v>1875</v>
      </c>
      <c r="R331" s="358">
        <f>Ground!X57</f>
        <v>0</v>
      </c>
      <c r="T331" s="358">
        <f>Ground!Y57</f>
        <v>1875</v>
      </c>
      <c r="V331" s="365">
        <f>Ground!Z57</f>
        <v>0</v>
      </c>
      <c r="W331" s="358">
        <f>Ground!AA57</f>
        <v>0</v>
      </c>
      <c r="X331" s="358">
        <f>Ground!AB57</f>
        <v>0</v>
      </c>
      <c r="Y331" s="358">
        <f>Ground!AC57</f>
        <v>0</v>
      </c>
    </row>
    <row r="332" spans="1:25" x14ac:dyDescent="0.35">
      <c r="A332">
        <v>331</v>
      </c>
      <c r="B332" t="s">
        <v>1341</v>
      </c>
      <c r="C332" t="s">
        <v>946</v>
      </c>
      <c r="D332" t="s">
        <v>941</v>
      </c>
      <c r="E332" t="s">
        <v>944</v>
      </c>
      <c r="F332" t="s">
        <v>944</v>
      </c>
      <c r="G332" s="63" t="s">
        <v>1458</v>
      </c>
      <c r="H332" s="358">
        <v>1.1000000000000001</v>
      </c>
      <c r="J332" s="357">
        <v>4.9999999999999822E-2</v>
      </c>
      <c r="L332" s="358">
        <v>1.1499999999999999</v>
      </c>
      <c r="N332" s="361">
        <f>'Ground Economy'!C4</f>
        <v>0</v>
      </c>
      <c r="O332" s="361">
        <f>'Ground Economy'!D4</f>
        <v>0</v>
      </c>
      <c r="P332" s="358">
        <f>'Ground Economy'!E4</f>
        <v>1.1499999999999999</v>
      </c>
      <c r="R332" s="358">
        <f>'Ground Economy'!F4</f>
        <v>0</v>
      </c>
      <c r="T332" s="358">
        <f>'Ground Economy'!G4</f>
        <v>1.1499999999999999</v>
      </c>
      <c r="V332" s="365">
        <f>'Ground Economy'!H4</f>
        <v>0</v>
      </c>
      <c r="W332" s="358">
        <f>'Ground Economy'!I4</f>
        <v>0</v>
      </c>
      <c r="X332" s="358">
        <f>'Ground Economy'!J4</f>
        <v>0</v>
      </c>
      <c r="Y332" s="358">
        <f>'Ground Economy'!K4</f>
        <v>0</v>
      </c>
    </row>
    <row r="333" spans="1:25" x14ac:dyDescent="0.35">
      <c r="A333">
        <v>332</v>
      </c>
      <c r="B333" t="s">
        <v>1341</v>
      </c>
      <c r="C333" t="s">
        <v>946</v>
      </c>
      <c r="D333" t="s">
        <v>941</v>
      </c>
      <c r="E333" t="s">
        <v>69</v>
      </c>
      <c r="F333" t="s">
        <v>336</v>
      </c>
      <c r="G333" s="63" t="s">
        <v>1459</v>
      </c>
      <c r="H333" s="358">
        <v>6.2</v>
      </c>
      <c r="J333" s="357">
        <v>0.39999999999999947</v>
      </c>
      <c r="L333" s="358">
        <v>6.6</v>
      </c>
      <c r="N333" s="361">
        <f>'Ground Economy'!C6</f>
        <v>0</v>
      </c>
      <c r="O333" s="361">
        <f>'Ground Economy'!D6</f>
        <v>0</v>
      </c>
      <c r="P333" s="358">
        <f>'Ground Economy'!E6</f>
        <v>6.6</v>
      </c>
      <c r="R333" s="358">
        <f>'Ground Economy'!F6</f>
        <v>0</v>
      </c>
      <c r="T333" s="358">
        <f>'Ground Economy'!G6</f>
        <v>6.6</v>
      </c>
      <c r="V333" s="365">
        <f>'Ground Economy'!H6</f>
        <v>0</v>
      </c>
      <c r="W333" s="358">
        <f>'Ground Economy'!I6</f>
        <v>0</v>
      </c>
      <c r="X333" s="358">
        <f>'Ground Economy'!J6</f>
        <v>0</v>
      </c>
      <c r="Y333" s="358">
        <f>'Ground Economy'!K6</f>
        <v>0</v>
      </c>
    </row>
    <row r="334" spans="1:25" x14ac:dyDescent="0.35">
      <c r="A334">
        <v>333</v>
      </c>
      <c r="B334" t="s">
        <v>1341</v>
      </c>
      <c r="C334" t="s">
        <v>946</v>
      </c>
      <c r="D334" t="s">
        <v>941</v>
      </c>
      <c r="E334" t="s">
        <v>69</v>
      </c>
      <c r="F334" t="s">
        <v>295</v>
      </c>
      <c r="G334" s="63" t="s">
        <v>1460</v>
      </c>
      <c r="H334" s="358">
        <v>8.3000000000000007</v>
      </c>
      <c r="J334" s="357">
        <v>0.5</v>
      </c>
      <c r="L334" s="358">
        <v>8.8000000000000007</v>
      </c>
      <c r="N334" s="361">
        <f>'Ground Economy'!C7</f>
        <v>0</v>
      </c>
      <c r="O334" s="361">
        <f>'Ground Economy'!D7</f>
        <v>0</v>
      </c>
      <c r="P334" s="358">
        <f>'Ground Economy'!E7</f>
        <v>8.8000000000000007</v>
      </c>
      <c r="R334" s="358">
        <f>'Ground Economy'!F7</f>
        <v>0</v>
      </c>
      <c r="T334" s="358">
        <f>'Ground Economy'!G7</f>
        <v>8.8000000000000007</v>
      </c>
      <c r="V334" s="365">
        <f>'Ground Economy'!H7</f>
        <v>0</v>
      </c>
      <c r="W334" s="358">
        <f>'Ground Economy'!I7</f>
        <v>0</v>
      </c>
      <c r="X334" s="358">
        <f>'Ground Economy'!J7</f>
        <v>0</v>
      </c>
      <c r="Y334" s="358">
        <f>'Ground Economy'!K7</f>
        <v>0</v>
      </c>
    </row>
    <row r="335" spans="1:25" x14ac:dyDescent="0.35">
      <c r="A335">
        <v>334</v>
      </c>
      <c r="B335" t="s">
        <v>1341</v>
      </c>
      <c r="C335" t="s">
        <v>946</v>
      </c>
      <c r="D335" t="s">
        <v>941</v>
      </c>
      <c r="E335" t="s">
        <v>69</v>
      </c>
      <c r="F335" t="s">
        <v>294</v>
      </c>
      <c r="G335" s="63" t="s">
        <v>1461</v>
      </c>
      <c r="H335" s="358">
        <v>8.3000000000000007</v>
      </c>
      <c r="J335" s="357">
        <v>0.5</v>
      </c>
      <c r="L335" s="358">
        <v>8.8000000000000007</v>
      </c>
      <c r="N335" s="361">
        <f>'Ground Economy'!C8</f>
        <v>0</v>
      </c>
      <c r="O335" s="361">
        <f>'Ground Economy'!D8</f>
        <v>0</v>
      </c>
      <c r="P335" s="358">
        <f>'Ground Economy'!E8</f>
        <v>8.8000000000000007</v>
      </c>
      <c r="R335" s="358">
        <f>'Ground Economy'!F8</f>
        <v>0</v>
      </c>
      <c r="T335" s="358">
        <f>'Ground Economy'!G8</f>
        <v>8.8000000000000007</v>
      </c>
      <c r="V335" s="365">
        <f>'Ground Economy'!H8</f>
        <v>0</v>
      </c>
      <c r="W335" s="358">
        <f>'Ground Economy'!I8</f>
        <v>0</v>
      </c>
      <c r="X335" s="358">
        <f>'Ground Economy'!J8</f>
        <v>0</v>
      </c>
      <c r="Y335" s="358">
        <f>'Ground Economy'!K8</f>
        <v>0</v>
      </c>
    </row>
    <row r="336" spans="1:25" x14ac:dyDescent="0.35">
      <c r="A336">
        <v>335</v>
      </c>
      <c r="B336" t="s">
        <v>1341</v>
      </c>
      <c r="C336" t="s">
        <v>946</v>
      </c>
      <c r="D336" t="s">
        <v>941</v>
      </c>
      <c r="E336" t="s">
        <v>69</v>
      </c>
      <c r="F336" t="s">
        <v>296</v>
      </c>
      <c r="G336" s="63" t="s">
        <v>1462</v>
      </c>
      <c r="H336" s="358">
        <v>8.3000000000000007</v>
      </c>
      <c r="J336" s="357">
        <v>0.5</v>
      </c>
      <c r="L336" s="358">
        <v>8.8000000000000007</v>
      </c>
      <c r="N336" s="361">
        <f>'Ground Economy'!C9</f>
        <v>0</v>
      </c>
      <c r="O336" s="361">
        <f>'Ground Economy'!D9</f>
        <v>0</v>
      </c>
      <c r="P336" s="358">
        <f>'Ground Economy'!E9</f>
        <v>8.8000000000000007</v>
      </c>
      <c r="R336" s="358">
        <f>'Ground Economy'!F9</f>
        <v>0</v>
      </c>
      <c r="T336" s="358">
        <f>'Ground Economy'!G9</f>
        <v>8.8000000000000007</v>
      </c>
      <c r="V336" s="365">
        <f>'Ground Economy'!H9</f>
        <v>0</v>
      </c>
      <c r="W336" s="358">
        <f>'Ground Economy'!I9</f>
        <v>0</v>
      </c>
      <c r="X336" s="358">
        <f>'Ground Economy'!J9</f>
        <v>0</v>
      </c>
      <c r="Y336" s="358">
        <f>'Ground Economy'!K9</f>
        <v>0</v>
      </c>
    </row>
    <row r="337" spans="1:25" x14ac:dyDescent="0.35">
      <c r="A337">
        <v>336</v>
      </c>
      <c r="B337" t="s">
        <v>1341</v>
      </c>
      <c r="C337" t="s">
        <v>946</v>
      </c>
      <c r="D337" t="s">
        <v>941</v>
      </c>
      <c r="E337" t="s">
        <v>18</v>
      </c>
      <c r="F337" t="s">
        <v>18</v>
      </c>
      <c r="G337" s="63" t="s">
        <v>1463</v>
      </c>
      <c r="H337" s="358">
        <v>0</v>
      </c>
      <c r="J337" s="357">
        <v>0</v>
      </c>
      <c r="L337" s="358">
        <v>0</v>
      </c>
      <c r="N337" s="361">
        <f>'Ground Economy'!C10</f>
        <v>0</v>
      </c>
      <c r="O337" s="361">
        <f>'Ground Economy'!D10</f>
        <v>0</v>
      </c>
      <c r="V337" s="365">
        <f>'Ground Economy'!H10</f>
        <v>0</v>
      </c>
    </row>
    <row r="338" spans="1:25" x14ac:dyDescent="0.35">
      <c r="A338">
        <v>337</v>
      </c>
      <c r="B338" t="s">
        <v>1341</v>
      </c>
      <c r="C338" t="s">
        <v>946</v>
      </c>
      <c r="D338" t="s">
        <v>941</v>
      </c>
      <c r="E338" t="s">
        <v>331</v>
      </c>
      <c r="F338" t="s">
        <v>331</v>
      </c>
      <c r="G338" s="63" t="s">
        <v>1464</v>
      </c>
      <c r="H338" s="358">
        <v>6.55</v>
      </c>
      <c r="J338" s="357">
        <v>0.54999999999999982</v>
      </c>
      <c r="L338" s="358">
        <v>7.1</v>
      </c>
      <c r="N338" s="361">
        <f>'Ground Economy'!C11</f>
        <v>0</v>
      </c>
      <c r="O338" s="361">
        <f>'Ground Economy'!D11</f>
        <v>0</v>
      </c>
      <c r="P338" s="358">
        <f>'Ground Economy'!E11</f>
        <v>7.1</v>
      </c>
      <c r="R338" s="358">
        <f>'Ground Economy'!F11</f>
        <v>0</v>
      </c>
      <c r="T338" s="358">
        <f>'Ground Economy'!G11</f>
        <v>7.1</v>
      </c>
      <c r="V338" s="365">
        <f>'Ground Economy'!H11</f>
        <v>0</v>
      </c>
      <c r="W338" s="358">
        <f>'Ground Economy'!I11</f>
        <v>0</v>
      </c>
      <c r="X338" s="358">
        <f>'Ground Economy'!J11</f>
        <v>0</v>
      </c>
      <c r="Y338" s="358">
        <f>'Ground Economy'!K11</f>
        <v>0</v>
      </c>
    </row>
    <row r="339" spans="1:25" x14ac:dyDescent="0.35">
      <c r="A339">
        <v>338</v>
      </c>
      <c r="B339" t="s">
        <v>1341</v>
      </c>
      <c r="C339" t="s">
        <v>946</v>
      </c>
      <c r="D339" t="s">
        <v>941</v>
      </c>
      <c r="E339" t="s">
        <v>333</v>
      </c>
      <c r="F339" t="s">
        <v>333</v>
      </c>
      <c r="G339" s="63" t="s">
        <v>1465</v>
      </c>
      <c r="H339" s="358">
        <v>1</v>
      </c>
      <c r="J339" s="357">
        <v>5.0000000000000044E-2</v>
      </c>
      <c r="L339" s="358">
        <v>1.05</v>
      </c>
      <c r="N339" s="361">
        <f>'Ground Economy'!C12</f>
        <v>0</v>
      </c>
      <c r="O339" s="361">
        <f>'Ground Economy'!D12</f>
        <v>0</v>
      </c>
      <c r="P339" s="358">
        <f>'Ground Economy'!E12</f>
        <v>1.05</v>
      </c>
      <c r="R339" s="358">
        <f>'Ground Economy'!F12</f>
        <v>0</v>
      </c>
      <c r="T339" s="358">
        <f>'Ground Economy'!G12</f>
        <v>1.05</v>
      </c>
      <c r="V339" s="365">
        <f>'Ground Economy'!H12</f>
        <v>0</v>
      </c>
      <c r="W339" s="358">
        <f>'Ground Economy'!I12</f>
        <v>0</v>
      </c>
      <c r="X339" s="358">
        <f>'Ground Economy'!J12</f>
        <v>0</v>
      </c>
      <c r="Y339" s="358">
        <f>'Ground Economy'!K12</f>
        <v>0</v>
      </c>
    </row>
    <row r="340" spans="1:25" x14ac:dyDescent="0.35">
      <c r="A340">
        <v>339</v>
      </c>
      <c r="B340" t="s">
        <v>1350</v>
      </c>
      <c r="C340" t="s">
        <v>946</v>
      </c>
      <c r="D340" t="s">
        <v>941</v>
      </c>
      <c r="E340" t="s">
        <v>944</v>
      </c>
      <c r="F340" t="s">
        <v>944</v>
      </c>
      <c r="G340" s="63" t="s">
        <v>1458</v>
      </c>
      <c r="H340" s="358">
        <v>1.1000000000000001</v>
      </c>
      <c r="J340" s="357">
        <v>4.9999999999999822E-2</v>
      </c>
      <c r="L340" s="358">
        <v>1.1499999999999999</v>
      </c>
      <c r="N340" s="361">
        <f>'Ground Economy'!L4</f>
        <v>0</v>
      </c>
      <c r="O340" s="361">
        <f>'Ground Economy'!M4</f>
        <v>0</v>
      </c>
      <c r="P340" s="358">
        <f>'Ground Economy'!N4</f>
        <v>1.1499999999999999</v>
      </c>
      <c r="R340" s="358">
        <f>'Ground Economy'!O4</f>
        <v>0</v>
      </c>
      <c r="T340" s="358">
        <f>'Ground Economy'!P4</f>
        <v>1.1499999999999999</v>
      </c>
      <c r="V340" s="365">
        <f>'Ground Economy'!Q4</f>
        <v>0</v>
      </c>
      <c r="W340" s="358">
        <f>'Ground Economy'!R4</f>
        <v>0</v>
      </c>
      <c r="X340" s="358">
        <f>'Ground Economy'!S4</f>
        <v>0</v>
      </c>
      <c r="Y340" s="358">
        <f>'Ground Economy'!T4</f>
        <v>0</v>
      </c>
    </row>
    <row r="341" spans="1:25" x14ac:dyDescent="0.35">
      <c r="A341">
        <v>340</v>
      </c>
      <c r="B341" t="s">
        <v>1350</v>
      </c>
      <c r="C341" t="s">
        <v>946</v>
      </c>
      <c r="D341" t="s">
        <v>941</v>
      </c>
      <c r="E341" t="s">
        <v>69</v>
      </c>
      <c r="F341" t="s">
        <v>336</v>
      </c>
      <c r="G341" s="63" t="s">
        <v>1459</v>
      </c>
      <c r="H341" s="358">
        <v>6.2</v>
      </c>
      <c r="J341" s="357">
        <v>0.39999999999999947</v>
      </c>
      <c r="L341" s="358">
        <v>6.6</v>
      </c>
      <c r="N341" s="361">
        <f>'Ground Economy'!L6</f>
        <v>0</v>
      </c>
      <c r="O341" s="361">
        <f>'Ground Economy'!M6</f>
        <v>0</v>
      </c>
      <c r="P341" s="358">
        <f>'Ground Economy'!N6</f>
        <v>6.6</v>
      </c>
      <c r="R341" s="358">
        <f>'Ground Economy'!O6</f>
        <v>0</v>
      </c>
      <c r="T341" s="358">
        <f>'Ground Economy'!P6</f>
        <v>6.6</v>
      </c>
      <c r="V341" s="365">
        <f>'Ground Economy'!Q6</f>
        <v>0</v>
      </c>
      <c r="W341" s="358">
        <f>'Ground Economy'!R6</f>
        <v>0</v>
      </c>
      <c r="X341" s="358">
        <f>'Ground Economy'!S6</f>
        <v>0</v>
      </c>
      <c r="Y341" s="358">
        <f>'Ground Economy'!T6</f>
        <v>0</v>
      </c>
    </row>
    <row r="342" spans="1:25" x14ac:dyDescent="0.35">
      <c r="A342">
        <v>341</v>
      </c>
      <c r="B342" t="s">
        <v>1350</v>
      </c>
      <c r="C342" t="s">
        <v>946</v>
      </c>
      <c r="D342" t="s">
        <v>941</v>
      </c>
      <c r="E342" t="s">
        <v>69</v>
      </c>
      <c r="F342" t="s">
        <v>295</v>
      </c>
      <c r="G342" s="63" t="s">
        <v>1460</v>
      </c>
      <c r="H342" s="358">
        <v>8.3000000000000007</v>
      </c>
      <c r="J342" s="357">
        <v>0.5</v>
      </c>
      <c r="L342" s="358">
        <v>8.8000000000000007</v>
      </c>
      <c r="N342" s="361">
        <f>'Ground Economy'!L7</f>
        <v>0</v>
      </c>
      <c r="O342" s="361">
        <f>'Ground Economy'!M7</f>
        <v>0</v>
      </c>
      <c r="P342" s="358">
        <f>'Ground Economy'!N7</f>
        <v>8.8000000000000007</v>
      </c>
      <c r="R342" s="358">
        <f>'Ground Economy'!O7</f>
        <v>0</v>
      </c>
      <c r="T342" s="358">
        <f>'Ground Economy'!P7</f>
        <v>8.8000000000000007</v>
      </c>
      <c r="V342" s="365">
        <f>'Ground Economy'!Q7</f>
        <v>0</v>
      </c>
      <c r="W342" s="358">
        <f>'Ground Economy'!R7</f>
        <v>0</v>
      </c>
      <c r="X342" s="358">
        <f>'Ground Economy'!S7</f>
        <v>0</v>
      </c>
      <c r="Y342" s="358">
        <f>'Ground Economy'!T7</f>
        <v>0</v>
      </c>
    </row>
    <row r="343" spans="1:25" x14ac:dyDescent="0.35">
      <c r="A343">
        <v>342</v>
      </c>
      <c r="B343" t="s">
        <v>1350</v>
      </c>
      <c r="C343" t="s">
        <v>946</v>
      </c>
      <c r="D343" t="s">
        <v>941</v>
      </c>
      <c r="E343" t="s">
        <v>69</v>
      </c>
      <c r="F343" t="s">
        <v>294</v>
      </c>
      <c r="G343" s="63" t="s">
        <v>1461</v>
      </c>
      <c r="H343" s="358">
        <v>8.3000000000000007</v>
      </c>
      <c r="J343" s="357">
        <v>0.5</v>
      </c>
      <c r="L343" s="358">
        <v>8.8000000000000007</v>
      </c>
      <c r="N343" s="361">
        <f>'Ground Economy'!L8</f>
        <v>0</v>
      </c>
      <c r="O343" s="361">
        <f>'Ground Economy'!M8</f>
        <v>0</v>
      </c>
      <c r="P343" s="358">
        <f>'Ground Economy'!N8</f>
        <v>8.8000000000000007</v>
      </c>
      <c r="R343" s="358">
        <f>'Ground Economy'!O8</f>
        <v>0</v>
      </c>
      <c r="T343" s="358">
        <f>'Ground Economy'!P8</f>
        <v>8.8000000000000007</v>
      </c>
      <c r="V343" s="365">
        <f>'Ground Economy'!Q8</f>
        <v>0</v>
      </c>
      <c r="W343" s="358">
        <f>'Ground Economy'!R8</f>
        <v>0</v>
      </c>
      <c r="X343" s="358">
        <f>'Ground Economy'!S8</f>
        <v>0</v>
      </c>
      <c r="Y343" s="358">
        <f>'Ground Economy'!T8</f>
        <v>0</v>
      </c>
    </row>
    <row r="344" spans="1:25" x14ac:dyDescent="0.35">
      <c r="A344">
        <v>343</v>
      </c>
      <c r="B344" t="s">
        <v>1350</v>
      </c>
      <c r="C344" t="s">
        <v>946</v>
      </c>
      <c r="D344" t="s">
        <v>941</v>
      </c>
      <c r="E344" t="s">
        <v>69</v>
      </c>
      <c r="F344" t="s">
        <v>296</v>
      </c>
      <c r="G344" s="63" t="s">
        <v>1462</v>
      </c>
      <c r="H344" s="358">
        <v>8.3000000000000007</v>
      </c>
      <c r="J344" s="357">
        <v>0.5</v>
      </c>
      <c r="L344" s="358">
        <v>8.8000000000000007</v>
      </c>
      <c r="N344" s="361">
        <f>'Ground Economy'!L9</f>
        <v>0</v>
      </c>
      <c r="O344" s="361">
        <f>'Ground Economy'!M9</f>
        <v>0</v>
      </c>
      <c r="P344" s="358">
        <f>'Ground Economy'!N9</f>
        <v>8.8000000000000007</v>
      </c>
      <c r="R344" s="358">
        <f>'Ground Economy'!O9</f>
        <v>0</v>
      </c>
      <c r="T344" s="358">
        <f>'Ground Economy'!P9</f>
        <v>8.8000000000000007</v>
      </c>
      <c r="V344" s="365">
        <f>'Ground Economy'!Q9</f>
        <v>0</v>
      </c>
      <c r="W344" s="358">
        <f>'Ground Economy'!R9</f>
        <v>0</v>
      </c>
      <c r="X344" s="358">
        <f>'Ground Economy'!S9</f>
        <v>0</v>
      </c>
      <c r="Y344" s="358">
        <f>'Ground Economy'!T9</f>
        <v>0</v>
      </c>
    </row>
    <row r="345" spans="1:25" x14ac:dyDescent="0.35">
      <c r="A345">
        <v>344</v>
      </c>
      <c r="B345" t="s">
        <v>1350</v>
      </c>
      <c r="C345" t="s">
        <v>946</v>
      </c>
      <c r="D345" t="s">
        <v>941</v>
      </c>
      <c r="E345" t="s">
        <v>18</v>
      </c>
      <c r="F345" t="s">
        <v>18</v>
      </c>
      <c r="G345" s="63" t="s">
        <v>1463</v>
      </c>
      <c r="H345" s="358">
        <v>0</v>
      </c>
      <c r="J345" s="357">
        <v>0</v>
      </c>
      <c r="L345" s="358">
        <v>0</v>
      </c>
      <c r="N345" s="361">
        <f>'Ground Economy'!L10</f>
        <v>0</v>
      </c>
      <c r="O345" s="361">
        <f>'Ground Economy'!M10</f>
        <v>0</v>
      </c>
      <c r="V345" s="365">
        <f>'Ground Economy'!Q10</f>
        <v>0</v>
      </c>
    </row>
    <row r="346" spans="1:25" x14ac:dyDescent="0.35">
      <c r="A346">
        <v>345</v>
      </c>
      <c r="B346" t="s">
        <v>1350</v>
      </c>
      <c r="C346" t="s">
        <v>946</v>
      </c>
      <c r="D346" t="s">
        <v>941</v>
      </c>
      <c r="E346" t="s">
        <v>331</v>
      </c>
      <c r="F346" t="s">
        <v>331</v>
      </c>
      <c r="G346" s="63" t="s">
        <v>1464</v>
      </c>
      <c r="H346" s="358">
        <v>6.55</v>
      </c>
      <c r="J346" s="357">
        <v>0.54999999999999982</v>
      </c>
      <c r="L346" s="358">
        <v>7.1</v>
      </c>
      <c r="N346" s="361">
        <f>'Ground Economy'!L11</f>
        <v>0</v>
      </c>
      <c r="O346" s="361">
        <f>'Ground Economy'!M11</f>
        <v>0</v>
      </c>
      <c r="P346" s="358">
        <f>'Ground Economy'!N11</f>
        <v>7.1</v>
      </c>
      <c r="R346" s="358">
        <f>'Ground Economy'!O11</f>
        <v>0</v>
      </c>
      <c r="T346" s="358">
        <f>'Ground Economy'!P11</f>
        <v>7.1</v>
      </c>
      <c r="V346" s="365">
        <f>'Ground Economy'!Q11</f>
        <v>0</v>
      </c>
      <c r="W346" s="358">
        <f>'Ground Economy'!R11</f>
        <v>0</v>
      </c>
      <c r="X346" s="358">
        <f>'Ground Economy'!S11</f>
        <v>0</v>
      </c>
      <c r="Y346" s="358">
        <f>'Ground Economy'!T11</f>
        <v>0</v>
      </c>
    </row>
    <row r="347" spans="1:25" x14ac:dyDescent="0.35">
      <c r="A347">
        <v>346</v>
      </c>
      <c r="B347" t="s">
        <v>1350</v>
      </c>
      <c r="C347" t="s">
        <v>946</v>
      </c>
      <c r="D347" t="s">
        <v>941</v>
      </c>
      <c r="E347" t="s">
        <v>333</v>
      </c>
      <c r="F347" t="s">
        <v>333</v>
      </c>
      <c r="G347" s="63" t="s">
        <v>1465</v>
      </c>
      <c r="H347" s="358">
        <v>1</v>
      </c>
      <c r="J347" s="357">
        <v>5.0000000000000044E-2</v>
      </c>
      <c r="L347" s="358">
        <v>1.05</v>
      </c>
      <c r="N347" s="361">
        <f>'Ground Economy'!L12</f>
        <v>0</v>
      </c>
      <c r="O347" s="361">
        <f>'Ground Economy'!M12</f>
        <v>0</v>
      </c>
      <c r="P347" s="358">
        <f>'Ground Economy'!N12</f>
        <v>1.05</v>
      </c>
      <c r="R347" s="358">
        <f>'Ground Economy'!O12</f>
        <v>0</v>
      </c>
      <c r="T347" s="358">
        <f>'Ground Economy'!P12</f>
        <v>1.05</v>
      </c>
      <c r="V347" s="365">
        <f>'Ground Economy'!Q12</f>
        <v>0</v>
      </c>
      <c r="W347" s="358">
        <f>'Ground Economy'!R12</f>
        <v>0</v>
      </c>
      <c r="X347" s="358">
        <f>'Ground Economy'!S12</f>
        <v>0</v>
      </c>
      <c r="Y347" s="358">
        <f>'Ground Economy'!T12</f>
        <v>0</v>
      </c>
    </row>
    <row r="348" spans="1:25" x14ac:dyDescent="0.35">
      <c r="A348">
        <v>347</v>
      </c>
      <c r="B348" t="s">
        <v>1351</v>
      </c>
      <c r="C348" t="s">
        <v>946</v>
      </c>
      <c r="D348" t="s">
        <v>941</v>
      </c>
      <c r="E348" t="s">
        <v>944</v>
      </c>
      <c r="F348" t="s">
        <v>944</v>
      </c>
      <c r="G348" s="63" t="s">
        <v>1458</v>
      </c>
      <c r="H348" s="358">
        <v>1.1000000000000001</v>
      </c>
      <c r="J348" s="357">
        <v>4.9999999999999822E-2</v>
      </c>
      <c r="L348" s="358">
        <v>1.1499999999999999</v>
      </c>
      <c r="N348" s="361">
        <f>'Ground Economy'!U4</f>
        <v>0</v>
      </c>
      <c r="O348" s="361">
        <f>'Ground Economy'!V4</f>
        <v>0</v>
      </c>
      <c r="P348" s="358">
        <f>'Ground Economy'!W4</f>
        <v>1.1499999999999999</v>
      </c>
      <c r="R348" s="358">
        <f>'Ground Economy'!X4</f>
        <v>0</v>
      </c>
      <c r="T348" s="358">
        <f>'Ground Economy'!Y4</f>
        <v>1.1499999999999999</v>
      </c>
      <c r="V348" s="365">
        <f>'Ground Economy'!Z4</f>
        <v>0</v>
      </c>
      <c r="W348" s="358">
        <f>'Ground Economy'!AA4</f>
        <v>0</v>
      </c>
      <c r="X348" s="358">
        <f>'Ground Economy'!AB4</f>
        <v>0</v>
      </c>
      <c r="Y348" s="358">
        <f>'Ground Economy'!AC4</f>
        <v>0</v>
      </c>
    </row>
    <row r="349" spans="1:25" x14ac:dyDescent="0.35">
      <c r="A349">
        <v>348</v>
      </c>
      <c r="B349" t="s">
        <v>1351</v>
      </c>
      <c r="C349" t="s">
        <v>946</v>
      </c>
      <c r="D349" t="s">
        <v>941</v>
      </c>
      <c r="E349" t="s">
        <v>69</v>
      </c>
      <c r="F349" t="s">
        <v>336</v>
      </c>
      <c r="G349" s="63" t="s">
        <v>1459</v>
      </c>
      <c r="H349" s="358">
        <v>6.2</v>
      </c>
      <c r="J349" s="357">
        <v>0.39999999999999947</v>
      </c>
      <c r="L349" s="358">
        <v>6.6</v>
      </c>
      <c r="N349" s="361">
        <f>'Ground Economy'!U6</f>
        <v>0</v>
      </c>
      <c r="O349" s="361">
        <f>'Ground Economy'!V6</f>
        <v>0</v>
      </c>
      <c r="P349" s="358">
        <f>'Ground Economy'!W6</f>
        <v>6.6</v>
      </c>
      <c r="R349" s="358">
        <f>'Ground Economy'!X6</f>
        <v>0</v>
      </c>
      <c r="T349" s="358">
        <f>'Ground Economy'!Y6</f>
        <v>6.6</v>
      </c>
      <c r="V349" s="365">
        <f>'Ground Economy'!Z6</f>
        <v>0</v>
      </c>
      <c r="W349" s="358">
        <f>'Ground Economy'!AA6</f>
        <v>0</v>
      </c>
      <c r="X349" s="358">
        <f>'Ground Economy'!AB6</f>
        <v>0</v>
      </c>
      <c r="Y349" s="358">
        <f>'Ground Economy'!AC6</f>
        <v>0</v>
      </c>
    </row>
    <row r="350" spans="1:25" x14ac:dyDescent="0.35">
      <c r="A350">
        <v>349</v>
      </c>
      <c r="B350" t="s">
        <v>1351</v>
      </c>
      <c r="C350" t="s">
        <v>946</v>
      </c>
      <c r="D350" t="s">
        <v>941</v>
      </c>
      <c r="E350" t="s">
        <v>69</v>
      </c>
      <c r="F350" t="s">
        <v>295</v>
      </c>
      <c r="G350" s="63" t="s">
        <v>1460</v>
      </c>
      <c r="H350" s="358">
        <v>8.3000000000000007</v>
      </c>
      <c r="J350" s="357">
        <v>0.5</v>
      </c>
      <c r="L350" s="358">
        <v>8.8000000000000007</v>
      </c>
      <c r="N350" s="361">
        <f>'Ground Economy'!U7</f>
        <v>0</v>
      </c>
      <c r="O350" s="361">
        <f>'Ground Economy'!V7</f>
        <v>0</v>
      </c>
      <c r="P350" s="358">
        <f>'Ground Economy'!W7</f>
        <v>8.8000000000000007</v>
      </c>
      <c r="R350" s="358">
        <f>'Ground Economy'!X7</f>
        <v>0</v>
      </c>
      <c r="T350" s="358">
        <f>'Ground Economy'!Y7</f>
        <v>8.8000000000000007</v>
      </c>
      <c r="V350" s="365">
        <f>'Ground Economy'!Z7</f>
        <v>0</v>
      </c>
      <c r="W350" s="358">
        <f>'Ground Economy'!AA7</f>
        <v>0</v>
      </c>
      <c r="X350" s="358">
        <f>'Ground Economy'!AB7</f>
        <v>0</v>
      </c>
      <c r="Y350" s="358">
        <f>'Ground Economy'!AC7</f>
        <v>0</v>
      </c>
    </row>
    <row r="351" spans="1:25" x14ac:dyDescent="0.35">
      <c r="A351">
        <v>350</v>
      </c>
      <c r="B351" t="s">
        <v>1351</v>
      </c>
      <c r="C351" t="s">
        <v>946</v>
      </c>
      <c r="D351" t="s">
        <v>941</v>
      </c>
      <c r="E351" t="s">
        <v>69</v>
      </c>
      <c r="F351" t="s">
        <v>294</v>
      </c>
      <c r="G351" s="63" t="s">
        <v>1461</v>
      </c>
      <c r="H351" s="358">
        <v>8.3000000000000007</v>
      </c>
      <c r="J351" s="357">
        <v>0.5</v>
      </c>
      <c r="L351" s="358">
        <v>8.8000000000000007</v>
      </c>
      <c r="N351" s="361">
        <f>'Ground Economy'!U8</f>
        <v>0</v>
      </c>
      <c r="O351" s="361">
        <f>'Ground Economy'!V8</f>
        <v>0</v>
      </c>
      <c r="P351" s="358">
        <f>'Ground Economy'!W8</f>
        <v>8.8000000000000007</v>
      </c>
      <c r="R351" s="358">
        <f>'Ground Economy'!X8</f>
        <v>0</v>
      </c>
      <c r="T351" s="358">
        <f>'Ground Economy'!Y8</f>
        <v>8.8000000000000007</v>
      </c>
      <c r="V351" s="365">
        <f>'Ground Economy'!Z8</f>
        <v>0</v>
      </c>
      <c r="W351" s="358">
        <f>'Ground Economy'!AA8</f>
        <v>0</v>
      </c>
      <c r="X351" s="358">
        <f>'Ground Economy'!AB8</f>
        <v>0</v>
      </c>
      <c r="Y351" s="358">
        <f>'Ground Economy'!AC8</f>
        <v>0</v>
      </c>
    </row>
    <row r="352" spans="1:25" x14ac:dyDescent="0.35">
      <c r="A352">
        <v>351</v>
      </c>
      <c r="B352" t="s">
        <v>1351</v>
      </c>
      <c r="C352" t="s">
        <v>946</v>
      </c>
      <c r="D352" t="s">
        <v>941</v>
      </c>
      <c r="E352" t="s">
        <v>69</v>
      </c>
      <c r="F352" t="s">
        <v>296</v>
      </c>
      <c r="G352" s="63" t="s">
        <v>1462</v>
      </c>
      <c r="H352" s="358">
        <v>8.3000000000000007</v>
      </c>
      <c r="J352" s="357">
        <v>0.5</v>
      </c>
      <c r="L352" s="358">
        <v>8.8000000000000007</v>
      </c>
      <c r="N352" s="361">
        <f>'Ground Economy'!U9</f>
        <v>0</v>
      </c>
      <c r="O352" s="361">
        <f>'Ground Economy'!V9</f>
        <v>0</v>
      </c>
      <c r="P352" s="358">
        <f>'Ground Economy'!W9</f>
        <v>8.8000000000000007</v>
      </c>
      <c r="R352" s="358">
        <f>'Ground Economy'!X9</f>
        <v>0</v>
      </c>
      <c r="T352" s="358">
        <f>'Ground Economy'!Y9</f>
        <v>8.8000000000000007</v>
      </c>
      <c r="V352" s="365">
        <f>'Ground Economy'!Z9</f>
        <v>0</v>
      </c>
      <c r="W352" s="358">
        <f>'Ground Economy'!AA9</f>
        <v>0</v>
      </c>
      <c r="X352" s="358">
        <f>'Ground Economy'!AB9</f>
        <v>0</v>
      </c>
      <c r="Y352" s="358">
        <f>'Ground Economy'!AC9</f>
        <v>0</v>
      </c>
    </row>
    <row r="353" spans="1:25" x14ac:dyDescent="0.35">
      <c r="A353">
        <v>352</v>
      </c>
      <c r="B353" t="s">
        <v>1351</v>
      </c>
      <c r="C353" t="s">
        <v>946</v>
      </c>
      <c r="D353" t="s">
        <v>941</v>
      </c>
      <c r="E353" t="s">
        <v>18</v>
      </c>
      <c r="F353" t="s">
        <v>18</v>
      </c>
      <c r="G353" s="63" t="s">
        <v>1463</v>
      </c>
      <c r="H353" s="358">
        <v>0</v>
      </c>
      <c r="J353" s="357">
        <v>0</v>
      </c>
      <c r="L353" s="358">
        <v>0</v>
      </c>
      <c r="N353" s="361">
        <f>'Ground Economy'!U10</f>
        <v>0</v>
      </c>
      <c r="O353" s="361">
        <f>'Ground Economy'!V10</f>
        <v>0</v>
      </c>
      <c r="V353" s="365">
        <f>'Ground Economy'!Z10</f>
        <v>0</v>
      </c>
    </row>
    <row r="354" spans="1:25" x14ac:dyDescent="0.35">
      <c r="A354">
        <v>353</v>
      </c>
      <c r="B354" t="s">
        <v>1351</v>
      </c>
      <c r="C354" t="s">
        <v>946</v>
      </c>
      <c r="D354" t="s">
        <v>941</v>
      </c>
      <c r="E354" t="s">
        <v>331</v>
      </c>
      <c r="F354" t="s">
        <v>331</v>
      </c>
      <c r="G354" s="63" t="s">
        <v>1464</v>
      </c>
      <c r="H354" s="358">
        <v>6.55</v>
      </c>
      <c r="J354" s="357">
        <v>0.54999999999999982</v>
      </c>
      <c r="L354" s="358">
        <v>7.1</v>
      </c>
      <c r="N354" s="361">
        <f>'Ground Economy'!U11</f>
        <v>0</v>
      </c>
      <c r="O354" s="361">
        <f>'Ground Economy'!V11</f>
        <v>0</v>
      </c>
      <c r="P354" s="358">
        <f>'Ground Economy'!W11</f>
        <v>7.1</v>
      </c>
      <c r="R354" s="358">
        <f>'Ground Economy'!X11</f>
        <v>0</v>
      </c>
      <c r="T354" s="358">
        <f>'Ground Economy'!Y11</f>
        <v>7.1</v>
      </c>
      <c r="V354" s="365">
        <f>'Ground Economy'!Z11</f>
        <v>0</v>
      </c>
      <c r="W354" s="358">
        <f>'Ground Economy'!AA11</f>
        <v>0</v>
      </c>
      <c r="X354" s="358">
        <f>'Ground Economy'!AB11</f>
        <v>0</v>
      </c>
      <c r="Y354" s="358">
        <f>'Ground Economy'!AC11</f>
        <v>0</v>
      </c>
    </row>
    <row r="355" spans="1:25" x14ac:dyDescent="0.35">
      <c r="A355">
        <v>354</v>
      </c>
      <c r="B355" t="s">
        <v>1351</v>
      </c>
      <c r="C355" t="s">
        <v>946</v>
      </c>
      <c r="D355" t="s">
        <v>941</v>
      </c>
      <c r="E355" t="s">
        <v>333</v>
      </c>
      <c r="F355" t="s">
        <v>333</v>
      </c>
      <c r="G355" s="63" t="s">
        <v>1465</v>
      </c>
      <c r="H355" s="358">
        <v>1</v>
      </c>
      <c r="J355" s="357">
        <v>5.0000000000000044E-2</v>
      </c>
      <c r="L355" s="358">
        <v>1.05</v>
      </c>
      <c r="N355" s="361">
        <f>'Ground Economy'!U12</f>
        <v>0</v>
      </c>
      <c r="O355" s="361">
        <f>'Ground Economy'!V12</f>
        <v>0</v>
      </c>
      <c r="P355" s="358">
        <f>'Ground Economy'!W12</f>
        <v>1.05</v>
      </c>
      <c r="R355" s="358">
        <f>'Ground Economy'!X12</f>
        <v>0</v>
      </c>
      <c r="T355" s="358">
        <f>'Ground Economy'!Y12</f>
        <v>1.05</v>
      </c>
      <c r="V355" s="365">
        <f>'Ground Economy'!Z12</f>
        <v>0</v>
      </c>
      <c r="W355" s="358">
        <f>'Ground Economy'!AA12</f>
        <v>0</v>
      </c>
      <c r="X355" s="358">
        <f>'Ground Economy'!AB12</f>
        <v>0</v>
      </c>
      <c r="Y355" s="358">
        <f>'Ground Economy'!AC12</f>
        <v>0</v>
      </c>
    </row>
    <row r="356" spans="1:25" x14ac:dyDescent="0.35">
      <c r="A356">
        <v>355</v>
      </c>
      <c r="B356" t="s">
        <v>1341</v>
      </c>
      <c r="C356" t="s">
        <v>946</v>
      </c>
      <c r="D356" t="s">
        <v>335</v>
      </c>
      <c r="E356" t="s">
        <v>66</v>
      </c>
      <c r="F356" t="s">
        <v>293</v>
      </c>
      <c r="G356" s="63" t="s">
        <v>1610</v>
      </c>
      <c r="H356" s="358">
        <v>270</v>
      </c>
      <c r="I356" s="358">
        <v>0</v>
      </c>
      <c r="J356" s="357">
        <v>15</v>
      </c>
      <c r="K356" s="358">
        <v>0</v>
      </c>
      <c r="L356" s="358">
        <v>285</v>
      </c>
      <c r="M356" s="358">
        <v>0</v>
      </c>
      <c r="N356" s="361">
        <f>'ExDom Freight'!D6</f>
        <v>0</v>
      </c>
      <c r="O356" s="361">
        <f>'ExDom Freight'!E6</f>
        <v>0</v>
      </c>
      <c r="P356" s="358">
        <f>'ExDom Freight'!F6</f>
        <v>285</v>
      </c>
      <c r="Q356" s="358">
        <f>'ExDom Freight'!G6</f>
        <v>0</v>
      </c>
      <c r="R356" s="358">
        <f>'ExDom Freight'!H6</f>
        <v>0</v>
      </c>
      <c r="S356" s="358">
        <f>'ExDom Freight'!I6</f>
        <v>0</v>
      </c>
      <c r="T356" s="358">
        <f>'ExDom Freight'!J6</f>
        <v>285</v>
      </c>
      <c r="U356" s="358">
        <f>'ExDom Freight'!K6</f>
        <v>0</v>
      </c>
      <c r="V356" s="365">
        <f>'ExDom Freight'!L6</f>
        <v>0</v>
      </c>
      <c r="W356" s="358">
        <f>'ExDom Freight'!M6</f>
        <v>0</v>
      </c>
      <c r="X356" s="358">
        <f>'ExDom Freight'!N6</f>
        <v>0</v>
      </c>
      <c r="Y356" s="358">
        <f>'ExDom Freight'!O6</f>
        <v>0</v>
      </c>
    </row>
    <row r="357" spans="1:25" x14ac:dyDescent="0.35">
      <c r="A357">
        <v>356</v>
      </c>
      <c r="B357" t="s">
        <v>1341</v>
      </c>
      <c r="C357" t="s">
        <v>946</v>
      </c>
      <c r="D357" t="s">
        <v>335</v>
      </c>
      <c r="E357" t="s">
        <v>66</v>
      </c>
      <c r="F357" t="s">
        <v>291</v>
      </c>
      <c r="G357" s="63" t="s">
        <v>1611</v>
      </c>
      <c r="H357" s="358">
        <v>340</v>
      </c>
      <c r="I357" s="358">
        <v>0</v>
      </c>
      <c r="J357" s="357">
        <v>20</v>
      </c>
      <c r="K357" s="358">
        <v>0</v>
      </c>
      <c r="L357" s="358">
        <v>360</v>
      </c>
      <c r="M357" s="358">
        <v>0</v>
      </c>
      <c r="N357" s="361">
        <f>'ExDom Freight'!D7</f>
        <v>0</v>
      </c>
      <c r="O357" s="361">
        <f>'ExDom Freight'!E7</f>
        <v>0</v>
      </c>
      <c r="P357" s="358">
        <f>'ExDom Freight'!F7</f>
        <v>360</v>
      </c>
      <c r="Q357" s="358">
        <f>'ExDom Freight'!G7</f>
        <v>0</v>
      </c>
      <c r="R357" s="358">
        <f>'ExDom Freight'!H7</f>
        <v>0</v>
      </c>
      <c r="S357" s="358">
        <f>'ExDom Freight'!I7</f>
        <v>0</v>
      </c>
      <c r="T357" s="358">
        <f>'ExDom Freight'!J7</f>
        <v>360</v>
      </c>
      <c r="U357" s="358">
        <f>'ExDom Freight'!K7</f>
        <v>0</v>
      </c>
      <c r="V357" s="365">
        <f>'ExDom Freight'!L7</f>
        <v>0</v>
      </c>
      <c r="W357" s="358">
        <f>'ExDom Freight'!M7</f>
        <v>0</v>
      </c>
      <c r="X357" s="358">
        <f>'ExDom Freight'!N7</f>
        <v>0</v>
      </c>
      <c r="Y357" s="358">
        <f>'ExDom Freight'!O7</f>
        <v>0</v>
      </c>
    </row>
    <row r="358" spans="1:25" x14ac:dyDescent="0.35">
      <c r="A358">
        <v>357</v>
      </c>
      <c r="B358" t="s">
        <v>1341</v>
      </c>
      <c r="C358" t="s">
        <v>946</v>
      </c>
      <c r="D358" t="s">
        <v>335</v>
      </c>
      <c r="E358" t="s">
        <v>31</v>
      </c>
      <c r="F358" t="s">
        <v>31</v>
      </c>
      <c r="G358" s="63" t="s">
        <v>1612</v>
      </c>
      <c r="H358" s="358">
        <v>130</v>
      </c>
      <c r="I358" s="358">
        <v>0</v>
      </c>
      <c r="J358" s="357">
        <v>0</v>
      </c>
      <c r="K358" s="358">
        <v>0</v>
      </c>
      <c r="L358" s="358">
        <v>130</v>
      </c>
      <c r="M358" s="358">
        <v>0</v>
      </c>
      <c r="N358" s="361">
        <f>'ExDom Freight'!D8</f>
        <v>0</v>
      </c>
      <c r="O358" s="361">
        <f>'ExDom Freight'!E8</f>
        <v>0</v>
      </c>
      <c r="P358" s="358">
        <f>'ExDom Freight'!F8</f>
        <v>130</v>
      </c>
      <c r="Q358" s="358">
        <f>'ExDom Freight'!G8</f>
        <v>0</v>
      </c>
      <c r="R358" s="358">
        <f>'ExDom Freight'!H8</f>
        <v>0</v>
      </c>
      <c r="S358" s="358">
        <f>'ExDom Freight'!I8</f>
        <v>0</v>
      </c>
      <c r="T358" s="358">
        <f>'ExDom Freight'!J8</f>
        <v>130</v>
      </c>
      <c r="U358" s="358">
        <f>'ExDom Freight'!K8</f>
        <v>0</v>
      </c>
      <c r="V358" s="365">
        <f>'ExDom Freight'!L8</f>
        <v>0</v>
      </c>
      <c r="W358" s="358">
        <f>'ExDom Freight'!M8</f>
        <v>0</v>
      </c>
      <c r="X358" s="358">
        <f>'ExDom Freight'!N8</f>
        <v>0</v>
      </c>
      <c r="Y358" s="358">
        <f>'ExDom Freight'!O8</f>
        <v>0</v>
      </c>
    </row>
    <row r="359" spans="1:25" x14ac:dyDescent="0.35">
      <c r="A359">
        <v>358</v>
      </c>
      <c r="B359" t="s">
        <v>1341</v>
      </c>
      <c r="C359" t="s">
        <v>946</v>
      </c>
      <c r="D359" t="s">
        <v>335</v>
      </c>
      <c r="E359" t="s">
        <v>332</v>
      </c>
      <c r="F359" t="s">
        <v>332</v>
      </c>
      <c r="G359" s="63" t="s">
        <v>1613</v>
      </c>
      <c r="H359" s="358">
        <v>99.5</v>
      </c>
      <c r="I359" s="358">
        <v>0</v>
      </c>
      <c r="J359" s="357">
        <v>0</v>
      </c>
      <c r="K359" s="358">
        <v>0</v>
      </c>
      <c r="L359" s="358">
        <v>99.5</v>
      </c>
      <c r="M359" s="358">
        <v>0</v>
      </c>
      <c r="N359" s="361">
        <f>'ExDom Freight'!D9</f>
        <v>0</v>
      </c>
      <c r="O359" s="361">
        <f>'ExDom Freight'!E9</f>
        <v>0</v>
      </c>
      <c r="P359" s="358">
        <f>'ExDom Freight'!F9</f>
        <v>99.5</v>
      </c>
      <c r="Q359" s="358">
        <f>'ExDom Freight'!G9</f>
        <v>0</v>
      </c>
      <c r="R359" s="358">
        <f>'ExDom Freight'!H9</f>
        <v>0</v>
      </c>
      <c r="S359" s="358">
        <f>'ExDom Freight'!I9</f>
        <v>0</v>
      </c>
      <c r="T359" s="358">
        <f>'ExDom Freight'!J9</f>
        <v>99.5</v>
      </c>
      <c r="U359" s="358">
        <f>'ExDom Freight'!K9</f>
        <v>0</v>
      </c>
      <c r="V359" s="365">
        <f>'ExDom Freight'!L9</f>
        <v>0</v>
      </c>
      <c r="W359" s="358">
        <f>'ExDom Freight'!M9</f>
        <v>0</v>
      </c>
      <c r="X359" s="358">
        <f>'ExDom Freight'!N9</f>
        <v>0</v>
      </c>
      <c r="Y359" s="358">
        <f>'ExDom Freight'!O9</f>
        <v>0</v>
      </c>
    </row>
    <row r="360" spans="1:25" x14ac:dyDescent="0.35">
      <c r="A360">
        <v>359</v>
      </c>
      <c r="B360" t="s">
        <v>1341</v>
      </c>
      <c r="C360" t="s">
        <v>946</v>
      </c>
      <c r="D360" t="s">
        <v>335</v>
      </c>
      <c r="E360" t="s">
        <v>51</v>
      </c>
      <c r="F360" t="s">
        <v>62</v>
      </c>
      <c r="G360" s="63" t="s">
        <v>1614</v>
      </c>
      <c r="H360" s="358">
        <v>175</v>
      </c>
      <c r="I360" s="358">
        <v>1.4</v>
      </c>
      <c r="J360" s="357">
        <v>10</v>
      </c>
      <c r="K360" s="358">
        <v>8.0000000000000071E-2</v>
      </c>
      <c r="L360" s="358">
        <v>185</v>
      </c>
      <c r="M360" s="358">
        <v>1.48</v>
      </c>
      <c r="N360" s="361">
        <f>'ExDom Freight'!D11</f>
        <v>0</v>
      </c>
      <c r="O360" s="361">
        <f>'ExDom Freight'!E11</f>
        <v>0</v>
      </c>
      <c r="P360" s="358">
        <f>'ExDom Freight'!F11</f>
        <v>185</v>
      </c>
      <c r="Q360" s="358">
        <f>'ExDom Freight'!G11</f>
        <v>1.48</v>
      </c>
      <c r="R360" s="358">
        <f>'ExDom Freight'!H11</f>
        <v>0</v>
      </c>
      <c r="S360" s="358">
        <f>'ExDom Freight'!I11</f>
        <v>0</v>
      </c>
      <c r="T360" s="358">
        <f>'ExDom Freight'!J11</f>
        <v>185</v>
      </c>
      <c r="U360" s="358">
        <f>'ExDom Freight'!K11</f>
        <v>1.48</v>
      </c>
      <c r="V360" s="365">
        <f>'ExDom Freight'!L11</f>
        <v>0</v>
      </c>
      <c r="W360" s="358">
        <f>'ExDom Freight'!M11</f>
        <v>0</v>
      </c>
      <c r="X360" s="358">
        <f>'ExDom Freight'!N11</f>
        <v>0</v>
      </c>
      <c r="Y360" s="358">
        <f>'ExDom Freight'!O11</f>
        <v>0</v>
      </c>
    </row>
    <row r="361" spans="1:25" x14ac:dyDescent="0.35">
      <c r="A361">
        <v>360</v>
      </c>
      <c r="B361" t="s">
        <v>1341</v>
      </c>
      <c r="C361" t="s">
        <v>946</v>
      </c>
      <c r="D361" t="s">
        <v>335</v>
      </c>
      <c r="E361" t="s">
        <v>51</v>
      </c>
      <c r="F361" t="s">
        <v>977</v>
      </c>
      <c r="G361" s="63" t="s">
        <v>1615</v>
      </c>
      <c r="H361" s="358">
        <v>145</v>
      </c>
      <c r="I361" s="358">
        <v>0.5</v>
      </c>
      <c r="J361" s="357">
        <v>8.5</v>
      </c>
      <c r="K361" s="358">
        <v>3.0000000000000027E-2</v>
      </c>
      <c r="L361" s="358">
        <v>153.5</v>
      </c>
      <c r="M361" s="358">
        <v>0.53</v>
      </c>
      <c r="N361" s="361">
        <f>'ExDom Freight'!D12</f>
        <v>0</v>
      </c>
      <c r="O361" s="361">
        <f>'ExDom Freight'!E12</f>
        <v>0</v>
      </c>
      <c r="P361" s="358">
        <f>'ExDom Freight'!F12</f>
        <v>153.5</v>
      </c>
      <c r="Q361" s="358">
        <f>'ExDom Freight'!G12</f>
        <v>0.53</v>
      </c>
      <c r="R361" s="358">
        <f>'ExDom Freight'!H12</f>
        <v>0</v>
      </c>
      <c r="S361" s="358">
        <f>'ExDom Freight'!I12</f>
        <v>0</v>
      </c>
      <c r="T361" s="358">
        <f>'ExDom Freight'!J12</f>
        <v>153.5</v>
      </c>
      <c r="U361" s="358">
        <f>'ExDom Freight'!K12</f>
        <v>0.53</v>
      </c>
      <c r="V361" s="365">
        <f>'ExDom Freight'!L12</f>
        <v>0</v>
      </c>
      <c r="W361" s="358">
        <f>'ExDom Freight'!M12</f>
        <v>0</v>
      </c>
      <c r="X361" s="358">
        <f>'ExDom Freight'!N12</f>
        <v>0</v>
      </c>
      <c r="Y361" s="358">
        <f>'ExDom Freight'!O12</f>
        <v>0</v>
      </c>
    </row>
    <row r="362" spans="1:25" x14ac:dyDescent="0.35">
      <c r="A362">
        <v>361</v>
      </c>
      <c r="B362" t="s">
        <v>1341</v>
      </c>
      <c r="C362" t="s">
        <v>946</v>
      </c>
      <c r="D362" t="s">
        <v>335</v>
      </c>
      <c r="E362" t="s">
        <v>28</v>
      </c>
      <c r="F362" t="s">
        <v>28</v>
      </c>
      <c r="G362" s="63" t="s">
        <v>1616</v>
      </c>
      <c r="H362" s="358">
        <v>1.5</v>
      </c>
      <c r="I362" s="358">
        <v>1</v>
      </c>
      <c r="J362" s="357">
        <v>0.14999999999999991</v>
      </c>
      <c r="K362" s="358">
        <v>0</v>
      </c>
      <c r="L362" s="358">
        <v>1.65</v>
      </c>
      <c r="M362" s="358">
        <v>1</v>
      </c>
      <c r="N362" s="361">
        <f>'ExDom Freight'!D13</f>
        <v>0</v>
      </c>
      <c r="O362" s="361">
        <f>'ExDom Freight'!E13</f>
        <v>0</v>
      </c>
      <c r="P362" s="358">
        <f>'ExDom Freight'!F13</f>
        <v>1.65</v>
      </c>
      <c r="Q362" s="358">
        <f>'ExDom Freight'!G13</f>
        <v>1</v>
      </c>
      <c r="R362" s="358">
        <f>'ExDom Freight'!H13</f>
        <v>0</v>
      </c>
      <c r="S362" s="358">
        <f>'ExDom Freight'!I13</f>
        <v>0</v>
      </c>
      <c r="T362" s="358">
        <f>'ExDom Freight'!J13</f>
        <v>1.65</v>
      </c>
      <c r="U362" s="358">
        <f>'ExDom Freight'!K13</f>
        <v>1</v>
      </c>
      <c r="V362" s="365">
        <f>'ExDom Freight'!L13</f>
        <v>0</v>
      </c>
    </row>
    <row r="363" spans="1:25" x14ac:dyDescent="0.35">
      <c r="A363">
        <v>362</v>
      </c>
      <c r="B363" t="s">
        <v>1341</v>
      </c>
      <c r="C363" t="s">
        <v>946</v>
      </c>
      <c r="D363" t="s">
        <v>335</v>
      </c>
      <c r="E363" t="s">
        <v>273</v>
      </c>
      <c r="F363" t="s">
        <v>273</v>
      </c>
      <c r="G363" s="63" t="s">
        <v>1617</v>
      </c>
      <c r="H363" s="358">
        <v>91.5</v>
      </c>
      <c r="I363" s="358">
        <v>0.1</v>
      </c>
      <c r="J363" s="357">
        <v>5.5</v>
      </c>
      <c r="K363" s="358">
        <v>5.9999999999999915E-3</v>
      </c>
      <c r="L363" s="358">
        <v>97</v>
      </c>
      <c r="M363" s="358">
        <v>0.106</v>
      </c>
      <c r="N363" s="361">
        <f>'ExDom Freight'!D14</f>
        <v>0</v>
      </c>
      <c r="O363" s="361">
        <f>'ExDom Freight'!E14</f>
        <v>0</v>
      </c>
      <c r="P363" s="358">
        <f>'ExDom Freight'!F14</f>
        <v>97</v>
      </c>
      <c r="Q363" s="358">
        <f>'ExDom Freight'!G14</f>
        <v>0.106</v>
      </c>
      <c r="R363" s="358">
        <f>'ExDom Freight'!H14</f>
        <v>0</v>
      </c>
      <c r="S363" s="358">
        <f>'ExDom Freight'!I14</f>
        <v>0</v>
      </c>
      <c r="T363" s="358">
        <f>'ExDom Freight'!J14</f>
        <v>97</v>
      </c>
      <c r="U363" s="358">
        <f>'ExDom Freight'!K14</f>
        <v>0.106</v>
      </c>
      <c r="V363" s="365">
        <f>'ExDom Freight'!L14</f>
        <v>0</v>
      </c>
      <c r="W363" s="358">
        <f>'ExDom Freight'!M14</f>
        <v>0</v>
      </c>
      <c r="X363" s="358">
        <f>'ExDom Freight'!N14</f>
        <v>0</v>
      </c>
      <c r="Y363" s="358">
        <f>'ExDom Freight'!O14</f>
        <v>0</v>
      </c>
    </row>
    <row r="364" spans="1:25" x14ac:dyDescent="0.35">
      <c r="A364">
        <v>363</v>
      </c>
      <c r="B364" t="s">
        <v>1341</v>
      </c>
      <c r="C364" t="s">
        <v>946</v>
      </c>
      <c r="D364" t="s">
        <v>335</v>
      </c>
      <c r="E364" t="s">
        <v>890</v>
      </c>
      <c r="F364" t="s">
        <v>890</v>
      </c>
      <c r="G364" s="63" t="s">
        <v>1618</v>
      </c>
      <c r="H364" s="358">
        <v>245</v>
      </c>
      <c r="I364" s="358">
        <v>0</v>
      </c>
      <c r="J364" s="357">
        <v>15</v>
      </c>
      <c r="K364" s="358">
        <v>0</v>
      </c>
      <c r="L364" s="358">
        <v>260</v>
      </c>
      <c r="M364" s="358">
        <v>0</v>
      </c>
      <c r="N364" s="361">
        <f>'ExDom Freight'!D15</f>
        <v>0</v>
      </c>
      <c r="O364" s="361">
        <f>'ExDom Freight'!E15</f>
        <v>0</v>
      </c>
      <c r="P364" s="358">
        <f>'ExDom Freight'!F15</f>
        <v>260</v>
      </c>
      <c r="Q364" s="358">
        <f>'ExDom Freight'!G15</f>
        <v>0</v>
      </c>
      <c r="R364" s="358">
        <f>'ExDom Freight'!H15</f>
        <v>0</v>
      </c>
      <c r="S364" s="358">
        <f>'ExDom Freight'!I15</f>
        <v>0</v>
      </c>
      <c r="T364" s="358">
        <f>'ExDom Freight'!J15</f>
        <v>260</v>
      </c>
      <c r="U364" s="358">
        <f>'ExDom Freight'!K15</f>
        <v>0</v>
      </c>
      <c r="V364" s="365">
        <f>'ExDom Freight'!L15</f>
        <v>0</v>
      </c>
      <c r="W364" s="358">
        <f>'ExDom Freight'!M15</f>
        <v>0</v>
      </c>
      <c r="X364" s="358">
        <f>'ExDom Freight'!N15</f>
        <v>0</v>
      </c>
      <c r="Y364" s="358">
        <f>'ExDom Freight'!O15</f>
        <v>0</v>
      </c>
    </row>
    <row r="365" spans="1:25" x14ac:dyDescent="0.35">
      <c r="A365">
        <v>364</v>
      </c>
      <c r="B365" t="s">
        <v>1341</v>
      </c>
      <c r="C365" t="s">
        <v>946</v>
      </c>
      <c r="D365" t="s">
        <v>335</v>
      </c>
      <c r="E365" t="s">
        <v>892</v>
      </c>
      <c r="F365" t="s">
        <v>892</v>
      </c>
      <c r="G365" s="63" t="s">
        <v>1619</v>
      </c>
      <c r="H365" s="358">
        <v>245</v>
      </c>
      <c r="I365" s="358">
        <v>0</v>
      </c>
      <c r="J365" s="357">
        <v>15</v>
      </c>
      <c r="K365" s="358">
        <v>0</v>
      </c>
      <c r="L365" s="358">
        <v>260</v>
      </c>
      <c r="M365" s="358">
        <v>0</v>
      </c>
      <c r="N365" s="361">
        <f>'ExDom Freight'!D16</f>
        <v>0</v>
      </c>
      <c r="O365" s="361">
        <f>'ExDom Freight'!E16</f>
        <v>0</v>
      </c>
      <c r="P365" s="358">
        <f>'ExDom Freight'!F16</f>
        <v>260</v>
      </c>
      <c r="Q365" s="358">
        <f>'ExDom Freight'!G16</f>
        <v>0</v>
      </c>
      <c r="R365" s="358">
        <f>'ExDom Freight'!H16</f>
        <v>0</v>
      </c>
      <c r="S365" s="358">
        <f>'ExDom Freight'!I16</f>
        <v>0</v>
      </c>
      <c r="T365" s="358">
        <f>'ExDom Freight'!J16</f>
        <v>260</v>
      </c>
      <c r="U365" s="358">
        <f>'ExDom Freight'!K16</f>
        <v>0</v>
      </c>
      <c r="V365" s="365">
        <f>'ExDom Freight'!L16</f>
        <v>0</v>
      </c>
      <c r="W365" s="358">
        <f>'ExDom Freight'!M16</f>
        <v>0</v>
      </c>
      <c r="X365" s="358">
        <f>'ExDom Freight'!N16</f>
        <v>0</v>
      </c>
      <c r="Y365" s="358">
        <f>'ExDom Freight'!O16</f>
        <v>0</v>
      </c>
    </row>
    <row r="366" spans="1:25" x14ac:dyDescent="0.35">
      <c r="A366">
        <v>365</v>
      </c>
      <c r="B366" t="s">
        <v>1341</v>
      </c>
      <c r="C366" t="s">
        <v>946</v>
      </c>
      <c r="D366" t="s">
        <v>335</v>
      </c>
      <c r="E366" t="s">
        <v>891</v>
      </c>
      <c r="F366" t="s">
        <v>891</v>
      </c>
      <c r="G366" s="63" t="s">
        <v>1620</v>
      </c>
      <c r="H366" s="358">
        <v>135</v>
      </c>
      <c r="I366" s="358">
        <v>0</v>
      </c>
      <c r="J366" s="357">
        <v>10</v>
      </c>
      <c r="K366" s="358">
        <v>0</v>
      </c>
      <c r="L366" s="358">
        <v>145</v>
      </c>
      <c r="M366" s="358">
        <v>0</v>
      </c>
      <c r="N366" s="361">
        <f>'ExDom Freight'!D17</f>
        <v>0</v>
      </c>
      <c r="O366" s="361">
        <f>'ExDom Freight'!E17</f>
        <v>0</v>
      </c>
      <c r="P366" s="358">
        <f>'ExDom Freight'!F17</f>
        <v>145</v>
      </c>
      <c r="Q366" s="358">
        <f>'ExDom Freight'!G17</f>
        <v>0</v>
      </c>
      <c r="R366" s="358">
        <f>'ExDom Freight'!H17</f>
        <v>0</v>
      </c>
      <c r="S366" s="358">
        <f>'ExDom Freight'!I17</f>
        <v>0</v>
      </c>
      <c r="T366" s="358">
        <f>'ExDom Freight'!J17</f>
        <v>145</v>
      </c>
      <c r="U366" s="358">
        <f>'ExDom Freight'!K17</f>
        <v>0</v>
      </c>
      <c r="V366" s="365">
        <f>'ExDom Freight'!L17</f>
        <v>0</v>
      </c>
      <c r="W366" s="358">
        <f>'ExDom Freight'!M17</f>
        <v>0</v>
      </c>
      <c r="X366" s="358">
        <f>'ExDom Freight'!N17</f>
        <v>0</v>
      </c>
      <c r="Y366" s="358">
        <f>'ExDom Freight'!O17</f>
        <v>0</v>
      </c>
    </row>
    <row r="367" spans="1:25" x14ac:dyDescent="0.35">
      <c r="A367">
        <v>366</v>
      </c>
      <c r="B367" t="s">
        <v>1341</v>
      </c>
      <c r="C367" t="s">
        <v>946</v>
      </c>
      <c r="D367" t="s">
        <v>335</v>
      </c>
      <c r="E367" t="s">
        <v>18</v>
      </c>
      <c r="F367" t="s">
        <v>18</v>
      </c>
      <c r="G367" s="63" t="s">
        <v>1621</v>
      </c>
      <c r="H367" s="358">
        <v>0</v>
      </c>
      <c r="I367" s="358">
        <v>0</v>
      </c>
      <c r="J367" s="357">
        <v>0</v>
      </c>
      <c r="K367" s="358">
        <v>0</v>
      </c>
      <c r="L367" s="358">
        <v>0</v>
      </c>
      <c r="M367" s="358">
        <v>0</v>
      </c>
      <c r="N367" s="361">
        <f>'ExDom Freight'!D18</f>
        <v>0</v>
      </c>
      <c r="O367" s="361">
        <f>'ExDom Freight'!E18</f>
        <v>0</v>
      </c>
      <c r="V367" s="365">
        <f>'ExDom Freight'!L18</f>
        <v>0</v>
      </c>
    </row>
    <row r="368" spans="1:25" x14ac:dyDescent="0.35">
      <c r="A368">
        <v>367</v>
      </c>
      <c r="B368" t="s">
        <v>1341</v>
      </c>
      <c r="C368" t="s">
        <v>946</v>
      </c>
      <c r="D368" t="s">
        <v>335</v>
      </c>
      <c r="E368" t="s">
        <v>278</v>
      </c>
      <c r="F368" t="s">
        <v>278</v>
      </c>
      <c r="G368" s="63" t="s">
        <v>1622</v>
      </c>
      <c r="H368" s="358">
        <v>150.5</v>
      </c>
      <c r="I368" s="358">
        <v>9.9000000000000005E-2</v>
      </c>
      <c r="J368" s="357">
        <v>9.5</v>
      </c>
      <c r="K368" s="358">
        <v>5.9999999999999915E-3</v>
      </c>
      <c r="L368" s="358">
        <v>160</v>
      </c>
      <c r="M368" s="358">
        <v>0.105</v>
      </c>
      <c r="N368" s="361">
        <f>'ExDom Freight'!D19</f>
        <v>0</v>
      </c>
      <c r="O368" s="361">
        <f>'ExDom Freight'!E19</f>
        <v>0</v>
      </c>
      <c r="P368" s="358">
        <f>'ExDom Freight'!F19</f>
        <v>160</v>
      </c>
      <c r="Q368" s="358">
        <f>'ExDom Freight'!G19</f>
        <v>0.105</v>
      </c>
      <c r="R368" s="358">
        <f>'ExDom Freight'!H19</f>
        <v>0</v>
      </c>
      <c r="S368" s="358">
        <f>'ExDom Freight'!I19</f>
        <v>0</v>
      </c>
      <c r="T368" s="358">
        <f>'ExDom Freight'!J19</f>
        <v>160</v>
      </c>
      <c r="U368" s="358">
        <f>'ExDom Freight'!K19</f>
        <v>0.105</v>
      </c>
      <c r="V368" s="365">
        <f>'ExDom Freight'!L19</f>
        <v>0</v>
      </c>
      <c r="W368" s="358">
        <f>'ExDom Freight'!M19</f>
        <v>0</v>
      </c>
      <c r="X368" s="358">
        <f>'ExDom Freight'!N19</f>
        <v>0</v>
      </c>
      <c r="Y368" s="358">
        <f>'ExDom Freight'!O19</f>
        <v>0</v>
      </c>
    </row>
    <row r="369" spans="1:25" x14ac:dyDescent="0.35">
      <c r="A369">
        <v>368</v>
      </c>
      <c r="B369" t="s">
        <v>1341</v>
      </c>
      <c r="C369" t="s">
        <v>946</v>
      </c>
      <c r="D369" t="s">
        <v>335</v>
      </c>
      <c r="E369" t="s">
        <v>277</v>
      </c>
      <c r="F369" t="s">
        <v>277</v>
      </c>
      <c r="G369" s="63" t="s">
        <v>1623</v>
      </c>
      <c r="H369" s="358">
        <v>150.5</v>
      </c>
      <c r="I369" s="358">
        <v>9.9000000000000005E-2</v>
      </c>
      <c r="J369" s="357">
        <v>9.5</v>
      </c>
      <c r="K369" s="358">
        <v>5.9999999999999915E-3</v>
      </c>
      <c r="L369" s="358">
        <v>160</v>
      </c>
      <c r="M369" s="358">
        <v>0.105</v>
      </c>
      <c r="N369" s="361">
        <f>'ExDom Freight'!D20</f>
        <v>0</v>
      </c>
      <c r="O369" s="361">
        <f>'ExDom Freight'!E20</f>
        <v>0</v>
      </c>
      <c r="P369" s="358">
        <f>'ExDom Freight'!F20</f>
        <v>160</v>
      </c>
      <c r="Q369" s="358">
        <f>'ExDom Freight'!G20</f>
        <v>0.105</v>
      </c>
      <c r="R369" s="358">
        <f>'ExDom Freight'!H20</f>
        <v>0</v>
      </c>
      <c r="S369" s="358">
        <f>'ExDom Freight'!I20</f>
        <v>0</v>
      </c>
      <c r="T369" s="358">
        <f>'ExDom Freight'!J20</f>
        <v>160</v>
      </c>
      <c r="U369" s="358">
        <f>'ExDom Freight'!K20</f>
        <v>0.105</v>
      </c>
      <c r="V369" s="365">
        <f>'ExDom Freight'!L20</f>
        <v>0</v>
      </c>
      <c r="W369" s="358">
        <f>'ExDom Freight'!M20</f>
        <v>0</v>
      </c>
      <c r="X369" s="358">
        <f>'ExDom Freight'!N20</f>
        <v>0</v>
      </c>
      <c r="Y369" s="358">
        <f>'ExDom Freight'!O20</f>
        <v>0</v>
      </c>
    </row>
    <row r="370" spans="1:25" x14ac:dyDescent="0.35">
      <c r="A370">
        <v>369</v>
      </c>
      <c r="B370" t="s">
        <v>1341</v>
      </c>
      <c r="C370" t="s">
        <v>946</v>
      </c>
      <c r="D370" t="s">
        <v>335</v>
      </c>
      <c r="E370" t="s">
        <v>893</v>
      </c>
      <c r="F370" t="s">
        <v>893</v>
      </c>
      <c r="G370" s="63" t="s">
        <v>1624</v>
      </c>
      <c r="H370" s="358">
        <v>245</v>
      </c>
      <c r="I370" s="358">
        <v>0</v>
      </c>
      <c r="J370" s="357">
        <v>15</v>
      </c>
      <c r="K370" s="358">
        <v>0</v>
      </c>
      <c r="L370" s="358">
        <v>260</v>
      </c>
      <c r="M370" s="358">
        <v>0</v>
      </c>
      <c r="N370" s="361">
        <f>'ExDom Freight'!D21</f>
        <v>0</v>
      </c>
      <c r="O370" s="361">
        <f>'ExDom Freight'!E21</f>
        <v>0</v>
      </c>
      <c r="P370" s="358">
        <f>'ExDom Freight'!F21</f>
        <v>260</v>
      </c>
      <c r="Q370" s="358">
        <f>'ExDom Freight'!G21</f>
        <v>0</v>
      </c>
      <c r="R370" s="358">
        <f>'ExDom Freight'!H21</f>
        <v>0</v>
      </c>
      <c r="S370" s="358">
        <f>'ExDom Freight'!I21</f>
        <v>0</v>
      </c>
      <c r="T370" s="358">
        <f>'ExDom Freight'!J21</f>
        <v>260</v>
      </c>
      <c r="U370" s="358">
        <f>'ExDom Freight'!K21</f>
        <v>0</v>
      </c>
      <c r="V370" s="365">
        <f>'ExDom Freight'!L21</f>
        <v>0</v>
      </c>
      <c r="W370" s="358">
        <f>'ExDom Freight'!M21</f>
        <v>0</v>
      </c>
      <c r="X370" s="358">
        <f>'ExDom Freight'!N21</f>
        <v>0</v>
      </c>
      <c r="Y370" s="358">
        <f>'ExDom Freight'!O21</f>
        <v>0</v>
      </c>
    </row>
    <row r="371" spans="1:25" x14ac:dyDescent="0.35">
      <c r="A371">
        <v>370</v>
      </c>
      <c r="B371" t="s">
        <v>1341</v>
      </c>
      <c r="C371" t="s">
        <v>946</v>
      </c>
      <c r="D371" t="s">
        <v>335</v>
      </c>
      <c r="E371" t="s">
        <v>894</v>
      </c>
      <c r="F371" t="s">
        <v>894</v>
      </c>
      <c r="G371" s="63" t="s">
        <v>1625</v>
      </c>
      <c r="H371" s="358">
        <v>245</v>
      </c>
      <c r="I371" s="358">
        <v>0</v>
      </c>
      <c r="J371" s="357">
        <v>15</v>
      </c>
      <c r="K371" s="358">
        <v>0</v>
      </c>
      <c r="L371" s="358">
        <v>260</v>
      </c>
      <c r="M371" s="358">
        <v>0</v>
      </c>
      <c r="N371" s="361">
        <f>'ExDom Freight'!D22</f>
        <v>0</v>
      </c>
      <c r="O371" s="361">
        <f>'ExDom Freight'!E22</f>
        <v>0</v>
      </c>
      <c r="P371" s="358">
        <f>'ExDom Freight'!F22</f>
        <v>260</v>
      </c>
      <c r="Q371" s="358">
        <f>'ExDom Freight'!G22</f>
        <v>0</v>
      </c>
      <c r="R371" s="358">
        <f>'ExDom Freight'!H22</f>
        <v>0</v>
      </c>
      <c r="S371" s="358">
        <f>'ExDom Freight'!I22</f>
        <v>0</v>
      </c>
      <c r="T371" s="358">
        <f>'ExDom Freight'!J22</f>
        <v>260</v>
      </c>
      <c r="U371" s="358">
        <f>'ExDom Freight'!K22</f>
        <v>0</v>
      </c>
      <c r="V371" s="365">
        <f>'ExDom Freight'!L22</f>
        <v>0</v>
      </c>
      <c r="W371" s="358">
        <f>'ExDom Freight'!M22</f>
        <v>0</v>
      </c>
      <c r="X371" s="358">
        <f>'ExDom Freight'!N22</f>
        <v>0</v>
      </c>
      <c r="Y371" s="358">
        <f>'ExDom Freight'!O22</f>
        <v>0</v>
      </c>
    </row>
    <row r="372" spans="1:25" x14ac:dyDescent="0.35">
      <c r="A372">
        <v>371</v>
      </c>
      <c r="B372" t="s">
        <v>1341</v>
      </c>
      <c r="C372" t="s">
        <v>946</v>
      </c>
      <c r="D372" t="s">
        <v>335</v>
      </c>
      <c r="E372" t="s">
        <v>57</v>
      </c>
      <c r="F372" t="s">
        <v>57</v>
      </c>
      <c r="G372" s="63" t="s">
        <v>1626</v>
      </c>
      <c r="H372" s="358">
        <v>24</v>
      </c>
      <c r="I372" s="358">
        <v>0</v>
      </c>
      <c r="J372" s="357">
        <v>1.5</v>
      </c>
      <c r="K372" s="358">
        <v>0</v>
      </c>
      <c r="L372" s="358">
        <v>25.5</v>
      </c>
      <c r="M372" s="358">
        <v>0</v>
      </c>
      <c r="N372" s="361">
        <f>'ExDom Freight'!D23</f>
        <v>0</v>
      </c>
      <c r="O372" s="361">
        <f>'ExDom Freight'!E23</f>
        <v>0</v>
      </c>
      <c r="P372" s="358">
        <f>'ExDom Freight'!F23</f>
        <v>25.5</v>
      </c>
      <c r="Q372" s="358">
        <f>'ExDom Freight'!G23</f>
        <v>0</v>
      </c>
      <c r="R372" s="358">
        <f>'ExDom Freight'!H23</f>
        <v>0</v>
      </c>
      <c r="S372" s="358">
        <f>'ExDom Freight'!I23</f>
        <v>0</v>
      </c>
      <c r="T372" s="358">
        <f>'ExDom Freight'!J23</f>
        <v>25.5</v>
      </c>
      <c r="U372" s="358">
        <f>'ExDom Freight'!K23</f>
        <v>0</v>
      </c>
      <c r="V372" s="365">
        <f>'ExDom Freight'!L23</f>
        <v>0</v>
      </c>
      <c r="W372" s="358">
        <f>'ExDom Freight'!M23</f>
        <v>0</v>
      </c>
      <c r="X372" s="358">
        <f>'ExDom Freight'!N23</f>
        <v>0</v>
      </c>
      <c r="Y372" s="358">
        <f>'ExDom Freight'!O23</f>
        <v>0</v>
      </c>
    </row>
    <row r="373" spans="1:25" x14ac:dyDescent="0.35">
      <c r="A373">
        <v>372</v>
      </c>
      <c r="B373" t="s">
        <v>1341</v>
      </c>
      <c r="C373" t="s">
        <v>946</v>
      </c>
      <c r="D373" t="s">
        <v>335</v>
      </c>
      <c r="E373" t="s">
        <v>314</v>
      </c>
      <c r="F373" t="s">
        <v>314</v>
      </c>
      <c r="G373" s="63" t="s">
        <v>1627</v>
      </c>
      <c r="H373" s="358">
        <v>540</v>
      </c>
      <c r="I373" s="358">
        <v>1.02</v>
      </c>
      <c r="J373" s="357">
        <v>0</v>
      </c>
      <c r="K373" s="358">
        <v>0</v>
      </c>
      <c r="L373" s="358">
        <v>540</v>
      </c>
      <c r="M373" s="358">
        <v>1.02</v>
      </c>
      <c r="N373" s="361">
        <f>'ExDom Freight'!D24</f>
        <v>0</v>
      </c>
      <c r="O373" s="361">
        <f>'ExDom Freight'!E24</f>
        <v>0</v>
      </c>
      <c r="P373" s="358">
        <f>'ExDom Freight'!F24</f>
        <v>540</v>
      </c>
      <c r="Q373" s="358">
        <f>'ExDom Freight'!G24</f>
        <v>1.02</v>
      </c>
      <c r="R373" s="358">
        <f>'ExDom Freight'!H24</f>
        <v>0</v>
      </c>
      <c r="S373" s="358">
        <f>'ExDom Freight'!I24</f>
        <v>0</v>
      </c>
      <c r="T373" s="358">
        <f>'ExDom Freight'!J24</f>
        <v>540</v>
      </c>
      <c r="U373" s="358">
        <f>'ExDom Freight'!K24</f>
        <v>1.02</v>
      </c>
      <c r="V373" s="365">
        <f>'ExDom Freight'!L24</f>
        <v>0</v>
      </c>
      <c r="W373" s="358">
        <f>'ExDom Freight'!M24</f>
        <v>0</v>
      </c>
      <c r="X373" s="358">
        <f>'ExDom Freight'!N24</f>
        <v>0</v>
      </c>
      <c r="Y373" s="358">
        <f>'ExDom Freight'!O24</f>
        <v>0</v>
      </c>
    </row>
    <row r="374" spans="1:25" x14ac:dyDescent="0.35">
      <c r="A374">
        <v>373</v>
      </c>
      <c r="B374" t="s">
        <v>1341</v>
      </c>
      <c r="C374" t="s">
        <v>946</v>
      </c>
      <c r="D374" t="s">
        <v>335</v>
      </c>
      <c r="E374" t="s">
        <v>852</v>
      </c>
      <c r="F374" t="s">
        <v>852</v>
      </c>
      <c r="G374" s="63" t="s">
        <v>1628</v>
      </c>
      <c r="H374" s="358">
        <v>24</v>
      </c>
      <c r="I374" s="358">
        <v>0</v>
      </c>
      <c r="J374" s="357">
        <v>1.5</v>
      </c>
      <c r="K374" s="358">
        <v>0</v>
      </c>
      <c r="L374" s="358">
        <v>25.5</v>
      </c>
      <c r="M374" s="358">
        <v>0</v>
      </c>
      <c r="N374" s="361">
        <f>'ExDom Freight'!D25</f>
        <v>0</v>
      </c>
      <c r="O374" s="361">
        <f>'ExDom Freight'!E25</f>
        <v>0</v>
      </c>
      <c r="P374" s="358">
        <f>'ExDom Freight'!F25</f>
        <v>25.5</v>
      </c>
      <c r="Q374" s="358">
        <f>'ExDom Freight'!G25</f>
        <v>0</v>
      </c>
      <c r="R374" s="358">
        <f>'ExDom Freight'!H25</f>
        <v>0</v>
      </c>
      <c r="S374" s="358">
        <f>'ExDom Freight'!I25</f>
        <v>0</v>
      </c>
      <c r="T374" s="358">
        <f>'ExDom Freight'!J25</f>
        <v>25.5</v>
      </c>
      <c r="U374" s="358">
        <f>'ExDom Freight'!K25</f>
        <v>0</v>
      </c>
      <c r="V374" s="365">
        <f>'ExDom Freight'!L25</f>
        <v>0</v>
      </c>
      <c r="W374" s="358">
        <f>'ExDom Freight'!M25</f>
        <v>0</v>
      </c>
      <c r="X374" s="358">
        <f>'ExDom Freight'!N25</f>
        <v>0</v>
      </c>
      <c r="Y374" s="358">
        <f>'ExDom Freight'!O25</f>
        <v>0</v>
      </c>
    </row>
    <row r="375" spans="1:25" x14ac:dyDescent="0.35">
      <c r="A375">
        <v>374</v>
      </c>
      <c r="B375" t="s">
        <v>1341</v>
      </c>
      <c r="C375" t="s">
        <v>946</v>
      </c>
      <c r="D375" t="s">
        <v>335</v>
      </c>
      <c r="E375" t="s">
        <v>933</v>
      </c>
      <c r="F375" t="s">
        <v>933</v>
      </c>
      <c r="G375" s="63" t="s">
        <v>1629</v>
      </c>
      <c r="H375" s="358">
        <v>130</v>
      </c>
      <c r="I375" s="358">
        <v>0</v>
      </c>
      <c r="J375" s="357">
        <v>0</v>
      </c>
      <c r="K375" s="358">
        <v>0</v>
      </c>
      <c r="L375" s="358">
        <v>130</v>
      </c>
      <c r="M375" s="358">
        <v>0</v>
      </c>
      <c r="N375" s="361">
        <f>'ExDom Freight'!D26</f>
        <v>0</v>
      </c>
      <c r="O375" s="361">
        <f>'ExDom Freight'!E26</f>
        <v>0</v>
      </c>
      <c r="P375" s="358">
        <f>'ExDom Freight'!F26</f>
        <v>130</v>
      </c>
      <c r="Q375" s="358">
        <f>'ExDom Freight'!G26</f>
        <v>0</v>
      </c>
      <c r="R375" s="358">
        <f>'ExDom Freight'!H26</f>
        <v>0</v>
      </c>
      <c r="S375" s="358">
        <f>'ExDom Freight'!I26</f>
        <v>0</v>
      </c>
      <c r="T375" s="358">
        <f>'ExDom Freight'!J26</f>
        <v>130</v>
      </c>
      <c r="U375" s="358">
        <f>'ExDom Freight'!K26</f>
        <v>0</v>
      </c>
      <c r="V375" s="365">
        <f>'ExDom Freight'!L26</f>
        <v>0</v>
      </c>
      <c r="W375" s="358">
        <f>'ExDom Freight'!M26</f>
        <v>0</v>
      </c>
      <c r="X375" s="358">
        <f>'ExDom Freight'!N26</f>
        <v>0</v>
      </c>
      <c r="Y375" s="358">
        <f>'ExDom Freight'!O26</f>
        <v>0</v>
      </c>
    </row>
    <row r="376" spans="1:25" x14ac:dyDescent="0.35">
      <c r="A376">
        <v>375</v>
      </c>
      <c r="B376" t="s">
        <v>1341</v>
      </c>
      <c r="C376" t="s">
        <v>946</v>
      </c>
      <c r="D376" t="s">
        <v>335</v>
      </c>
      <c r="E376" t="s">
        <v>25</v>
      </c>
      <c r="F376" t="s">
        <v>25</v>
      </c>
      <c r="G376" s="63" t="s">
        <v>1630</v>
      </c>
      <c r="H376" s="358">
        <v>215</v>
      </c>
      <c r="I376" s="358">
        <v>0</v>
      </c>
      <c r="J376" s="357">
        <v>15</v>
      </c>
      <c r="K376" s="358">
        <v>0</v>
      </c>
      <c r="L376" s="358">
        <v>230</v>
      </c>
      <c r="M376" s="358">
        <v>0</v>
      </c>
      <c r="N376" s="361">
        <f>'ExDom Freight'!D27</f>
        <v>0</v>
      </c>
      <c r="O376" s="361">
        <f>'ExDom Freight'!E27</f>
        <v>0</v>
      </c>
      <c r="P376" s="358">
        <f>'ExDom Freight'!F27</f>
        <v>230</v>
      </c>
      <c r="Q376" s="358">
        <f>'ExDom Freight'!G27</f>
        <v>0</v>
      </c>
      <c r="R376" s="358">
        <f>'ExDom Freight'!H27</f>
        <v>0</v>
      </c>
      <c r="S376" s="358">
        <f>'ExDom Freight'!I27</f>
        <v>0</v>
      </c>
      <c r="T376" s="358">
        <f>'ExDom Freight'!J27</f>
        <v>230</v>
      </c>
      <c r="U376" s="358">
        <f>'ExDom Freight'!K27</f>
        <v>0</v>
      </c>
      <c r="V376" s="365">
        <f>'ExDom Freight'!L27</f>
        <v>0</v>
      </c>
      <c r="W376" s="358">
        <f>'ExDom Freight'!M27</f>
        <v>0</v>
      </c>
      <c r="X376" s="358">
        <f>'ExDom Freight'!N27</f>
        <v>0</v>
      </c>
      <c r="Y376" s="358">
        <f>'ExDom Freight'!O27</f>
        <v>0</v>
      </c>
    </row>
    <row r="377" spans="1:25" x14ac:dyDescent="0.35">
      <c r="A377">
        <v>376</v>
      </c>
      <c r="B377" t="s">
        <v>1341</v>
      </c>
      <c r="C377" t="s">
        <v>946</v>
      </c>
      <c r="D377" t="s">
        <v>335</v>
      </c>
      <c r="E377" t="s">
        <v>895</v>
      </c>
      <c r="F377" t="s">
        <v>895</v>
      </c>
      <c r="G377" s="63" t="s">
        <v>1631</v>
      </c>
      <c r="H377" s="358">
        <v>215</v>
      </c>
      <c r="I377" s="358">
        <v>0</v>
      </c>
      <c r="J377" s="357">
        <v>15</v>
      </c>
      <c r="K377" s="358">
        <v>0</v>
      </c>
      <c r="L377" s="358">
        <v>230</v>
      </c>
      <c r="M377" s="358">
        <v>0</v>
      </c>
      <c r="N377" s="361">
        <f>'ExDom Freight'!D28</f>
        <v>0</v>
      </c>
      <c r="O377" s="361">
        <f>'ExDom Freight'!E28</f>
        <v>0</v>
      </c>
      <c r="P377" s="358">
        <f>'ExDom Freight'!F28</f>
        <v>230</v>
      </c>
      <c r="Q377" s="358">
        <f>'ExDom Freight'!G28</f>
        <v>0</v>
      </c>
      <c r="R377" s="358">
        <f>'ExDom Freight'!H28</f>
        <v>0</v>
      </c>
      <c r="S377" s="358">
        <f>'ExDom Freight'!I28</f>
        <v>0</v>
      </c>
      <c r="T377" s="358">
        <f>'ExDom Freight'!J28</f>
        <v>230</v>
      </c>
      <c r="U377" s="358">
        <f>'ExDom Freight'!K28</f>
        <v>0</v>
      </c>
      <c r="V377" s="365">
        <f>'ExDom Freight'!L28</f>
        <v>0</v>
      </c>
      <c r="W377" s="358">
        <f>'ExDom Freight'!M28</f>
        <v>0</v>
      </c>
      <c r="X377" s="358">
        <f>'ExDom Freight'!N28</f>
        <v>0</v>
      </c>
      <c r="Y377" s="358">
        <f>'ExDom Freight'!O28</f>
        <v>0</v>
      </c>
    </row>
    <row r="378" spans="1:25" x14ac:dyDescent="0.35">
      <c r="A378">
        <v>377</v>
      </c>
      <c r="B378" t="s">
        <v>1341</v>
      </c>
      <c r="C378" t="s">
        <v>946</v>
      </c>
      <c r="D378" t="s">
        <v>335</v>
      </c>
      <c r="E378" t="s">
        <v>283</v>
      </c>
      <c r="F378" t="s">
        <v>1003</v>
      </c>
      <c r="G378" s="63" t="s">
        <v>1632</v>
      </c>
      <c r="H378" s="358">
        <v>1.05</v>
      </c>
      <c r="I378" s="358">
        <v>0</v>
      </c>
      <c r="J378" s="357">
        <v>0</v>
      </c>
      <c r="K378" s="358">
        <v>0</v>
      </c>
      <c r="L378" s="358">
        <v>1.05</v>
      </c>
      <c r="M378" s="358">
        <v>0</v>
      </c>
      <c r="N378" s="361">
        <f>'ExDom Freight'!D30</f>
        <v>0</v>
      </c>
      <c r="O378" s="361">
        <f>'ExDom Freight'!E30</f>
        <v>0</v>
      </c>
      <c r="P378" s="358">
        <f>'ExDom Freight'!F30</f>
        <v>1.05</v>
      </c>
      <c r="Q378" s="358">
        <f>'ExDom Freight'!G30</f>
        <v>0</v>
      </c>
      <c r="R378" s="358">
        <f>'ExDom Freight'!H30</f>
        <v>0</v>
      </c>
      <c r="S378" s="358">
        <f>'ExDom Freight'!I30</f>
        <v>0</v>
      </c>
      <c r="T378" s="358">
        <f>'ExDom Freight'!J30</f>
        <v>1.05</v>
      </c>
      <c r="U378" s="358">
        <f>'ExDom Freight'!K30</f>
        <v>0</v>
      </c>
      <c r="V378" s="365">
        <f>'ExDom Freight'!L30</f>
        <v>0</v>
      </c>
      <c r="W378" s="358">
        <f>'ExDom Freight'!M30</f>
        <v>0</v>
      </c>
      <c r="X378" s="358">
        <f>'ExDom Freight'!N30</f>
        <v>0</v>
      </c>
      <c r="Y378" s="358">
        <f>'ExDom Freight'!O30</f>
        <v>0</v>
      </c>
    </row>
    <row r="379" spans="1:25" x14ac:dyDescent="0.35">
      <c r="A379">
        <v>378</v>
      </c>
      <c r="B379" t="s">
        <v>1341</v>
      </c>
      <c r="C379" t="s">
        <v>946</v>
      </c>
      <c r="D379" t="s">
        <v>335</v>
      </c>
      <c r="E379" t="s">
        <v>283</v>
      </c>
      <c r="F379" t="s">
        <v>1005</v>
      </c>
      <c r="G379" s="63" t="s">
        <v>1633</v>
      </c>
      <c r="H379" s="358">
        <v>1.05</v>
      </c>
      <c r="I379" s="358">
        <v>0</v>
      </c>
      <c r="J379" s="357">
        <v>0</v>
      </c>
      <c r="K379" s="358">
        <v>0</v>
      </c>
      <c r="L379" s="358">
        <v>1.05</v>
      </c>
      <c r="M379" s="358">
        <v>0</v>
      </c>
      <c r="N379" s="361">
        <f>'ExDom Freight'!D31</f>
        <v>0</v>
      </c>
      <c r="O379" s="361">
        <f>'ExDom Freight'!E31</f>
        <v>0</v>
      </c>
      <c r="P379" s="358">
        <f>'ExDom Freight'!F31</f>
        <v>1.05</v>
      </c>
      <c r="Q379" s="358">
        <f>'ExDom Freight'!G31</f>
        <v>0</v>
      </c>
      <c r="R379" s="358">
        <f>'ExDom Freight'!H31</f>
        <v>0</v>
      </c>
      <c r="S379" s="358">
        <f>'ExDom Freight'!I31</f>
        <v>0</v>
      </c>
      <c r="T379" s="358">
        <f>'ExDom Freight'!J31</f>
        <v>1.05</v>
      </c>
      <c r="U379" s="358">
        <f>'ExDom Freight'!K31</f>
        <v>0</v>
      </c>
      <c r="V379" s="365">
        <f>'ExDom Freight'!L31</f>
        <v>0</v>
      </c>
      <c r="W379" s="358">
        <f>'ExDom Freight'!M31</f>
        <v>0</v>
      </c>
      <c r="X379" s="358">
        <f>'ExDom Freight'!N31</f>
        <v>0</v>
      </c>
      <c r="Y379" s="358">
        <f>'ExDom Freight'!O31</f>
        <v>0</v>
      </c>
    </row>
    <row r="380" spans="1:25" x14ac:dyDescent="0.35">
      <c r="A380">
        <v>379</v>
      </c>
      <c r="B380" t="s">
        <v>1341</v>
      </c>
      <c r="C380" t="s">
        <v>946</v>
      </c>
      <c r="D380" t="s">
        <v>335</v>
      </c>
      <c r="E380" t="s">
        <v>46</v>
      </c>
      <c r="F380" t="s">
        <v>46</v>
      </c>
      <c r="G380" s="63" t="s">
        <v>1634</v>
      </c>
      <c r="H380" s="358">
        <v>210</v>
      </c>
      <c r="I380" s="358">
        <v>0</v>
      </c>
      <c r="J380" s="357">
        <v>0</v>
      </c>
      <c r="K380" s="358">
        <v>0</v>
      </c>
      <c r="L380" s="358">
        <v>210</v>
      </c>
      <c r="M380" s="358">
        <v>0</v>
      </c>
      <c r="N380" s="361">
        <f>'ExDom Freight'!D32</f>
        <v>0</v>
      </c>
      <c r="O380" s="361">
        <f>'ExDom Freight'!E32</f>
        <v>0</v>
      </c>
      <c r="P380" s="358">
        <f>'ExDom Freight'!F32</f>
        <v>210</v>
      </c>
      <c r="Q380" s="358">
        <f>'ExDom Freight'!G32</f>
        <v>0</v>
      </c>
      <c r="R380" s="358">
        <f>'ExDom Freight'!H32</f>
        <v>0</v>
      </c>
      <c r="S380" s="358">
        <f>'ExDom Freight'!I32</f>
        <v>0</v>
      </c>
      <c r="T380" s="358">
        <f>'ExDom Freight'!J32</f>
        <v>210</v>
      </c>
      <c r="U380" s="358">
        <f>'ExDom Freight'!K32</f>
        <v>0</v>
      </c>
      <c r="V380" s="365">
        <f>'ExDom Freight'!L32</f>
        <v>0</v>
      </c>
      <c r="W380" s="358">
        <f>'ExDom Freight'!M32</f>
        <v>0</v>
      </c>
      <c r="X380" s="358">
        <f>'ExDom Freight'!N32</f>
        <v>0</v>
      </c>
      <c r="Y380" s="358">
        <f>'ExDom Freight'!O32</f>
        <v>0</v>
      </c>
    </row>
    <row r="381" spans="1:25" x14ac:dyDescent="0.35">
      <c r="A381">
        <v>380</v>
      </c>
      <c r="B381" t="s">
        <v>1341</v>
      </c>
      <c r="C381" t="s">
        <v>946</v>
      </c>
      <c r="D381" t="s">
        <v>335</v>
      </c>
      <c r="E381" t="s">
        <v>24</v>
      </c>
      <c r="F381" t="s">
        <v>24</v>
      </c>
      <c r="G381" s="63" t="s">
        <v>1635</v>
      </c>
      <c r="H381" s="358">
        <v>210</v>
      </c>
      <c r="I381" s="358">
        <v>0</v>
      </c>
      <c r="J381" s="357">
        <v>0</v>
      </c>
      <c r="K381" s="358">
        <v>0</v>
      </c>
      <c r="L381" s="358">
        <v>210</v>
      </c>
      <c r="M381" s="358">
        <v>0</v>
      </c>
      <c r="N381" s="361">
        <f>'ExDom Freight'!D33</f>
        <v>0</v>
      </c>
      <c r="O381" s="361">
        <f>'ExDom Freight'!E33</f>
        <v>0</v>
      </c>
      <c r="P381" s="358">
        <f>'ExDom Freight'!F33</f>
        <v>210</v>
      </c>
      <c r="Q381" s="358">
        <f>'ExDom Freight'!G33</f>
        <v>0</v>
      </c>
      <c r="R381" s="358">
        <f>'ExDom Freight'!H33</f>
        <v>0</v>
      </c>
      <c r="S381" s="358">
        <f>'ExDom Freight'!I33</f>
        <v>0</v>
      </c>
      <c r="T381" s="358">
        <f>'ExDom Freight'!J33</f>
        <v>210</v>
      </c>
      <c r="U381" s="358">
        <f>'ExDom Freight'!K33</f>
        <v>0</v>
      </c>
      <c r="V381" s="365">
        <f>'ExDom Freight'!L33</f>
        <v>0</v>
      </c>
      <c r="W381" s="358">
        <f>'ExDom Freight'!M33</f>
        <v>0</v>
      </c>
      <c r="X381" s="358">
        <f>'ExDom Freight'!N33</f>
        <v>0</v>
      </c>
      <c r="Y381" s="358">
        <f>'ExDom Freight'!O33</f>
        <v>0</v>
      </c>
    </row>
    <row r="382" spans="1:25" x14ac:dyDescent="0.35">
      <c r="A382">
        <v>381</v>
      </c>
      <c r="B382" t="s">
        <v>1350</v>
      </c>
      <c r="C382" t="s">
        <v>946</v>
      </c>
      <c r="D382" t="s">
        <v>335</v>
      </c>
      <c r="E382" t="s">
        <v>66</v>
      </c>
      <c r="F382" t="s">
        <v>293</v>
      </c>
      <c r="G382" s="63" t="s">
        <v>1610</v>
      </c>
      <c r="H382" s="358">
        <v>270</v>
      </c>
      <c r="I382" s="358">
        <v>0</v>
      </c>
      <c r="J382" s="357">
        <v>15</v>
      </c>
      <c r="K382" s="358">
        <v>0</v>
      </c>
      <c r="L382" s="358">
        <v>285</v>
      </c>
      <c r="M382" s="358">
        <v>0</v>
      </c>
      <c r="N382" s="361">
        <f>'ExDom Freight'!P6</f>
        <v>0</v>
      </c>
      <c r="O382" s="361">
        <f>'ExDom Freight'!Q6</f>
        <v>0</v>
      </c>
      <c r="P382" s="358">
        <f>'ExDom Freight'!R6</f>
        <v>285</v>
      </c>
      <c r="Q382" s="358">
        <f>'ExDom Freight'!S6</f>
        <v>0</v>
      </c>
      <c r="R382" s="358">
        <f>'ExDom Freight'!T6</f>
        <v>0</v>
      </c>
      <c r="S382" s="358">
        <f>'ExDom Freight'!U6</f>
        <v>0</v>
      </c>
      <c r="T382" s="358">
        <f>'ExDom Freight'!V6</f>
        <v>285</v>
      </c>
      <c r="U382" s="358">
        <f>'ExDom Freight'!W6</f>
        <v>0</v>
      </c>
      <c r="V382" s="365">
        <f>'ExDom Freight'!X6</f>
        <v>0</v>
      </c>
      <c r="W382" s="358">
        <f>'ExDom Freight'!Y6</f>
        <v>0</v>
      </c>
      <c r="X382" s="358">
        <f>'ExDom Freight'!Z6</f>
        <v>0</v>
      </c>
      <c r="Y382" s="358">
        <f>'ExDom Freight'!AA6</f>
        <v>0</v>
      </c>
    </row>
    <row r="383" spans="1:25" x14ac:dyDescent="0.35">
      <c r="A383">
        <v>382</v>
      </c>
      <c r="B383" t="s">
        <v>1350</v>
      </c>
      <c r="C383" t="s">
        <v>946</v>
      </c>
      <c r="D383" t="s">
        <v>335</v>
      </c>
      <c r="E383" t="s">
        <v>66</v>
      </c>
      <c r="F383" t="s">
        <v>291</v>
      </c>
      <c r="G383" s="63" t="s">
        <v>1611</v>
      </c>
      <c r="H383" s="358">
        <v>340</v>
      </c>
      <c r="I383" s="358">
        <v>0</v>
      </c>
      <c r="J383" s="357">
        <v>20</v>
      </c>
      <c r="K383" s="358">
        <v>0</v>
      </c>
      <c r="L383" s="358">
        <v>360</v>
      </c>
      <c r="M383" s="358">
        <v>0</v>
      </c>
      <c r="N383" s="361">
        <f>'ExDom Freight'!P7</f>
        <v>0</v>
      </c>
      <c r="O383" s="361">
        <f>'ExDom Freight'!Q7</f>
        <v>0</v>
      </c>
      <c r="P383" s="358">
        <f>'ExDom Freight'!R7</f>
        <v>360</v>
      </c>
      <c r="Q383" s="358">
        <f>'ExDom Freight'!S7</f>
        <v>0</v>
      </c>
      <c r="R383" s="358">
        <f>'ExDom Freight'!T7</f>
        <v>0</v>
      </c>
      <c r="S383" s="358">
        <f>'ExDom Freight'!U7</f>
        <v>0</v>
      </c>
      <c r="T383" s="358">
        <f>'ExDom Freight'!V7</f>
        <v>360</v>
      </c>
      <c r="U383" s="358">
        <f>'ExDom Freight'!W7</f>
        <v>0</v>
      </c>
      <c r="V383" s="365">
        <f>'ExDom Freight'!X7</f>
        <v>0</v>
      </c>
      <c r="W383" s="358">
        <f>'ExDom Freight'!Y7</f>
        <v>0</v>
      </c>
      <c r="X383" s="358">
        <f>'ExDom Freight'!Z7</f>
        <v>0</v>
      </c>
      <c r="Y383" s="358">
        <f>'ExDom Freight'!AA7</f>
        <v>0</v>
      </c>
    </row>
    <row r="384" spans="1:25" x14ac:dyDescent="0.35">
      <c r="A384">
        <v>383</v>
      </c>
      <c r="B384" t="s">
        <v>1350</v>
      </c>
      <c r="C384" t="s">
        <v>946</v>
      </c>
      <c r="D384" t="s">
        <v>335</v>
      </c>
      <c r="E384" t="s">
        <v>31</v>
      </c>
      <c r="F384" t="s">
        <v>31</v>
      </c>
      <c r="G384" s="63" t="s">
        <v>1612</v>
      </c>
      <c r="H384" s="358">
        <v>130</v>
      </c>
      <c r="I384" s="358">
        <v>0</v>
      </c>
      <c r="J384" s="357">
        <v>0</v>
      </c>
      <c r="K384" s="358">
        <v>0</v>
      </c>
      <c r="L384" s="358">
        <v>130</v>
      </c>
      <c r="M384" s="358">
        <v>0</v>
      </c>
      <c r="N384" s="361">
        <f>'ExDom Freight'!P8</f>
        <v>0</v>
      </c>
      <c r="O384" s="361">
        <f>'ExDom Freight'!Q8</f>
        <v>0</v>
      </c>
      <c r="P384" s="358">
        <f>'ExDom Freight'!R8</f>
        <v>130</v>
      </c>
      <c r="Q384" s="358">
        <f>'ExDom Freight'!S8</f>
        <v>0</v>
      </c>
      <c r="R384" s="358">
        <f>'ExDom Freight'!T8</f>
        <v>0</v>
      </c>
      <c r="S384" s="358">
        <f>'ExDom Freight'!U8</f>
        <v>0</v>
      </c>
      <c r="T384" s="358">
        <f>'ExDom Freight'!V8</f>
        <v>130</v>
      </c>
      <c r="U384" s="358">
        <f>'ExDom Freight'!W8</f>
        <v>0</v>
      </c>
      <c r="V384" s="365">
        <f>'ExDom Freight'!X8</f>
        <v>0</v>
      </c>
      <c r="W384" s="358">
        <f>'ExDom Freight'!Y8</f>
        <v>0</v>
      </c>
      <c r="X384" s="358">
        <f>'ExDom Freight'!Z8</f>
        <v>0</v>
      </c>
      <c r="Y384" s="358">
        <f>'ExDom Freight'!AA8</f>
        <v>0</v>
      </c>
    </row>
    <row r="385" spans="1:25" x14ac:dyDescent="0.35">
      <c r="A385">
        <v>384</v>
      </c>
      <c r="B385" t="s">
        <v>1350</v>
      </c>
      <c r="C385" t="s">
        <v>946</v>
      </c>
      <c r="D385" t="s">
        <v>335</v>
      </c>
      <c r="E385" t="s">
        <v>332</v>
      </c>
      <c r="F385" t="s">
        <v>332</v>
      </c>
      <c r="G385" s="63" t="s">
        <v>1613</v>
      </c>
      <c r="H385" s="358">
        <v>99.5</v>
      </c>
      <c r="I385" s="358">
        <v>0</v>
      </c>
      <c r="J385" s="357">
        <v>0</v>
      </c>
      <c r="K385" s="358">
        <v>0</v>
      </c>
      <c r="L385" s="358">
        <v>99.5</v>
      </c>
      <c r="M385" s="358">
        <v>0</v>
      </c>
      <c r="N385" s="361">
        <f>'ExDom Freight'!P9</f>
        <v>0</v>
      </c>
      <c r="O385" s="361">
        <f>'ExDom Freight'!Q9</f>
        <v>0</v>
      </c>
      <c r="P385" s="358">
        <f>'ExDom Freight'!R9</f>
        <v>99.5</v>
      </c>
      <c r="Q385" s="358">
        <f>'ExDom Freight'!S9</f>
        <v>0</v>
      </c>
      <c r="R385" s="358">
        <f>'ExDom Freight'!T9</f>
        <v>0</v>
      </c>
      <c r="S385" s="358">
        <f>'ExDom Freight'!U9</f>
        <v>0</v>
      </c>
      <c r="T385" s="358">
        <f>'ExDom Freight'!V9</f>
        <v>99.5</v>
      </c>
      <c r="U385" s="358">
        <f>'ExDom Freight'!W9</f>
        <v>0</v>
      </c>
      <c r="V385" s="365">
        <f>'ExDom Freight'!X9</f>
        <v>0</v>
      </c>
      <c r="W385" s="358">
        <f>'ExDom Freight'!Y9</f>
        <v>0</v>
      </c>
      <c r="X385" s="358">
        <f>'ExDom Freight'!Z9</f>
        <v>0</v>
      </c>
      <c r="Y385" s="358">
        <f>'ExDom Freight'!AA9</f>
        <v>0</v>
      </c>
    </row>
    <row r="386" spans="1:25" x14ac:dyDescent="0.35">
      <c r="A386">
        <v>385</v>
      </c>
      <c r="B386" t="s">
        <v>1350</v>
      </c>
      <c r="C386" t="s">
        <v>946</v>
      </c>
      <c r="D386" t="s">
        <v>335</v>
      </c>
      <c r="E386" t="s">
        <v>51</v>
      </c>
      <c r="F386" t="s">
        <v>62</v>
      </c>
      <c r="G386" s="63" t="s">
        <v>1614</v>
      </c>
      <c r="H386" s="358">
        <v>175</v>
      </c>
      <c r="I386" s="358">
        <v>1.4</v>
      </c>
      <c r="J386" s="357">
        <v>10</v>
      </c>
      <c r="K386" s="358">
        <v>8.0000000000000071E-2</v>
      </c>
      <c r="L386" s="358">
        <v>185</v>
      </c>
      <c r="M386" s="358">
        <v>1.48</v>
      </c>
      <c r="N386" s="361">
        <f>'ExDom Freight'!P11</f>
        <v>0</v>
      </c>
      <c r="O386" s="361">
        <f>'ExDom Freight'!Q11</f>
        <v>0</v>
      </c>
      <c r="P386" s="358">
        <f>'ExDom Freight'!R11</f>
        <v>185</v>
      </c>
      <c r="Q386" s="358">
        <f>'ExDom Freight'!S11</f>
        <v>1.48</v>
      </c>
      <c r="R386" s="358">
        <f>'ExDom Freight'!T11</f>
        <v>0</v>
      </c>
      <c r="S386" s="358">
        <f>'ExDom Freight'!U11</f>
        <v>0</v>
      </c>
      <c r="T386" s="358">
        <f>'ExDom Freight'!V11</f>
        <v>185</v>
      </c>
      <c r="U386" s="358">
        <f>'ExDom Freight'!W11</f>
        <v>1.48</v>
      </c>
      <c r="V386" s="365">
        <f>'ExDom Freight'!X11</f>
        <v>0</v>
      </c>
      <c r="W386" s="358">
        <f>'ExDom Freight'!Y11</f>
        <v>0</v>
      </c>
      <c r="X386" s="358">
        <f>'ExDom Freight'!Z11</f>
        <v>0</v>
      </c>
      <c r="Y386" s="358">
        <f>'ExDom Freight'!AA11</f>
        <v>0</v>
      </c>
    </row>
    <row r="387" spans="1:25" x14ac:dyDescent="0.35">
      <c r="A387">
        <v>386</v>
      </c>
      <c r="B387" t="s">
        <v>1350</v>
      </c>
      <c r="C387" t="s">
        <v>946</v>
      </c>
      <c r="D387" t="s">
        <v>335</v>
      </c>
      <c r="E387" t="s">
        <v>51</v>
      </c>
      <c r="F387" t="s">
        <v>977</v>
      </c>
      <c r="G387" s="63" t="s">
        <v>1615</v>
      </c>
      <c r="H387" s="358">
        <v>145</v>
      </c>
      <c r="I387" s="358">
        <v>0.5</v>
      </c>
      <c r="J387" s="357">
        <v>8.5</v>
      </c>
      <c r="K387" s="358">
        <v>3.0000000000000027E-2</v>
      </c>
      <c r="L387" s="358">
        <v>153.5</v>
      </c>
      <c r="M387" s="358">
        <v>0.53</v>
      </c>
      <c r="N387" s="361">
        <f>'ExDom Freight'!P12</f>
        <v>0</v>
      </c>
      <c r="O387" s="361">
        <f>'ExDom Freight'!Q12</f>
        <v>0</v>
      </c>
      <c r="P387" s="358">
        <f>'ExDom Freight'!R12</f>
        <v>153.5</v>
      </c>
      <c r="Q387" s="358">
        <f>'ExDom Freight'!S12</f>
        <v>0.53</v>
      </c>
      <c r="R387" s="358">
        <f>'ExDom Freight'!T12</f>
        <v>0</v>
      </c>
      <c r="S387" s="358">
        <f>'ExDom Freight'!U12</f>
        <v>0</v>
      </c>
      <c r="T387" s="358">
        <f>'ExDom Freight'!V12</f>
        <v>153.5</v>
      </c>
      <c r="U387" s="358">
        <f>'ExDom Freight'!W12</f>
        <v>0.53</v>
      </c>
      <c r="V387" s="365">
        <f>'ExDom Freight'!X12</f>
        <v>0</v>
      </c>
      <c r="W387" s="358">
        <f>'ExDom Freight'!Y12</f>
        <v>0</v>
      </c>
      <c r="X387" s="358">
        <f>'ExDom Freight'!Z12</f>
        <v>0</v>
      </c>
      <c r="Y387" s="358">
        <f>'ExDom Freight'!AA12</f>
        <v>0</v>
      </c>
    </row>
    <row r="388" spans="1:25" x14ac:dyDescent="0.35">
      <c r="A388">
        <v>387</v>
      </c>
      <c r="B388" t="s">
        <v>1350</v>
      </c>
      <c r="C388" t="s">
        <v>946</v>
      </c>
      <c r="D388" t="s">
        <v>335</v>
      </c>
      <c r="E388" t="s">
        <v>28</v>
      </c>
      <c r="F388" t="s">
        <v>28</v>
      </c>
      <c r="G388" s="63" t="s">
        <v>1616</v>
      </c>
      <c r="H388" s="358">
        <v>1.5</v>
      </c>
      <c r="I388" s="358">
        <v>1</v>
      </c>
      <c r="J388" s="357">
        <v>0.14999999999999991</v>
      </c>
      <c r="K388" s="358">
        <v>0</v>
      </c>
      <c r="L388" s="358">
        <v>1.65</v>
      </c>
      <c r="M388" s="358">
        <v>1</v>
      </c>
      <c r="N388" s="361">
        <f>'ExDom Freight'!P13</f>
        <v>0</v>
      </c>
      <c r="O388" s="361">
        <f>'ExDom Freight'!Q13</f>
        <v>0</v>
      </c>
      <c r="P388" s="358">
        <f>'ExDom Freight'!R13</f>
        <v>1.65</v>
      </c>
      <c r="Q388" s="358">
        <f>'ExDom Freight'!S13</f>
        <v>1</v>
      </c>
      <c r="R388" s="358">
        <f>'ExDom Freight'!T13</f>
        <v>0</v>
      </c>
      <c r="S388" s="358">
        <f>'ExDom Freight'!U13</f>
        <v>0</v>
      </c>
      <c r="T388" s="358">
        <f>'ExDom Freight'!V13</f>
        <v>1.65</v>
      </c>
      <c r="U388" s="358">
        <f>'ExDom Freight'!W13</f>
        <v>1</v>
      </c>
      <c r="V388" s="365">
        <f>'ExDom Freight'!X13</f>
        <v>0</v>
      </c>
    </row>
    <row r="389" spans="1:25" x14ac:dyDescent="0.35">
      <c r="A389">
        <v>388</v>
      </c>
      <c r="B389" t="s">
        <v>1350</v>
      </c>
      <c r="C389" t="s">
        <v>946</v>
      </c>
      <c r="D389" t="s">
        <v>335</v>
      </c>
      <c r="E389" t="s">
        <v>273</v>
      </c>
      <c r="F389" t="s">
        <v>273</v>
      </c>
      <c r="G389" s="63" t="s">
        <v>1617</v>
      </c>
      <c r="H389" s="358">
        <v>91.5</v>
      </c>
      <c r="I389" s="358">
        <v>0.1</v>
      </c>
      <c r="J389" s="357">
        <v>5.5</v>
      </c>
      <c r="K389" s="358">
        <v>5.9999999999999915E-3</v>
      </c>
      <c r="L389" s="358">
        <v>97</v>
      </c>
      <c r="M389" s="358">
        <v>0.106</v>
      </c>
      <c r="N389" s="361">
        <f>'ExDom Freight'!P14</f>
        <v>0</v>
      </c>
      <c r="O389" s="361">
        <f>'ExDom Freight'!Q14</f>
        <v>0</v>
      </c>
      <c r="P389" s="358">
        <f>'ExDom Freight'!R14</f>
        <v>97</v>
      </c>
      <c r="Q389" s="358">
        <f>'ExDom Freight'!S14</f>
        <v>0.106</v>
      </c>
      <c r="R389" s="358">
        <f>'ExDom Freight'!T14</f>
        <v>0</v>
      </c>
      <c r="S389" s="358">
        <f>'ExDom Freight'!U14</f>
        <v>0</v>
      </c>
      <c r="T389" s="358">
        <f>'ExDom Freight'!V14</f>
        <v>97</v>
      </c>
      <c r="U389" s="358">
        <f>'ExDom Freight'!W14</f>
        <v>0.106</v>
      </c>
      <c r="V389" s="365">
        <f>'ExDom Freight'!X14</f>
        <v>0</v>
      </c>
      <c r="W389" s="358">
        <f>'ExDom Freight'!Y14</f>
        <v>0</v>
      </c>
      <c r="X389" s="358">
        <f>'ExDom Freight'!Z14</f>
        <v>0</v>
      </c>
      <c r="Y389" s="358">
        <f>'ExDom Freight'!AA14</f>
        <v>0</v>
      </c>
    </row>
    <row r="390" spans="1:25" x14ac:dyDescent="0.35">
      <c r="A390">
        <v>389</v>
      </c>
      <c r="B390" t="s">
        <v>1350</v>
      </c>
      <c r="C390" t="s">
        <v>946</v>
      </c>
      <c r="D390" t="s">
        <v>335</v>
      </c>
      <c r="E390" t="s">
        <v>890</v>
      </c>
      <c r="F390" t="s">
        <v>890</v>
      </c>
      <c r="G390" s="63" t="s">
        <v>1618</v>
      </c>
      <c r="H390" s="358">
        <v>245</v>
      </c>
      <c r="I390" s="358">
        <v>0</v>
      </c>
      <c r="J390" s="357">
        <v>15</v>
      </c>
      <c r="K390" s="358">
        <v>0</v>
      </c>
      <c r="L390" s="358">
        <v>260</v>
      </c>
      <c r="M390" s="358">
        <v>0</v>
      </c>
      <c r="N390" s="361">
        <f>'ExDom Freight'!P15</f>
        <v>0</v>
      </c>
      <c r="O390" s="361">
        <f>'ExDom Freight'!Q15</f>
        <v>0</v>
      </c>
      <c r="P390" s="358">
        <f>'ExDom Freight'!R15</f>
        <v>260</v>
      </c>
      <c r="Q390" s="358">
        <f>'ExDom Freight'!S15</f>
        <v>0</v>
      </c>
      <c r="R390" s="358">
        <f>'ExDom Freight'!T15</f>
        <v>0</v>
      </c>
      <c r="S390" s="358">
        <f>'ExDom Freight'!U15</f>
        <v>0</v>
      </c>
      <c r="T390" s="358">
        <f>'ExDom Freight'!V15</f>
        <v>260</v>
      </c>
      <c r="U390" s="358">
        <f>'ExDom Freight'!W15</f>
        <v>0</v>
      </c>
      <c r="V390" s="365">
        <f>'ExDom Freight'!X15</f>
        <v>0</v>
      </c>
      <c r="W390" s="358">
        <f>'ExDom Freight'!Y15</f>
        <v>0</v>
      </c>
      <c r="X390" s="358">
        <f>'ExDom Freight'!Z15</f>
        <v>0</v>
      </c>
      <c r="Y390" s="358">
        <f>'ExDom Freight'!AA15</f>
        <v>0</v>
      </c>
    </row>
    <row r="391" spans="1:25" x14ac:dyDescent="0.35">
      <c r="A391">
        <v>390</v>
      </c>
      <c r="B391" t="s">
        <v>1350</v>
      </c>
      <c r="C391" t="s">
        <v>946</v>
      </c>
      <c r="D391" t="s">
        <v>335</v>
      </c>
      <c r="E391" t="s">
        <v>892</v>
      </c>
      <c r="F391" t="s">
        <v>892</v>
      </c>
      <c r="G391" s="63" t="s">
        <v>1619</v>
      </c>
      <c r="H391" s="358">
        <v>245</v>
      </c>
      <c r="I391" s="358">
        <v>0</v>
      </c>
      <c r="J391" s="357">
        <v>15</v>
      </c>
      <c r="K391" s="358">
        <v>0</v>
      </c>
      <c r="L391" s="358">
        <v>260</v>
      </c>
      <c r="M391" s="358">
        <v>0</v>
      </c>
      <c r="N391" s="361">
        <f>'ExDom Freight'!P16</f>
        <v>0</v>
      </c>
      <c r="O391" s="361">
        <f>'ExDom Freight'!Q16</f>
        <v>0</v>
      </c>
      <c r="P391" s="358">
        <f>'ExDom Freight'!R16</f>
        <v>260</v>
      </c>
      <c r="Q391" s="358">
        <f>'ExDom Freight'!S16</f>
        <v>0</v>
      </c>
      <c r="R391" s="358">
        <f>'ExDom Freight'!T16</f>
        <v>0</v>
      </c>
      <c r="S391" s="358">
        <f>'ExDom Freight'!U16</f>
        <v>0</v>
      </c>
      <c r="T391" s="358">
        <f>'ExDom Freight'!V16</f>
        <v>260</v>
      </c>
      <c r="U391" s="358">
        <f>'ExDom Freight'!W16</f>
        <v>0</v>
      </c>
      <c r="V391" s="365">
        <f>'ExDom Freight'!X16</f>
        <v>0</v>
      </c>
      <c r="W391" s="358">
        <f>'ExDom Freight'!Y16</f>
        <v>0</v>
      </c>
      <c r="X391" s="358">
        <f>'ExDom Freight'!Z16</f>
        <v>0</v>
      </c>
      <c r="Y391" s="358">
        <f>'ExDom Freight'!AA16</f>
        <v>0</v>
      </c>
    </row>
    <row r="392" spans="1:25" x14ac:dyDescent="0.35">
      <c r="A392">
        <v>391</v>
      </c>
      <c r="B392" t="s">
        <v>1350</v>
      </c>
      <c r="C392" t="s">
        <v>946</v>
      </c>
      <c r="D392" t="s">
        <v>335</v>
      </c>
      <c r="E392" t="s">
        <v>891</v>
      </c>
      <c r="F392" t="s">
        <v>891</v>
      </c>
      <c r="G392" s="63" t="s">
        <v>1620</v>
      </c>
      <c r="H392" s="358">
        <v>135</v>
      </c>
      <c r="I392" s="358">
        <v>0</v>
      </c>
      <c r="J392" s="357">
        <v>10</v>
      </c>
      <c r="K392" s="358">
        <v>0</v>
      </c>
      <c r="L392" s="358">
        <v>145</v>
      </c>
      <c r="M392" s="358">
        <v>0</v>
      </c>
      <c r="N392" s="361">
        <f>'ExDom Freight'!P17</f>
        <v>0</v>
      </c>
      <c r="O392" s="361">
        <f>'ExDom Freight'!Q17</f>
        <v>0</v>
      </c>
      <c r="P392" s="358">
        <f>'ExDom Freight'!R17</f>
        <v>145</v>
      </c>
      <c r="Q392" s="358">
        <f>'ExDom Freight'!S17</f>
        <v>0</v>
      </c>
      <c r="R392" s="358">
        <f>'ExDom Freight'!T17</f>
        <v>0</v>
      </c>
      <c r="S392" s="358">
        <f>'ExDom Freight'!U17</f>
        <v>0</v>
      </c>
      <c r="T392" s="358">
        <f>'ExDom Freight'!V17</f>
        <v>145</v>
      </c>
      <c r="U392" s="358">
        <f>'ExDom Freight'!W17</f>
        <v>0</v>
      </c>
      <c r="V392" s="365">
        <f>'ExDom Freight'!X17</f>
        <v>0</v>
      </c>
      <c r="W392" s="358">
        <f>'ExDom Freight'!Y17</f>
        <v>0</v>
      </c>
      <c r="X392" s="358">
        <f>'ExDom Freight'!Z17</f>
        <v>0</v>
      </c>
      <c r="Y392" s="358">
        <f>'ExDom Freight'!AA17</f>
        <v>0</v>
      </c>
    </row>
    <row r="393" spans="1:25" x14ac:dyDescent="0.35">
      <c r="A393">
        <v>392</v>
      </c>
      <c r="B393" t="s">
        <v>1350</v>
      </c>
      <c r="C393" t="s">
        <v>946</v>
      </c>
      <c r="D393" t="s">
        <v>335</v>
      </c>
      <c r="E393" t="s">
        <v>18</v>
      </c>
      <c r="F393" t="s">
        <v>18</v>
      </c>
      <c r="G393" s="63" t="s">
        <v>1621</v>
      </c>
      <c r="H393" s="358">
        <v>0</v>
      </c>
      <c r="I393" s="358">
        <v>0</v>
      </c>
      <c r="J393" s="357">
        <v>0</v>
      </c>
      <c r="K393" s="358">
        <v>0</v>
      </c>
      <c r="L393" s="358">
        <v>0</v>
      </c>
      <c r="M393" s="358">
        <v>0</v>
      </c>
      <c r="N393" s="361">
        <f>'ExDom Freight'!P18</f>
        <v>0</v>
      </c>
      <c r="O393" s="361">
        <f>'ExDom Freight'!Q18</f>
        <v>0</v>
      </c>
      <c r="V393" s="365">
        <f>'ExDom Freight'!X18</f>
        <v>0</v>
      </c>
    </row>
    <row r="394" spans="1:25" x14ac:dyDescent="0.35">
      <c r="A394">
        <v>393</v>
      </c>
      <c r="B394" t="s">
        <v>1350</v>
      </c>
      <c r="C394" t="s">
        <v>946</v>
      </c>
      <c r="D394" t="s">
        <v>335</v>
      </c>
      <c r="E394" t="s">
        <v>278</v>
      </c>
      <c r="F394" t="s">
        <v>278</v>
      </c>
      <c r="G394" s="63" t="s">
        <v>1622</v>
      </c>
      <c r="H394" s="358">
        <v>150.5</v>
      </c>
      <c r="I394" s="358">
        <v>9.9000000000000005E-2</v>
      </c>
      <c r="J394" s="357">
        <v>9.5</v>
      </c>
      <c r="K394" s="358">
        <v>5.9999999999999915E-3</v>
      </c>
      <c r="L394" s="358">
        <v>160</v>
      </c>
      <c r="M394" s="358">
        <v>0.105</v>
      </c>
      <c r="N394" s="361">
        <f>'ExDom Freight'!P19</f>
        <v>0</v>
      </c>
      <c r="O394" s="361">
        <f>'ExDom Freight'!Q19</f>
        <v>0</v>
      </c>
      <c r="P394" s="358">
        <f>'ExDom Freight'!R19</f>
        <v>160</v>
      </c>
      <c r="Q394" s="358">
        <f>'ExDom Freight'!S19</f>
        <v>0.105</v>
      </c>
      <c r="R394" s="358">
        <f>'ExDom Freight'!T19</f>
        <v>0</v>
      </c>
      <c r="S394" s="358">
        <f>'ExDom Freight'!U19</f>
        <v>0</v>
      </c>
      <c r="T394" s="358">
        <f>'ExDom Freight'!V19</f>
        <v>160</v>
      </c>
      <c r="U394" s="358">
        <f>'ExDom Freight'!W19</f>
        <v>0.105</v>
      </c>
      <c r="V394" s="365">
        <f>'ExDom Freight'!X19</f>
        <v>0</v>
      </c>
      <c r="W394" s="358">
        <f>'ExDom Freight'!Y19</f>
        <v>0</v>
      </c>
      <c r="X394" s="358">
        <f>'ExDom Freight'!Z19</f>
        <v>0</v>
      </c>
      <c r="Y394" s="358">
        <f>'ExDom Freight'!AA19</f>
        <v>0</v>
      </c>
    </row>
    <row r="395" spans="1:25" x14ac:dyDescent="0.35">
      <c r="A395">
        <v>394</v>
      </c>
      <c r="B395" t="s">
        <v>1350</v>
      </c>
      <c r="C395" t="s">
        <v>946</v>
      </c>
      <c r="D395" t="s">
        <v>335</v>
      </c>
      <c r="E395" t="s">
        <v>277</v>
      </c>
      <c r="F395" t="s">
        <v>277</v>
      </c>
      <c r="G395" s="63" t="s">
        <v>1623</v>
      </c>
      <c r="H395" s="358">
        <v>150.5</v>
      </c>
      <c r="I395" s="358">
        <v>9.9000000000000005E-2</v>
      </c>
      <c r="J395" s="357">
        <v>9.5</v>
      </c>
      <c r="K395" s="358">
        <v>5.9999999999999915E-3</v>
      </c>
      <c r="L395" s="358">
        <v>160</v>
      </c>
      <c r="M395" s="358">
        <v>0.105</v>
      </c>
      <c r="N395" s="361">
        <f>'ExDom Freight'!P20</f>
        <v>0</v>
      </c>
      <c r="O395" s="361">
        <f>'ExDom Freight'!Q20</f>
        <v>0</v>
      </c>
      <c r="P395" s="358">
        <f>'ExDom Freight'!R20</f>
        <v>160</v>
      </c>
      <c r="Q395" s="358">
        <f>'ExDom Freight'!S20</f>
        <v>0.105</v>
      </c>
      <c r="R395" s="358">
        <f>'ExDom Freight'!T20</f>
        <v>0</v>
      </c>
      <c r="S395" s="358">
        <f>'ExDom Freight'!U20</f>
        <v>0</v>
      </c>
      <c r="T395" s="358">
        <f>'ExDom Freight'!V20</f>
        <v>160</v>
      </c>
      <c r="U395" s="358">
        <f>'ExDom Freight'!W20</f>
        <v>0.105</v>
      </c>
      <c r="V395" s="365">
        <f>'ExDom Freight'!X20</f>
        <v>0</v>
      </c>
      <c r="W395" s="358">
        <f>'ExDom Freight'!Y20</f>
        <v>0</v>
      </c>
      <c r="X395" s="358">
        <f>'ExDom Freight'!Z20</f>
        <v>0</v>
      </c>
      <c r="Y395" s="358">
        <f>'ExDom Freight'!AA20</f>
        <v>0</v>
      </c>
    </row>
    <row r="396" spans="1:25" x14ac:dyDescent="0.35">
      <c r="A396">
        <v>395</v>
      </c>
      <c r="B396" t="s">
        <v>1350</v>
      </c>
      <c r="C396" t="s">
        <v>946</v>
      </c>
      <c r="D396" t="s">
        <v>335</v>
      </c>
      <c r="E396" t="s">
        <v>893</v>
      </c>
      <c r="F396" t="s">
        <v>893</v>
      </c>
      <c r="G396" s="63" t="s">
        <v>1624</v>
      </c>
      <c r="H396" s="358">
        <v>245</v>
      </c>
      <c r="I396" s="358">
        <v>0</v>
      </c>
      <c r="J396" s="357">
        <v>15</v>
      </c>
      <c r="K396" s="358">
        <v>0</v>
      </c>
      <c r="L396" s="358">
        <v>260</v>
      </c>
      <c r="M396" s="358">
        <v>0</v>
      </c>
      <c r="N396" s="361">
        <f>'ExDom Freight'!P21</f>
        <v>0</v>
      </c>
      <c r="O396" s="361">
        <f>'ExDom Freight'!Q21</f>
        <v>0</v>
      </c>
      <c r="P396" s="358">
        <f>'ExDom Freight'!R21</f>
        <v>260</v>
      </c>
      <c r="Q396" s="358">
        <f>'ExDom Freight'!S21</f>
        <v>0</v>
      </c>
      <c r="R396" s="358">
        <f>'ExDom Freight'!T21</f>
        <v>0</v>
      </c>
      <c r="S396" s="358">
        <f>'ExDom Freight'!U21</f>
        <v>0</v>
      </c>
      <c r="T396" s="358">
        <f>'ExDom Freight'!V21</f>
        <v>260</v>
      </c>
      <c r="U396" s="358">
        <f>'ExDom Freight'!W21</f>
        <v>0</v>
      </c>
      <c r="V396" s="365">
        <f>'ExDom Freight'!X21</f>
        <v>0</v>
      </c>
      <c r="W396" s="358">
        <f>'ExDom Freight'!Y21</f>
        <v>0</v>
      </c>
      <c r="X396" s="358">
        <f>'ExDom Freight'!Z21</f>
        <v>0</v>
      </c>
      <c r="Y396" s="358">
        <f>'ExDom Freight'!AA21</f>
        <v>0</v>
      </c>
    </row>
    <row r="397" spans="1:25" x14ac:dyDescent="0.35">
      <c r="A397">
        <v>396</v>
      </c>
      <c r="B397" t="s">
        <v>1350</v>
      </c>
      <c r="C397" t="s">
        <v>946</v>
      </c>
      <c r="D397" t="s">
        <v>335</v>
      </c>
      <c r="E397" t="s">
        <v>894</v>
      </c>
      <c r="F397" t="s">
        <v>894</v>
      </c>
      <c r="G397" s="63" t="s">
        <v>1625</v>
      </c>
      <c r="H397" s="358">
        <v>245</v>
      </c>
      <c r="I397" s="358">
        <v>0</v>
      </c>
      <c r="J397" s="357">
        <v>15</v>
      </c>
      <c r="K397" s="358">
        <v>0</v>
      </c>
      <c r="L397" s="358">
        <v>260</v>
      </c>
      <c r="M397" s="358">
        <v>0</v>
      </c>
      <c r="N397" s="361">
        <f>'ExDom Freight'!P22</f>
        <v>0</v>
      </c>
      <c r="O397" s="361">
        <f>'ExDom Freight'!Q22</f>
        <v>0</v>
      </c>
      <c r="P397" s="358">
        <f>'ExDom Freight'!R22</f>
        <v>260</v>
      </c>
      <c r="Q397" s="358">
        <f>'ExDom Freight'!S22</f>
        <v>0</v>
      </c>
      <c r="R397" s="358">
        <f>'ExDom Freight'!T22</f>
        <v>0</v>
      </c>
      <c r="S397" s="358">
        <f>'ExDom Freight'!U22</f>
        <v>0</v>
      </c>
      <c r="T397" s="358">
        <f>'ExDom Freight'!V22</f>
        <v>260</v>
      </c>
      <c r="U397" s="358">
        <f>'ExDom Freight'!W22</f>
        <v>0</v>
      </c>
      <c r="V397" s="365">
        <f>'ExDom Freight'!X22</f>
        <v>0</v>
      </c>
      <c r="W397" s="358">
        <f>'ExDom Freight'!Y22</f>
        <v>0</v>
      </c>
      <c r="X397" s="358">
        <f>'ExDom Freight'!Z22</f>
        <v>0</v>
      </c>
      <c r="Y397" s="358">
        <f>'ExDom Freight'!AA22</f>
        <v>0</v>
      </c>
    </row>
    <row r="398" spans="1:25" x14ac:dyDescent="0.35">
      <c r="A398">
        <v>397</v>
      </c>
      <c r="B398" t="s">
        <v>1350</v>
      </c>
      <c r="C398" t="s">
        <v>946</v>
      </c>
      <c r="D398" t="s">
        <v>335</v>
      </c>
      <c r="E398" t="s">
        <v>57</v>
      </c>
      <c r="F398" t="s">
        <v>57</v>
      </c>
      <c r="G398" s="63" t="s">
        <v>1626</v>
      </c>
      <c r="H398" s="358">
        <v>24</v>
      </c>
      <c r="I398" s="358">
        <v>0</v>
      </c>
      <c r="J398" s="357">
        <v>1.5</v>
      </c>
      <c r="K398" s="358">
        <v>0</v>
      </c>
      <c r="L398" s="358">
        <v>25.5</v>
      </c>
      <c r="M398" s="358">
        <v>0</v>
      </c>
      <c r="N398" s="361">
        <f>'ExDom Freight'!P23</f>
        <v>0</v>
      </c>
      <c r="O398" s="361">
        <f>'ExDom Freight'!Q23</f>
        <v>0</v>
      </c>
      <c r="P398" s="358">
        <f>'ExDom Freight'!R23</f>
        <v>25.5</v>
      </c>
      <c r="Q398" s="358">
        <f>'ExDom Freight'!S23</f>
        <v>0</v>
      </c>
      <c r="R398" s="358">
        <f>'ExDom Freight'!T23</f>
        <v>0</v>
      </c>
      <c r="S398" s="358">
        <f>'ExDom Freight'!U23</f>
        <v>0</v>
      </c>
      <c r="T398" s="358">
        <f>'ExDom Freight'!V23</f>
        <v>25.5</v>
      </c>
      <c r="U398" s="358">
        <f>'ExDom Freight'!W23</f>
        <v>0</v>
      </c>
      <c r="V398" s="365">
        <f>'ExDom Freight'!X23</f>
        <v>0</v>
      </c>
      <c r="W398" s="358">
        <f>'ExDom Freight'!Y23</f>
        <v>0</v>
      </c>
      <c r="X398" s="358">
        <f>'ExDom Freight'!Z23</f>
        <v>0</v>
      </c>
      <c r="Y398" s="358">
        <f>'ExDom Freight'!AA23</f>
        <v>0</v>
      </c>
    </row>
    <row r="399" spans="1:25" x14ac:dyDescent="0.35">
      <c r="A399">
        <v>398</v>
      </c>
      <c r="B399" t="s">
        <v>1350</v>
      </c>
      <c r="C399" t="s">
        <v>946</v>
      </c>
      <c r="D399" t="s">
        <v>335</v>
      </c>
      <c r="E399" t="s">
        <v>314</v>
      </c>
      <c r="F399" t="s">
        <v>314</v>
      </c>
      <c r="G399" s="63" t="s">
        <v>1627</v>
      </c>
      <c r="H399" s="358">
        <v>540</v>
      </c>
      <c r="I399" s="358">
        <v>1.02</v>
      </c>
      <c r="J399" s="357">
        <v>0</v>
      </c>
      <c r="K399" s="358">
        <v>0</v>
      </c>
      <c r="L399" s="358">
        <v>540</v>
      </c>
      <c r="M399" s="358">
        <v>1.02</v>
      </c>
      <c r="N399" s="361">
        <f>'ExDom Freight'!P24</f>
        <v>0</v>
      </c>
      <c r="O399" s="361">
        <f>'ExDom Freight'!Q24</f>
        <v>0</v>
      </c>
      <c r="P399" s="358">
        <f>'ExDom Freight'!R24</f>
        <v>540</v>
      </c>
      <c r="Q399" s="358">
        <f>'ExDom Freight'!S24</f>
        <v>1.02</v>
      </c>
      <c r="R399" s="358">
        <f>'ExDom Freight'!T24</f>
        <v>0</v>
      </c>
      <c r="S399" s="358">
        <f>'ExDom Freight'!U24</f>
        <v>0</v>
      </c>
      <c r="T399" s="358">
        <f>'ExDom Freight'!V24</f>
        <v>540</v>
      </c>
      <c r="U399" s="358">
        <f>'ExDom Freight'!W24</f>
        <v>1.02</v>
      </c>
      <c r="V399" s="365">
        <f>'ExDom Freight'!X24</f>
        <v>0</v>
      </c>
      <c r="W399" s="358">
        <f>'ExDom Freight'!Y24</f>
        <v>0</v>
      </c>
      <c r="X399" s="358">
        <f>'ExDom Freight'!Z24</f>
        <v>0</v>
      </c>
      <c r="Y399" s="358">
        <f>'ExDom Freight'!AA24</f>
        <v>0</v>
      </c>
    </row>
    <row r="400" spans="1:25" x14ac:dyDescent="0.35">
      <c r="A400">
        <v>399</v>
      </c>
      <c r="B400" t="s">
        <v>1350</v>
      </c>
      <c r="C400" t="s">
        <v>946</v>
      </c>
      <c r="D400" t="s">
        <v>335</v>
      </c>
      <c r="E400" t="s">
        <v>852</v>
      </c>
      <c r="F400" t="s">
        <v>852</v>
      </c>
      <c r="G400" s="63" t="s">
        <v>1628</v>
      </c>
      <c r="H400" s="358">
        <v>24</v>
      </c>
      <c r="I400" s="358">
        <v>0</v>
      </c>
      <c r="J400" s="357">
        <v>1.5</v>
      </c>
      <c r="K400" s="358">
        <v>0</v>
      </c>
      <c r="L400" s="358">
        <v>25.5</v>
      </c>
      <c r="M400" s="358">
        <v>0</v>
      </c>
      <c r="N400" s="361">
        <f>'ExDom Freight'!P25</f>
        <v>0</v>
      </c>
      <c r="O400" s="361">
        <f>'ExDom Freight'!Q25</f>
        <v>0</v>
      </c>
      <c r="P400" s="358">
        <f>'ExDom Freight'!R25</f>
        <v>25.5</v>
      </c>
      <c r="Q400" s="358">
        <f>'ExDom Freight'!S25</f>
        <v>0</v>
      </c>
      <c r="R400" s="358">
        <f>'ExDom Freight'!T25</f>
        <v>0</v>
      </c>
      <c r="S400" s="358">
        <f>'ExDom Freight'!U25</f>
        <v>0</v>
      </c>
      <c r="T400" s="358">
        <f>'ExDom Freight'!V25</f>
        <v>25.5</v>
      </c>
      <c r="U400" s="358">
        <f>'ExDom Freight'!W25</f>
        <v>0</v>
      </c>
      <c r="V400" s="365">
        <f>'ExDom Freight'!X25</f>
        <v>0</v>
      </c>
      <c r="W400" s="358">
        <f>'ExDom Freight'!Y25</f>
        <v>0</v>
      </c>
      <c r="X400" s="358">
        <f>'ExDom Freight'!Z25</f>
        <v>0</v>
      </c>
      <c r="Y400" s="358">
        <f>'ExDom Freight'!AA25</f>
        <v>0</v>
      </c>
    </row>
    <row r="401" spans="1:25" x14ac:dyDescent="0.35">
      <c r="A401">
        <v>400</v>
      </c>
      <c r="B401" t="s">
        <v>1350</v>
      </c>
      <c r="C401" t="s">
        <v>946</v>
      </c>
      <c r="D401" t="s">
        <v>335</v>
      </c>
      <c r="E401" t="s">
        <v>933</v>
      </c>
      <c r="F401" t="s">
        <v>933</v>
      </c>
      <c r="G401" s="63" t="s">
        <v>1629</v>
      </c>
      <c r="H401" s="358">
        <v>130</v>
      </c>
      <c r="I401" s="358">
        <v>0</v>
      </c>
      <c r="J401" s="357">
        <v>0</v>
      </c>
      <c r="K401" s="358">
        <v>0</v>
      </c>
      <c r="L401" s="358">
        <v>130</v>
      </c>
      <c r="M401" s="358">
        <v>0</v>
      </c>
      <c r="N401" s="361">
        <f>'ExDom Freight'!P26</f>
        <v>0</v>
      </c>
      <c r="O401" s="361">
        <f>'ExDom Freight'!Q26</f>
        <v>0</v>
      </c>
      <c r="P401" s="358">
        <f>'ExDom Freight'!R26</f>
        <v>130</v>
      </c>
      <c r="Q401" s="358">
        <f>'ExDom Freight'!S26</f>
        <v>0</v>
      </c>
      <c r="R401" s="358">
        <f>'ExDom Freight'!T26</f>
        <v>0</v>
      </c>
      <c r="S401" s="358">
        <f>'ExDom Freight'!U26</f>
        <v>0</v>
      </c>
      <c r="T401" s="358">
        <f>'ExDom Freight'!V26</f>
        <v>130</v>
      </c>
      <c r="U401" s="358">
        <f>'ExDom Freight'!W26</f>
        <v>0</v>
      </c>
      <c r="V401" s="365">
        <f>'ExDom Freight'!X26</f>
        <v>0</v>
      </c>
      <c r="W401" s="358">
        <f>'ExDom Freight'!Y26</f>
        <v>0</v>
      </c>
      <c r="X401" s="358">
        <f>'ExDom Freight'!Z26</f>
        <v>0</v>
      </c>
      <c r="Y401" s="358">
        <f>'ExDom Freight'!AA26</f>
        <v>0</v>
      </c>
    </row>
    <row r="402" spans="1:25" x14ac:dyDescent="0.35">
      <c r="A402">
        <v>401</v>
      </c>
      <c r="B402" t="s">
        <v>1350</v>
      </c>
      <c r="C402" t="s">
        <v>946</v>
      </c>
      <c r="D402" t="s">
        <v>335</v>
      </c>
      <c r="E402" t="s">
        <v>25</v>
      </c>
      <c r="F402" t="s">
        <v>25</v>
      </c>
      <c r="G402" s="63" t="s">
        <v>1630</v>
      </c>
      <c r="H402" s="358">
        <v>215</v>
      </c>
      <c r="I402" s="358">
        <v>0</v>
      </c>
      <c r="J402" s="357">
        <v>15</v>
      </c>
      <c r="K402" s="358">
        <v>0</v>
      </c>
      <c r="L402" s="358">
        <v>230</v>
      </c>
      <c r="M402" s="358">
        <v>0</v>
      </c>
      <c r="N402" s="361">
        <f>'ExDom Freight'!P27</f>
        <v>0</v>
      </c>
      <c r="O402" s="361">
        <f>'ExDom Freight'!Q27</f>
        <v>0</v>
      </c>
      <c r="P402" s="358">
        <f>'ExDom Freight'!R27</f>
        <v>230</v>
      </c>
      <c r="Q402" s="358">
        <f>'ExDom Freight'!S27</f>
        <v>0</v>
      </c>
      <c r="R402" s="358">
        <f>'ExDom Freight'!T27</f>
        <v>0</v>
      </c>
      <c r="S402" s="358">
        <f>'ExDom Freight'!U27</f>
        <v>0</v>
      </c>
      <c r="T402" s="358">
        <f>'ExDom Freight'!V27</f>
        <v>230</v>
      </c>
      <c r="U402" s="358">
        <f>'ExDom Freight'!W27</f>
        <v>0</v>
      </c>
      <c r="V402" s="365">
        <f>'ExDom Freight'!X27</f>
        <v>0</v>
      </c>
      <c r="W402" s="358">
        <f>'ExDom Freight'!Y27</f>
        <v>0</v>
      </c>
      <c r="X402" s="358">
        <f>'ExDom Freight'!Z27</f>
        <v>0</v>
      </c>
      <c r="Y402" s="358">
        <f>'ExDom Freight'!AA27</f>
        <v>0</v>
      </c>
    </row>
    <row r="403" spans="1:25" x14ac:dyDescent="0.35">
      <c r="A403">
        <v>402</v>
      </c>
      <c r="B403" t="s">
        <v>1350</v>
      </c>
      <c r="C403" t="s">
        <v>946</v>
      </c>
      <c r="D403" t="s">
        <v>335</v>
      </c>
      <c r="E403" t="s">
        <v>895</v>
      </c>
      <c r="F403" t="s">
        <v>895</v>
      </c>
      <c r="G403" s="63" t="s">
        <v>1631</v>
      </c>
      <c r="H403" s="358">
        <v>215</v>
      </c>
      <c r="I403" s="358">
        <v>0</v>
      </c>
      <c r="J403" s="357">
        <v>15</v>
      </c>
      <c r="K403" s="358">
        <v>0</v>
      </c>
      <c r="L403" s="358">
        <v>230</v>
      </c>
      <c r="M403" s="358">
        <v>0</v>
      </c>
      <c r="N403" s="361">
        <f>'ExDom Freight'!P28</f>
        <v>0</v>
      </c>
      <c r="O403" s="361">
        <f>'ExDom Freight'!Q28</f>
        <v>0</v>
      </c>
      <c r="P403" s="358">
        <f>'ExDom Freight'!R28</f>
        <v>230</v>
      </c>
      <c r="Q403" s="358">
        <f>'ExDom Freight'!S28</f>
        <v>0</v>
      </c>
      <c r="R403" s="358">
        <f>'ExDom Freight'!T28</f>
        <v>0</v>
      </c>
      <c r="S403" s="358">
        <f>'ExDom Freight'!U28</f>
        <v>0</v>
      </c>
      <c r="T403" s="358">
        <f>'ExDom Freight'!V28</f>
        <v>230</v>
      </c>
      <c r="U403" s="358">
        <f>'ExDom Freight'!W28</f>
        <v>0</v>
      </c>
      <c r="V403" s="365">
        <f>'ExDom Freight'!X28</f>
        <v>0</v>
      </c>
      <c r="W403" s="358">
        <f>'ExDom Freight'!Y28</f>
        <v>0</v>
      </c>
      <c r="X403" s="358">
        <f>'ExDom Freight'!Z28</f>
        <v>0</v>
      </c>
      <c r="Y403" s="358">
        <f>'ExDom Freight'!AA28</f>
        <v>0</v>
      </c>
    </row>
    <row r="404" spans="1:25" x14ac:dyDescent="0.35">
      <c r="A404">
        <v>403</v>
      </c>
      <c r="B404" t="s">
        <v>1350</v>
      </c>
      <c r="C404" t="s">
        <v>946</v>
      </c>
      <c r="D404" t="s">
        <v>335</v>
      </c>
      <c r="E404" t="s">
        <v>283</v>
      </c>
      <c r="F404" t="s">
        <v>1003</v>
      </c>
      <c r="G404" s="63" t="s">
        <v>1632</v>
      </c>
      <c r="H404" s="358">
        <v>1.05</v>
      </c>
      <c r="I404" s="358">
        <v>0</v>
      </c>
      <c r="J404" s="357">
        <v>0</v>
      </c>
      <c r="K404" s="358">
        <v>0</v>
      </c>
      <c r="L404" s="358">
        <v>1.05</v>
      </c>
      <c r="M404" s="358">
        <v>0</v>
      </c>
      <c r="N404" s="361">
        <f>'ExDom Freight'!P30</f>
        <v>0</v>
      </c>
      <c r="O404" s="361">
        <f>'ExDom Freight'!Q30</f>
        <v>0</v>
      </c>
      <c r="P404" s="358">
        <f>'ExDom Freight'!R30</f>
        <v>1.05</v>
      </c>
      <c r="Q404" s="358">
        <f>'ExDom Freight'!S30</f>
        <v>0</v>
      </c>
      <c r="R404" s="358">
        <f>'ExDom Freight'!T30</f>
        <v>0</v>
      </c>
      <c r="S404" s="358">
        <f>'ExDom Freight'!U30</f>
        <v>0</v>
      </c>
      <c r="T404" s="358">
        <f>'ExDom Freight'!V30</f>
        <v>1.05</v>
      </c>
      <c r="U404" s="358">
        <f>'ExDom Freight'!W30</f>
        <v>0</v>
      </c>
      <c r="V404" s="365">
        <f>'ExDom Freight'!X30</f>
        <v>0</v>
      </c>
      <c r="W404" s="358">
        <f>'ExDom Freight'!Y30</f>
        <v>0</v>
      </c>
      <c r="X404" s="358">
        <f>'ExDom Freight'!Z30</f>
        <v>0</v>
      </c>
      <c r="Y404" s="358">
        <f>'ExDom Freight'!AA30</f>
        <v>0</v>
      </c>
    </row>
    <row r="405" spans="1:25" x14ac:dyDescent="0.35">
      <c r="A405">
        <v>404</v>
      </c>
      <c r="B405" t="s">
        <v>1350</v>
      </c>
      <c r="C405" t="s">
        <v>946</v>
      </c>
      <c r="D405" t="s">
        <v>335</v>
      </c>
      <c r="E405" t="s">
        <v>283</v>
      </c>
      <c r="F405" t="s">
        <v>1005</v>
      </c>
      <c r="G405" s="63" t="s">
        <v>1633</v>
      </c>
      <c r="H405" s="358">
        <v>1.05</v>
      </c>
      <c r="I405" s="358">
        <v>0</v>
      </c>
      <c r="J405" s="357">
        <v>0</v>
      </c>
      <c r="K405" s="358">
        <v>0</v>
      </c>
      <c r="L405" s="358">
        <v>1.05</v>
      </c>
      <c r="M405" s="358">
        <v>0</v>
      </c>
      <c r="N405" s="361">
        <f>'ExDom Freight'!P31</f>
        <v>0</v>
      </c>
      <c r="O405" s="361">
        <f>'ExDom Freight'!Q31</f>
        <v>0</v>
      </c>
      <c r="P405" s="358">
        <f>'ExDom Freight'!R31</f>
        <v>1.05</v>
      </c>
      <c r="Q405" s="358">
        <f>'ExDom Freight'!S31</f>
        <v>0</v>
      </c>
      <c r="R405" s="358">
        <f>'ExDom Freight'!T31</f>
        <v>0</v>
      </c>
      <c r="S405" s="358">
        <f>'ExDom Freight'!U31</f>
        <v>0</v>
      </c>
      <c r="T405" s="358">
        <f>'ExDom Freight'!V31</f>
        <v>1.05</v>
      </c>
      <c r="U405" s="358">
        <f>'ExDom Freight'!W31</f>
        <v>0</v>
      </c>
      <c r="V405" s="365">
        <f>'ExDom Freight'!X31</f>
        <v>0</v>
      </c>
      <c r="W405" s="358">
        <f>'ExDom Freight'!Y31</f>
        <v>0</v>
      </c>
      <c r="X405" s="358">
        <f>'ExDom Freight'!Z31</f>
        <v>0</v>
      </c>
      <c r="Y405" s="358">
        <f>'ExDom Freight'!AA31</f>
        <v>0</v>
      </c>
    </row>
    <row r="406" spans="1:25" x14ac:dyDescent="0.35">
      <c r="A406">
        <v>405</v>
      </c>
      <c r="B406" t="s">
        <v>1350</v>
      </c>
      <c r="C406" t="s">
        <v>946</v>
      </c>
      <c r="D406" t="s">
        <v>335</v>
      </c>
      <c r="E406" t="s">
        <v>46</v>
      </c>
      <c r="F406" t="s">
        <v>46</v>
      </c>
      <c r="G406" s="63" t="s">
        <v>1634</v>
      </c>
      <c r="H406" s="358">
        <v>210</v>
      </c>
      <c r="I406" s="358">
        <v>0</v>
      </c>
      <c r="J406" s="357">
        <v>0</v>
      </c>
      <c r="K406" s="358">
        <v>0</v>
      </c>
      <c r="L406" s="358">
        <v>210</v>
      </c>
      <c r="M406" s="358">
        <v>0</v>
      </c>
      <c r="N406" s="361">
        <f>'ExDom Freight'!P32</f>
        <v>0</v>
      </c>
      <c r="O406" s="361">
        <f>'ExDom Freight'!Q32</f>
        <v>0</v>
      </c>
      <c r="P406" s="358">
        <f>'ExDom Freight'!R32</f>
        <v>210</v>
      </c>
      <c r="Q406" s="358">
        <f>'ExDom Freight'!S32</f>
        <v>0</v>
      </c>
      <c r="R406" s="358">
        <f>'ExDom Freight'!T32</f>
        <v>0</v>
      </c>
      <c r="S406" s="358">
        <f>'ExDom Freight'!U32</f>
        <v>0</v>
      </c>
      <c r="T406" s="358">
        <f>'ExDom Freight'!V32</f>
        <v>210</v>
      </c>
      <c r="U406" s="358">
        <f>'ExDom Freight'!W32</f>
        <v>0</v>
      </c>
      <c r="V406" s="365">
        <f>'ExDom Freight'!X32</f>
        <v>0</v>
      </c>
      <c r="W406" s="358">
        <f>'ExDom Freight'!Y32</f>
        <v>0</v>
      </c>
      <c r="X406" s="358">
        <f>'ExDom Freight'!Z32</f>
        <v>0</v>
      </c>
      <c r="Y406" s="358">
        <f>'ExDom Freight'!AA32</f>
        <v>0</v>
      </c>
    </row>
    <row r="407" spans="1:25" x14ac:dyDescent="0.35">
      <c r="A407">
        <v>406</v>
      </c>
      <c r="B407" t="s">
        <v>1350</v>
      </c>
      <c r="C407" t="s">
        <v>946</v>
      </c>
      <c r="D407" t="s">
        <v>335</v>
      </c>
      <c r="E407" t="s">
        <v>24</v>
      </c>
      <c r="F407" t="s">
        <v>24</v>
      </c>
      <c r="G407" s="63" t="s">
        <v>1635</v>
      </c>
      <c r="H407" s="358">
        <v>210</v>
      </c>
      <c r="I407" s="358">
        <v>0</v>
      </c>
      <c r="J407" s="357">
        <v>0</v>
      </c>
      <c r="K407" s="358">
        <v>0</v>
      </c>
      <c r="L407" s="358">
        <v>210</v>
      </c>
      <c r="M407" s="358">
        <v>0</v>
      </c>
      <c r="N407" s="361">
        <f>'ExDom Freight'!P33</f>
        <v>0</v>
      </c>
      <c r="O407" s="361">
        <f>'ExDom Freight'!Q33</f>
        <v>0</v>
      </c>
      <c r="P407" s="358">
        <f>'ExDom Freight'!R33</f>
        <v>210</v>
      </c>
      <c r="Q407" s="358">
        <f>'ExDom Freight'!S33</f>
        <v>0</v>
      </c>
      <c r="R407" s="358">
        <f>'ExDom Freight'!T33</f>
        <v>0</v>
      </c>
      <c r="S407" s="358">
        <f>'ExDom Freight'!U33</f>
        <v>0</v>
      </c>
      <c r="T407" s="358">
        <f>'ExDom Freight'!V33</f>
        <v>210</v>
      </c>
      <c r="U407" s="358">
        <f>'ExDom Freight'!W33</f>
        <v>0</v>
      </c>
      <c r="V407" s="365">
        <f>'ExDom Freight'!X33</f>
        <v>0</v>
      </c>
      <c r="W407" s="358">
        <f>'ExDom Freight'!Y33</f>
        <v>0</v>
      </c>
      <c r="X407" s="358">
        <f>'ExDom Freight'!Z33</f>
        <v>0</v>
      </c>
      <c r="Y407" s="358">
        <f>'ExDom Freight'!AA33</f>
        <v>0</v>
      </c>
    </row>
    <row r="408" spans="1:25" x14ac:dyDescent="0.35">
      <c r="A408">
        <v>407</v>
      </c>
      <c r="B408" t="s">
        <v>1351</v>
      </c>
      <c r="C408" t="s">
        <v>946</v>
      </c>
      <c r="D408" t="s">
        <v>335</v>
      </c>
      <c r="E408" t="s">
        <v>66</v>
      </c>
      <c r="F408" t="s">
        <v>293</v>
      </c>
      <c r="G408" s="63" t="s">
        <v>1610</v>
      </c>
      <c r="H408" s="358">
        <v>270</v>
      </c>
      <c r="I408" s="358">
        <v>0</v>
      </c>
      <c r="J408" s="357">
        <v>15</v>
      </c>
      <c r="K408" s="358">
        <v>0</v>
      </c>
      <c r="L408" s="358">
        <v>285</v>
      </c>
      <c r="M408" s="358">
        <v>0</v>
      </c>
      <c r="N408" s="361">
        <f>'ExDom Freight'!AB6</f>
        <v>0</v>
      </c>
      <c r="O408" s="361">
        <f>'ExDom Freight'!AC6</f>
        <v>0</v>
      </c>
      <c r="P408" s="358">
        <f>'ExDom Freight'!AD6</f>
        <v>285</v>
      </c>
      <c r="Q408" s="358">
        <f>'ExDom Freight'!AE6</f>
        <v>0</v>
      </c>
      <c r="R408" s="358">
        <f>'ExDom Freight'!AF6</f>
        <v>0</v>
      </c>
      <c r="S408" s="358">
        <f>'ExDom Freight'!AG6</f>
        <v>0</v>
      </c>
      <c r="T408" s="358">
        <f>'ExDom Freight'!AH6</f>
        <v>285</v>
      </c>
      <c r="U408" s="358">
        <f>'ExDom Freight'!AI6</f>
        <v>0</v>
      </c>
      <c r="V408" s="365">
        <f>'ExDom Freight'!AJ6</f>
        <v>0</v>
      </c>
      <c r="W408" s="358">
        <f>'ExDom Freight'!AK6</f>
        <v>0</v>
      </c>
      <c r="X408" s="358">
        <f>'ExDom Freight'!AL6</f>
        <v>0</v>
      </c>
      <c r="Y408" s="358">
        <f>'ExDom Freight'!AM6</f>
        <v>0</v>
      </c>
    </row>
    <row r="409" spans="1:25" x14ac:dyDescent="0.35">
      <c r="A409">
        <v>408</v>
      </c>
      <c r="B409" t="s">
        <v>1351</v>
      </c>
      <c r="C409" t="s">
        <v>946</v>
      </c>
      <c r="D409" t="s">
        <v>335</v>
      </c>
      <c r="E409" t="s">
        <v>66</v>
      </c>
      <c r="F409" t="s">
        <v>291</v>
      </c>
      <c r="G409" s="63" t="s">
        <v>1611</v>
      </c>
      <c r="H409" s="358">
        <v>340</v>
      </c>
      <c r="I409" s="358">
        <v>0</v>
      </c>
      <c r="J409" s="357">
        <v>20</v>
      </c>
      <c r="K409" s="358">
        <v>0</v>
      </c>
      <c r="L409" s="358">
        <v>360</v>
      </c>
      <c r="M409" s="358">
        <v>0</v>
      </c>
      <c r="N409" s="361">
        <f>'ExDom Freight'!AB7</f>
        <v>0</v>
      </c>
      <c r="O409" s="361">
        <f>'ExDom Freight'!AC7</f>
        <v>0</v>
      </c>
      <c r="P409" s="358">
        <f>'ExDom Freight'!AD7</f>
        <v>360</v>
      </c>
      <c r="Q409" s="358">
        <f>'ExDom Freight'!AE7</f>
        <v>0</v>
      </c>
      <c r="R409" s="358">
        <f>'ExDom Freight'!AF7</f>
        <v>0</v>
      </c>
      <c r="S409" s="358">
        <f>'ExDom Freight'!AG7</f>
        <v>0</v>
      </c>
      <c r="T409" s="358">
        <f>'ExDom Freight'!AH7</f>
        <v>360</v>
      </c>
      <c r="U409" s="358">
        <f>'ExDom Freight'!AI7</f>
        <v>0</v>
      </c>
      <c r="V409" s="365">
        <f>'ExDom Freight'!AJ7</f>
        <v>0</v>
      </c>
      <c r="W409" s="358">
        <f>'ExDom Freight'!AK7</f>
        <v>0</v>
      </c>
      <c r="X409" s="358">
        <f>'ExDom Freight'!AL7</f>
        <v>0</v>
      </c>
      <c r="Y409" s="358">
        <f>'ExDom Freight'!AM7</f>
        <v>0</v>
      </c>
    </row>
    <row r="410" spans="1:25" x14ac:dyDescent="0.35">
      <c r="A410">
        <v>409</v>
      </c>
      <c r="B410" t="s">
        <v>1351</v>
      </c>
      <c r="C410" t="s">
        <v>946</v>
      </c>
      <c r="D410" t="s">
        <v>335</v>
      </c>
      <c r="E410" t="s">
        <v>31</v>
      </c>
      <c r="F410" t="s">
        <v>31</v>
      </c>
      <c r="G410" s="63" t="s">
        <v>1612</v>
      </c>
      <c r="H410" s="358">
        <v>130</v>
      </c>
      <c r="I410" s="358">
        <v>0</v>
      </c>
      <c r="J410" s="357">
        <v>0</v>
      </c>
      <c r="K410" s="358">
        <v>0</v>
      </c>
      <c r="L410" s="358">
        <v>130</v>
      </c>
      <c r="M410" s="358">
        <v>0</v>
      </c>
      <c r="N410" s="361">
        <f>'ExDom Freight'!AB8</f>
        <v>0</v>
      </c>
      <c r="O410" s="361">
        <f>'ExDom Freight'!AC8</f>
        <v>0</v>
      </c>
      <c r="P410" s="358">
        <f>'ExDom Freight'!AD8</f>
        <v>130</v>
      </c>
      <c r="Q410" s="358">
        <f>'ExDom Freight'!AE8</f>
        <v>0</v>
      </c>
      <c r="R410" s="358">
        <f>'ExDom Freight'!AF8</f>
        <v>0</v>
      </c>
      <c r="S410" s="358">
        <f>'ExDom Freight'!AG8</f>
        <v>0</v>
      </c>
      <c r="T410" s="358">
        <f>'ExDom Freight'!AH8</f>
        <v>130</v>
      </c>
      <c r="U410" s="358">
        <f>'ExDom Freight'!AI8</f>
        <v>0</v>
      </c>
      <c r="V410" s="365">
        <f>'ExDom Freight'!AJ8</f>
        <v>0</v>
      </c>
      <c r="W410" s="358">
        <f>'ExDom Freight'!AK8</f>
        <v>0</v>
      </c>
      <c r="X410" s="358">
        <f>'ExDom Freight'!AL8</f>
        <v>0</v>
      </c>
      <c r="Y410" s="358">
        <f>'ExDom Freight'!AM8</f>
        <v>0</v>
      </c>
    </row>
    <row r="411" spans="1:25" x14ac:dyDescent="0.35">
      <c r="A411">
        <v>410</v>
      </c>
      <c r="B411" t="s">
        <v>1351</v>
      </c>
      <c r="C411" t="s">
        <v>946</v>
      </c>
      <c r="D411" t="s">
        <v>335</v>
      </c>
      <c r="E411" t="s">
        <v>332</v>
      </c>
      <c r="F411" t="s">
        <v>332</v>
      </c>
      <c r="G411" s="63" t="s">
        <v>1613</v>
      </c>
      <c r="H411" s="358">
        <v>99.5</v>
      </c>
      <c r="I411" s="358">
        <v>0</v>
      </c>
      <c r="J411" s="357">
        <v>0</v>
      </c>
      <c r="K411" s="358">
        <v>0</v>
      </c>
      <c r="L411" s="358">
        <v>99.5</v>
      </c>
      <c r="M411" s="358">
        <v>0</v>
      </c>
      <c r="N411" s="361">
        <f>'ExDom Freight'!AB9</f>
        <v>0</v>
      </c>
      <c r="O411" s="361">
        <f>'ExDom Freight'!AC9</f>
        <v>0</v>
      </c>
      <c r="P411" s="358">
        <f>'ExDom Freight'!AD9</f>
        <v>99.5</v>
      </c>
      <c r="Q411" s="358">
        <f>'ExDom Freight'!AE9</f>
        <v>0</v>
      </c>
      <c r="R411" s="358">
        <f>'ExDom Freight'!AF9</f>
        <v>0</v>
      </c>
      <c r="S411" s="358">
        <f>'ExDom Freight'!AG9</f>
        <v>0</v>
      </c>
      <c r="T411" s="358">
        <f>'ExDom Freight'!AH9</f>
        <v>99.5</v>
      </c>
      <c r="U411" s="358">
        <f>'ExDom Freight'!AI9</f>
        <v>0</v>
      </c>
      <c r="V411" s="365">
        <f>'ExDom Freight'!AJ9</f>
        <v>0</v>
      </c>
      <c r="W411" s="358">
        <f>'ExDom Freight'!AK9</f>
        <v>0</v>
      </c>
      <c r="X411" s="358">
        <f>'ExDom Freight'!AL9</f>
        <v>0</v>
      </c>
      <c r="Y411" s="358">
        <f>'ExDom Freight'!AM9</f>
        <v>0</v>
      </c>
    </row>
    <row r="412" spans="1:25" x14ac:dyDescent="0.35">
      <c r="A412">
        <v>411</v>
      </c>
      <c r="B412" t="s">
        <v>1351</v>
      </c>
      <c r="C412" t="s">
        <v>946</v>
      </c>
      <c r="D412" t="s">
        <v>335</v>
      </c>
      <c r="E412" t="s">
        <v>51</v>
      </c>
      <c r="F412" t="s">
        <v>62</v>
      </c>
      <c r="G412" s="63" t="s">
        <v>1614</v>
      </c>
      <c r="H412" s="358">
        <v>175</v>
      </c>
      <c r="I412" s="358">
        <v>1.4</v>
      </c>
      <c r="J412" s="357">
        <v>10</v>
      </c>
      <c r="K412" s="358">
        <v>8.0000000000000071E-2</v>
      </c>
      <c r="L412" s="358">
        <v>185</v>
      </c>
      <c r="M412" s="358">
        <v>1.48</v>
      </c>
      <c r="N412" s="361">
        <f>'ExDom Freight'!AB11</f>
        <v>0</v>
      </c>
      <c r="O412" s="361">
        <f>'ExDom Freight'!AC11</f>
        <v>0</v>
      </c>
      <c r="P412" s="358">
        <f>'ExDom Freight'!AD11</f>
        <v>185</v>
      </c>
      <c r="Q412" s="358">
        <f>'ExDom Freight'!AE11</f>
        <v>1.48</v>
      </c>
      <c r="R412" s="358">
        <f>'ExDom Freight'!AF11</f>
        <v>0</v>
      </c>
      <c r="S412" s="358">
        <f>'ExDom Freight'!AG11</f>
        <v>0</v>
      </c>
      <c r="T412" s="358">
        <f>'ExDom Freight'!AH11</f>
        <v>185</v>
      </c>
      <c r="U412" s="358">
        <f>'ExDom Freight'!AI11</f>
        <v>1.48</v>
      </c>
      <c r="V412" s="365">
        <f>'ExDom Freight'!AJ11</f>
        <v>0</v>
      </c>
      <c r="W412" s="358">
        <f>'ExDom Freight'!AK11</f>
        <v>0</v>
      </c>
      <c r="X412" s="358">
        <f>'ExDom Freight'!AL11</f>
        <v>0</v>
      </c>
      <c r="Y412" s="358">
        <f>'ExDom Freight'!AM11</f>
        <v>0</v>
      </c>
    </row>
    <row r="413" spans="1:25" x14ac:dyDescent="0.35">
      <c r="A413">
        <v>412</v>
      </c>
      <c r="B413" t="s">
        <v>1351</v>
      </c>
      <c r="C413" t="s">
        <v>946</v>
      </c>
      <c r="D413" t="s">
        <v>335</v>
      </c>
      <c r="E413" t="s">
        <v>51</v>
      </c>
      <c r="F413" t="s">
        <v>977</v>
      </c>
      <c r="G413" s="63" t="s">
        <v>1615</v>
      </c>
      <c r="H413" s="358">
        <v>145</v>
      </c>
      <c r="I413" s="358">
        <v>0.5</v>
      </c>
      <c r="J413" s="357">
        <v>8.5</v>
      </c>
      <c r="K413" s="358">
        <v>3.0000000000000027E-2</v>
      </c>
      <c r="L413" s="358">
        <v>153.5</v>
      </c>
      <c r="M413" s="358">
        <v>0.53</v>
      </c>
      <c r="N413" s="361">
        <f>'ExDom Freight'!AB12</f>
        <v>0</v>
      </c>
      <c r="O413" s="361">
        <f>'ExDom Freight'!AC12</f>
        <v>0</v>
      </c>
      <c r="P413" s="358">
        <f>'ExDom Freight'!AD12</f>
        <v>153.5</v>
      </c>
      <c r="Q413" s="358">
        <f>'ExDom Freight'!AE12</f>
        <v>0.53</v>
      </c>
      <c r="R413" s="358">
        <f>'ExDom Freight'!AF12</f>
        <v>0</v>
      </c>
      <c r="S413" s="358">
        <f>'ExDom Freight'!AG12</f>
        <v>0</v>
      </c>
      <c r="T413" s="358">
        <f>'ExDom Freight'!AH12</f>
        <v>153.5</v>
      </c>
      <c r="U413" s="358">
        <f>'ExDom Freight'!AI12</f>
        <v>0.53</v>
      </c>
      <c r="V413" s="365">
        <f>'ExDom Freight'!AJ12</f>
        <v>0</v>
      </c>
      <c r="W413" s="358">
        <f>'ExDom Freight'!AK12</f>
        <v>0</v>
      </c>
      <c r="X413" s="358">
        <f>'ExDom Freight'!AL12</f>
        <v>0</v>
      </c>
      <c r="Y413" s="358">
        <f>'ExDom Freight'!AM12</f>
        <v>0</v>
      </c>
    </row>
    <row r="414" spans="1:25" x14ac:dyDescent="0.35">
      <c r="A414">
        <v>413</v>
      </c>
      <c r="B414" t="s">
        <v>1351</v>
      </c>
      <c r="C414" t="s">
        <v>946</v>
      </c>
      <c r="D414" t="s">
        <v>335</v>
      </c>
      <c r="E414" t="s">
        <v>28</v>
      </c>
      <c r="F414" t="s">
        <v>28</v>
      </c>
      <c r="G414" s="63" t="s">
        <v>1616</v>
      </c>
      <c r="H414" s="358">
        <v>1.5</v>
      </c>
      <c r="I414" s="358">
        <v>1</v>
      </c>
      <c r="J414" s="357">
        <v>0.14999999999999991</v>
      </c>
      <c r="K414" s="358">
        <v>0</v>
      </c>
      <c r="L414" s="358">
        <v>1.65</v>
      </c>
      <c r="M414" s="358">
        <v>1</v>
      </c>
      <c r="N414" s="361">
        <f>'ExDom Freight'!AB13</f>
        <v>0</v>
      </c>
      <c r="O414" s="361">
        <f>'ExDom Freight'!AC13</f>
        <v>0</v>
      </c>
      <c r="P414" s="358">
        <f>'ExDom Freight'!AD13</f>
        <v>1.65</v>
      </c>
      <c r="Q414" s="358">
        <f>'ExDom Freight'!AE13</f>
        <v>1</v>
      </c>
      <c r="R414" s="358">
        <f>'ExDom Freight'!AF13</f>
        <v>0</v>
      </c>
      <c r="S414" s="358">
        <f>'ExDom Freight'!AG13</f>
        <v>0</v>
      </c>
      <c r="T414" s="358">
        <f>'ExDom Freight'!AH13</f>
        <v>1.65</v>
      </c>
      <c r="U414" s="358">
        <f>'ExDom Freight'!AI13</f>
        <v>1</v>
      </c>
      <c r="V414" s="365">
        <f>'ExDom Freight'!AJ13</f>
        <v>0</v>
      </c>
    </row>
    <row r="415" spans="1:25" x14ac:dyDescent="0.35">
      <c r="A415">
        <v>414</v>
      </c>
      <c r="B415" t="s">
        <v>1351</v>
      </c>
      <c r="C415" t="s">
        <v>946</v>
      </c>
      <c r="D415" t="s">
        <v>335</v>
      </c>
      <c r="E415" t="s">
        <v>273</v>
      </c>
      <c r="F415" t="s">
        <v>273</v>
      </c>
      <c r="G415" s="63" t="s">
        <v>1617</v>
      </c>
      <c r="H415" s="358">
        <v>91.5</v>
      </c>
      <c r="I415" s="358">
        <v>0.1</v>
      </c>
      <c r="J415" s="357">
        <v>5.5</v>
      </c>
      <c r="K415" s="358">
        <v>5.9999999999999915E-3</v>
      </c>
      <c r="L415" s="358">
        <v>97</v>
      </c>
      <c r="M415" s="358">
        <v>0.106</v>
      </c>
      <c r="N415" s="361">
        <f>'ExDom Freight'!AB14</f>
        <v>0</v>
      </c>
      <c r="O415" s="361">
        <f>'ExDom Freight'!AC14</f>
        <v>0</v>
      </c>
      <c r="P415" s="358">
        <f>'ExDom Freight'!AD14</f>
        <v>97</v>
      </c>
      <c r="Q415" s="358">
        <f>'ExDom Freight'!AE14</f>
        <v>0.106</v>
      </c>
      <c r="R415" s="358">
        <f>'ExDom Freight'!AF14</f>
        <v>0</v>
      </c>
      <c r="S415" s="358">
        <f>'ExDom Freight'!AG14</f>
        <v>0</v>
      </c>
      <c r="T415" s="358">
        <f>'ExDom Freight'!AH14</f>
        <v>97</v>
      </c>
      <c r="U415" s="358">
        <f>'ExDom Freight'!AI14</f>
        <v>0.106</v>
      </c>
      <c r="V415" s="365">
        <f>'ExDom Freight'!AJ14</f>
        <v>0</v>
      </c>
      <c r="W415" s="358">
        <f>'ExDom Freight'!AK14</f>
        <v>0</v>
      </c>
      <c r="X415" s="358">
        <f>'ExDom Freight'!AL14</f>
        <v>0</v>
      </c>
      <c r="Y415" s="358">
        <f>'ExDom Freight'!AM14</f>
        <v>0</v>
      </c>
    </row>
    <row r="416" spans="1:25" x14ac:dyDescent="0.35">
      <c r="A416">
        <v>415</v>
      </c>
      <c r="B416" t="s">
        <v>1351</v>
      </c>
      <c r="C416" t="s">
        <v>946</v>
      </c>
      <c r="D416" t="s">
        <v>335</v>
      </c>
      <c r="E416" t="s">
        <v>890</v>
      </c>
      <c r="F416" t="s">
        <v>890</v>
      </c>
      <c r="G416" s="63" t="s">
        <v>1618</v>
      </c>
      <c r="H416" s="358">
        <v>245</v>
      </c>
      <c r="I416" s="358">
        <v>0</v>
      </c>
      <c r="J416" s="357">
        <v>15</v>
      </c>
      <c r="K416" s="358">
        <v>0</v>
      </c>
      <c r="L416" s="358">
        <v>260</v>
      </c>
      <c r="M416" s="358">
        <v>0</v>
      </c>
      <c r="N416" s="361">
        <f>'ExDom Freight'!AB15</f>
        <v>0</v>
      </c>
      <c r="O416" s="361">
        <f>'ExDom Freight'!AC15</f>
        <v>0</v>
      </c>
      <c r="P416" s="358">
        <f>'ExDom Freight'!AD15</f>
        <v>260</v>
      </c>
      <c r="Q416" s="358">
        <f>'ExDom Freight'!AE15</f>
        <v>0</v>
      </c>
      <c r="R416" s="358">
        <f>'ExDom Freight'!AF15</f>
        <v>0</v>
      </c>
      <c r="S416" s="358">
        <f>'ExDom Freight'!AG15</f>
        <v>0</v>
      </c>
      <c r="T416" s="358">
        <f>'ExDom Freight'!AH15</f>
        <v>260</v>
      </c>
      <c r="U416" s="358">
        <f>'ExDom Freight'!AI15</f>
        <v>0</v>
      </c>
      <c r="V416" s="365">
        <f>'ExDom Freight'!AJ15</f>
        <v>0</v>
      </c>
      <c r="W416" s="358">
        <f>'ExDom Freight'!AK15</f>
        <v>0</v>
      </c>
      <c r="X416" s="358">
        <f>'ExDom Freight'!AL15</f>
        <v>0</v>
      </c>
      <c r="Y416" s="358">
        <f>'ExDom Freight'!AM15</f>
        <v>0</v>
      </c>
    </row>
    <row r="417" spans="1:25" x14ac:dyDescent="0.35">
      <c r="A417">
        <v>416</v>
      </c>
      <c r="B417" t="s">
        <v>1351</v>
      </c>
      <c r="C417" t="s">
        <v>946</v>
      </c>
      <c r="D417" t="s">
        <v>335</v>
      </c>
      <c r="E417" t="s">
        <v>892</v>
      </c>
      <c r="F417" t="s">
        <v>892</v>
      </c>
      <c r="G417" s="63" t="s">
        <v>1619</v>
      </c>
      <c r="H417" s="358">
        <v>245</v>
      </c>
      <c r="I417" s="358">
        <v>0</v>
      </c>
      <c r="J417" s="357">
        <v>15</v>
      </c>
      <c r="K417" s="358">
        <v>0</v>
      </c>
      <c r="L417" s="358">
        <v>260</v>
      </c>
      <c r="M417" s="358">
        <v>0</v>
      </c>
      <c r="N417" s="361">
        <f>'ExDom Freight'!AB16</f>
        <v>0</v>
      </c>
      <c r="O417" s="361">
        <f>'ExDom Freight'!AC16</f>
        <v>0</v>
      </c>
      <c r="P417" s="358">
        <f>'ExDom Freight'!AD16</f>
        <v>260</v>
      </c>
      <c r="Q417" s="358">
        <f>'ExDom Freight'!AE16</f>
        <v>0</v>
      </c>
      <c r="R417" s="358">
        <f>'ExDom Freight'!AF16</f>
        <v>0</v>
      </c>
      <c r="S417" s="358">
        <f>'ExDom Freight'!AG16</f>
        <v>0</v>
      </c>
      <c r="T417" s="358">
        <f>'ExDom Freight'!AH16</f>
        <v>260</v>
      </c>
      <c r="U417" s="358">
        <f>'ExDom Freight'!AI16</f>
        <v>0</v>
      </c>
      <c r="V417" s="365">
        <f>'ExDom Freight'!AJ16</f>
        <v>0</v>
      </c>
      <c r="W417" s="358">
        <f>'ExDom Freight'!AK16</f>
        <v>0</v>
      </c>
      <c r="X417" s="358">
        <f>'ExDom Freight'!AL16</f>
        <v>0</v>
      </c>
      <c r="Y417" s="358">
        <f>'ExDom Freight'!AM16</f>
        <v>0</v>
      </c>
    </row>
    <row r="418" spans="1:25" x14ac:dyDescent="0.35">
      <c r="A418">
        <v>417</v>
      </c>
      <c r="B418" t="s">
        <v>1351</v>
      </c>
      <c r="C418" t="s">
        <v>946</v>
      </c>
      <c r="D418" t="s">
        <v>335</v>
      </c>
      <c r="E418" t="s">
        <v>891</v>
      </c>
      <c r="F418" t="s">
        <v>891</v>
      </c>
      <c r="G418" s="63" t="s">
        <v>1620</v>
      </c>
      <c r="H418" s="358">
        <v>135</v>
      </c>
      <c r="I418" s="358">
        <v>0</v>
      </c>
      <c r="J418" s="357">
        <v>10</v>
      </c>
      <c r="K418" s="358">
        <v>0</v>
      </c>
      <c r="L418" s="358">
        <v>145</v>
      </c>
      <c r="M418" s="358">
        <v>0</v>
      </c>
      <c r="N418" s="361">
        <f>'ExDom Freight'!AB17</f>
        <v>0</v>
      </c>
      <c r="O418" s="361">
        <f>'ExDom Freight'!AC17</f>
        <v>0</v>
      </c>
      <c r="P418" s="358">
        <f>'ExDom Freight'!AD17</f>
        <v>145</v>
      </c>
      <c r="Q418" s="358">
        <f>'ExDom Freight'!AE17</f>
        <v>0</v>
      </c>
      <c r="R418" s="358">
        <f>'ExDom Freight'!AF17</f>
        <v>0</v>
      </c>
      <c r="S418" s="358">
        <f>'ExDom Freight'!AG17</f>
        <v>0</v>
      </c>
      <c r="T418" s="358">
        <f>'ExDom Freight'!AH17</f>
        <v>145</v>
      </c>
      <c r="U418" s="358">
        <f>'ExDom Freight'!AI17</f>
        <v>0</v>
      </c>
      <c r="V418" s="365">
        <f>'ExDom Freight'!AJ17</f>
        <v>0</v>
      </c>
      <c r="W418" s="358">
        <f>'ExDom Freight'!AK17</f>
        <v>0</v>
      </c>
      <c r="X418" s="358">
        <f>'ExDom Freight'!AL17</f>
        <v>0</v>
      </c>
      <c r="Y418" s="358">
        <f>'ExDom Freight'!AM17</f>
        <v>0</v>
      </c>
    </row>
    <row r="419" spans="1:25" x14ac:dyDescent="0.35">
      <c r="A419">
        <v>418</v>
      </c>
      <c r="B419" t="s">
        <v>1351</v>
      </c>
      <c r="C419" t="s">
        <v>946</v>
      </c>
      <c r="D419" t="s">
        <v>335</v>
      </c>
      <c r="E419" t="s">
        <v>18</v>
      </c>
      <c r="F419" t="s">
        <v>18</v>
      </c>
      <c r="G419" s="63" t="s">
        <v>1621</v>
      </c>
      <c r="H419" s="358">
        <v>0</v>
      </c>
      <c r="I419" s="358">
        <v>0</v>
      </c>
      <c r="J419" s="357">
        <v>0</v>
      </c>
      <c r="K419" s="358">
        <v>0</v>
      </c>
      <c r="L419" s="358">
        <v>0</v>
      </c>
      <c r="M419" s="358">
        <v>0</v>
      </c>
      <c r="N419" s="361">
        <f>'ExDom Freight'!AB18</f>
        <v>0</v>
      </c>
      <c r="O419" s="361">
        <f>'ExDom Freight'!AC18</f>
        <v>0</v>
      </c>
      <c r="V419" s="365">
        <f>'ExDom Freight'!AJ18</f>
        <v>0</v>
      </c>
    </row>
    <row r="420" spans="1:25" x14ac:dyDescent="0.35">
      <c r="A420">
        <v>419</v>
      </c>
      <c r="B420" t="s">
        <v>1351</v>
      </c>
      <c r="C420" t="s">
        <v>946</v>
      </c>
      <c r="D420" t="s">
        <v>335</v>
      </c>
      <c r="E420" t="s">
        <v>278</v>
      </c>
      <c r="F420" t="s">
        <v>278</v>
      </c>
      <c r="G420" s="63" t="s">
        <v>1622</v>
      </c>
      <c r="H420" s="358">
        <v>150.5</v>
      </c>
      <c r="I420" s="358">
        <v>9.9000000000000005E-2</v>
      </c>
      <c r="J420" s="357">
        <v>9.5</v>
      </c>
      <c r="K420" s="358">
        <v>5.9999999999999915E-3</v>
      </c>
      <c r="L420" s="358">
        <v>160</v>
      </c>
      <c r="M420" s="358">
        <v>0.105</v>
      </c>
      <c r="N420" s="361">
        <f>'ExDom Freight'!AB19</f>
        <v>0</v>
      </c>
      <c r="O420" s="361">
        <f>'ExDom Freight'!AC19</f>
        <v>0</v>
      </c>
      <c r="P420" s="358">
        <f>'ExDom Freight'!AD19</f>
        <v>160</v>
      </c>
      <c r="Q420" s="358">
        <f>'ExDom Freight'!AE19</f>
        <v>0.105</v>
      </c>
      <c r="R420" s="358">
        <f>'ExDom Freight'!AF19</f>
        <v>0</v>
      </c>
      <c r="S420" s="358">
        <f>'ExDom Freight'!AG19</f>
        <v>0</v>
      </c>
      <c r="T420" s="358">
        <f>'ExDom Freight'!AH19</f>
        <v>160</v>
      </c>
      <c r="U420" s="358">
        <f>'ExDom Freight'!AI19</f>
        <v>0.105</v>
      </c>
      <c r="V420" s="365">
        <f>'ExDom Freight'!AJ19</f>
        <v>0</v>
      </c>
      <c r="W420" s="358">
        <f>'ExDom Freight'!AK19</f>
        <v>0</v>
      </c>
      <c r="X420" s="358">
        <f>'ExDom Freight'!AL19</f>
        <v>0</v>
      </c>
      <c r="Y420" s="358">
        <f>'ExDom Freight'!AM19</f>
        <v>0</v>
      </c>
    </row>
    <row r="421" spans="1:25" x14ac:dyDescent="0.35">
      <c r="A421">
        <v>420</v>
      </c>
      <c r="B421" t="s">
        <v>1351</v>
      </c>
      <c r="C421" t="s">
        <v>946</v>
      </c>
      <c r="D421" t="s">
        <v>335</v>
      </c>
      <c r="E421" t="s">
        <v>277</v>
      </c>
      <c r="F421" t="s">
        <v>277</v>
      </c>
      <c r="G421" s="63" t="s">
        <v>1623</v>
      </c>
      <c r="H421" s="358">
        <v>150.5</v>
      </c>
      <c r="I421" s="358">
        <v>9.9000000000000005E-2</v>
      </c>
      <c r="J421" s="357">
        <v>9.5</v>
      </c>
      <c r="K421" s="358">
        <v>5.9999999999999915E-3</v>
      </c>
      <c r="L421" s="358">
        <v>160</v>
      </c>
      <c r="M421" s="358">
        <v>0.105</v>
      </c>
      <c r="N421" s="361">
        <f>'ExDom Freight'!AB20</f>
        <v>0</v>
      </c>
      <c r="O421" s="361">
        <f>'ExDom Freight'!AC20</f>
        <v>0</v>
      </c>
      <c r="P421" s="358">
        <f>'ExDom Freight'!AD20</f>
        <v>160</v>
      </c>
      <c r="Q421" s="358">
        <f>'ExDom Freight'!AE20</f>
        <v>0.105</v>
      </c>
      <c r="R421" s="358">
        <f>'ExDom Freight'!AF20</f>
        <v>0</v>
      </c>
      <c r="S421" s="358">
        <f>'ExDom Freight'!AG20</f>
        <v>0</v>
      </c>
      <c r="T421" s="358">
        <f>'ExDom Freight'!AH20</f>
        <v>160</v>
      </c>
      <c r="U421" s="358">
        <f>'ExDom Freight'!AI20</f>
        <v>0.105</v>
      </c>
      <c r="V421" s="365">
        <f>'ExDom Freight'!AJ20</f>
        <v>0</v>
      </c>
      <c r="W421" s="358">
        <f>'ExDom Freight'!AK20</f>
        <v>0</v>
      </c>
      <c r="X421" s="358">
        <f>'ExDom Freight'!AL20</f>
        <v>0</v>
      </c>
      <c r="Y421" s="358">
        <f>'ExDom Freight'!AM20</f>
        <v>0</v>
      </c>
    </row>
    <row r="422" spans="1:25" x14ac:dyDescent="0.35">
      <c r="A422">
        <v>421</v>
      </c>
      <c r="B422" t="s">
        <v>1351</v>
      </c>
      <c r="C422" t="s">
        <v>946</v>
      </c>
      <c r="D422" t="s">
        <v>335</v>
      </c>
      <c r="E422" t="s">
        <v>893</v>
      </c>
      <c r="F422" t="s">
        <v>893</v>
      </c>
      <c r="G422" s="63" t="s">
        <v>1624</v>
      </c>
      <c r="H422" s="358">
        <v>245</v>
      </c>
      <c r="I422" s="358">
        <v>0</v>
      </c>
      <c r="J422" s="357">
        <v>15</v>
      </c>
      <c r="K422" s="358">
        <v>0</v>
      </c>
      <c r="L422" s="358">
        <v>260</v>
      </c>
      <c r="M422" s="358">
        <v>0</v>
      </c>
      <c r="N422" s="361">
        <f>'ExDom Freight'!AB21</f>
        <v>0</v>
      </c>
      <c r="O422" s="361">
        <f>'ExDom Freight'!AC21</f>
        <v>0</v>
      </c>
      <c r="P422" s="358">
        <f>'ExDom Freight'!AD21</f>
        <v>260</v>
      </c>
      <c r="Q422" s="358">
        <f>'ExDom Freight'!AE21</f>
        <v>0</v>
      </c>
      <c r="R422" s="358">
        <f>'ExDom Freight'!AF21</f>
        <v>0</v>
      </c>
      <c r="S422" s="358">
        <f>'ExDom Freight'!AG21</f>
        <v>0</v>
      </c>
      <c r="T422" s="358">
        <f>'ExDom Freight'!AH21</f>
        <v>260</v>
      </c>
      <c r="U422" s="358">
        <f>'ExDom Freight'!AI21</f>
        <v>0</v>
      </c>
      <c r="V422" s="365">
        <f>'ExDom Freight'!AJ21</f>
        <v>0</v>
      </c>
      <c r="W422" s="358">
        <f>'ExDom Freight'!AK21</f>
        <v>0</v>
      </c>
      <c r="X422" s="358">
        <f>'ExDom Freight'!AL21</f>
        <v>0</v>
      </c>
      <c r="Y422" s="358">
        <f>'ExDom Freight'!AM21</f>
        <v>0</v>
      </c>
    </row>
    <row r="423" spans="1:25" x14ac:dyDescent="0.35">
      <c r="A423">
        <v>422</v>
      </c>
      <c r="B423" t="s">
        <v>1351</v>
      </c>
      <c r="C423" t="s">
        <v>946</v>
      </c>
      <c r="D423" t="s">
        <v>335</v>
      </c>
      <c r="E423" t="s">
        <v>894</v>
      </c>
      <c r="F423" t="s">
        <v>894</v>
      </c>
      <c r="G423" s="63" t="s">
        <v>1625</v>
      </c>
      <c r="H423" s="358">
        <v>245</v>
      </c>
      <c r="I423" s="358">
        <v>0</v>
      </c>
      <c r="J423" s="357">
        <v>15</v>
      </c>
      <c r="K423" s="358">
        <v>0</v>
      </c>
      <c r="L423" s="358">
        <v>260</v>
      </c>
      <c r="M423" s="358">
        <v>0</v>
      </c>
      <c r="N423" s="361">
        <f>'ExDom Freight'!AB22</f>
        <v>0</v>
      </c>
      <c r="O423" s="361">
        <f>'ExDom Freight'!AC22</f>
        <v>0</v>
      </c>
      <c r="P423" s="358">
        <f>'ExDom Freight'!AD22</f>
        <v>260</v>
      </c>
      <c r="Q423" s="358">
        <f>'ExDom Freight'!AE22</f>
        <v>0</v>
      </c>
      <c r="R423" s="358">
        <f>'ExDom Freight'!AF22</f>
        <v>0</v>
      </c>
      <c r="S423" s="358">
        <f>'ExDom Freight'!AG22</f>
        <v>0</v>
      </c>
      <c r="T423" s="358">
        <f>'ExDom Freight'!AH22</f>
        <v>260</v>
      </c>
      <c r="U423" s="358">
        <f>'ExDom Freight'!AI22</f>
        <v>0</v>
      </c>
      <c r="V423" s="365">
        <f>'ExDom Freight'!AJ22</f>
        <v>0</v>
      </c>
      <c r="W423" s="358">
        <f>'ExDom Freight'!AK22</f>
        <v>0</v>
      </c>
      <c r="X423" s="358">
        <f>'ExDom Freight'!AL22</f>
        <v>0</v>
      </c>
      <c r="Y423" s="358">
        <f>'ExDom Freight'!AM22</f>
        <v>0</v>
      </c>
    </row>
    <row r="424" spans="1:25" x14ac:dyDescent="0.35">
      <c r="A424">
        <v>423</v>
      </c>
      <c r="B424" t="s">
        <v>1351</v>
      </c>
      <c r="C424" t="s">
        <v>946</v>
      </c>
      <c r="D424" t="s">
        <v>335</v>
      </c>
      <c r="E424" t="s">
        <v>57</v>
      </c>
      <c r="F424" t="s">
        <v>57</v>
      </c>
      <c r="G424" s="63" t="s">
        <v>1626</v>
      </c>
      <c r="H424" s="358">
        <v>24</v>
      </c>
      <c r="I424" s="358">
        <v>0</v>
      </c>
      <c r="J424" s="357">
        <v>1.5</v>
      </c>
      <c r="K424" s="358">
        <v>0</v>
      </c>
      <c r="L424" s="358">
        <v>25.5</v>
      </c>
      <c r="M424" s="358">
        <v>0</v>
      </c>
      <c r="N424" s="361">
        <f>'ExDom Freight'!AB23</f>
        <v>0</v>
      </c>
      <c r="O424" s="361">
        <f>'ExDom Freight'!AC23</f>
        <v>0</v>
      </c>
      <c r="P424" s="358">
        <f>'ExDom Freight'!AD23</f>
        <v>25.5</v>
      </c>
      <c r="Q424" s="358">
        <f>'ExDom Freight'!AE23</f>
        <v>0</v>
      </c>
      <c r="R424" s="358">
        <f>'ExDom Freight'!AF23</f>
        <v>0</v>
      </c>
      <c r="S424" s="358">
        <f>'ExDom Freight'!AG23</f>
        <v>0</v>
      </c>
      <c r="T424" s="358">
        <f>'ExDom Freight'!AH23</f>
        <v>25.5</v>
      </c>
      <c r="U424" s="358">
        <f>'ExDom Freight'!AI23</f>
        <v>0</v>
      </c>
      <c r="V424" s="365">
        <f>'ExDom Freight'!AJ23</f>
        <v>0</v>
      </c>
      <c r="W424" s="358">
        <f>'ExDom Freight'!AK23</f>
        <v>0</v>
      </c>
      <c r="X424" s="358">
        <f>'ExDom Freight'!AL23</f>
        <v>0</v>
      </c>
      <c r="Y424" s="358">
        <f>'ExDom Freight'!AM23</f>
        <v>0</v>
      </c>
    </row>
    <row r="425" spans="1:25" x14ac:dyDescent="0.35">
      <c r="A425">
        <v>424</v>
      </c>
      <c r="B425" t="s">
        <v>1351</v>
      </c>
      <c r="C425" t="s">
        <v>946</v>
      </c>
      <c r="D425" t="s">
        <v>335</v>
      </c>
      <c r="E425" t="s">
        <v>314</v>
      </c>
      <c r="F425" t="s">
        <v>314</v>
      </c>
      <c r="G425" s="63" t="s">
        <v>1627</v>
      </c>
      <c r="H425" s="358">
        <v>540</v>
      </c>
      <c r="I425" s="358">
        <v>1.02</v>
      </c>
      <c r="J425" s="357">
        <v>0</v>
      </c>
      <c r="K425" s="358">
        <v>0</v>
      </c>
      <c r="L425" s="358">
        <v>540</v>
      </c>
      <c r="M425" s="358">
        <v>1.02</v>
      </c>
      <c r="N425" s="361">
        <f>'ExDom Freight'!AB24</f>
        <v>0</v>
      </c>
      <c r="O425" s="361">
        <f>'ExDom Freight'!AC24</f>
        <v>0</v>
      </c>
      <c r="P425" s="358">
        <f>'ExDom Freight'!AD24</f>
        <v>540</v>
      </c>
      <c r="Q425" s="358">
        <f>'ExDom Freight'!AE24</f>
        <v>1.02</v>
      </c>
      <c r="R425" s="358">
        <f>'ExDom Freight'!AF24</f>
        <v>0</v>
      </c>
      <c r="S425" s="358">
        <f>'ExDom Freight'!AG24</f>
        <v>0</v>
      </c>
      <c r="T425" s="358">
        <f>'ExDom Freight'!AH24</f>
        <v>540</v>
      </c>
      <c r="U425" s="358">
        <f>'ExDom Freight'!AI24</f>
        <v>1.02</v>
      </c>
      <c r="V425" s="365">
        <f>'ExDom Freight'!AJ24</f>
        <v>0</v>
      </c>
      <c r="W425" s="358">
        <f>'ExDom Freight'!AK24</f>
        <v>0</v>
      </c>
      <c r="X425" s="358">
        <f>'ExDom Freight'!AL24</f>
        <v>0</v>
      </c>
      <c r="Y425" s="358">
        <f>'ExDom Freight'!AM24</f>
        <v>0</v>
      </c>
    </row>
    <row r="426" spans="1:25" x14ac:dyDescent="0.35">
      <c r="A426">
        <v>425</v>
      </c>
      <c r="B426" t="s">
        <v>1351</v>
      </c>
      <c r="C426" t="s">
        <v>946</v>
      </c>
      <c r="D426" t="s">
        <v>335</v>
      </c>
      <c r="E426" t="s">
        <v>852</v>
      </c>
      <c r="F426" t="s">
        <v>852</v>
      </c>
      <c r="G426" s="63" t="s">
        <v>1628</v>
      </c>
      <c r="H426" s="358">
        <v>24</v>
      </c>
      <c r="I426" s="358">
        <v>0</v>
      </c>
      <c r="J426" s="357">
        <v>1.5</v>
      </c>
      <c r="K426" s="358">
        <v>0</v>
      </c>
      <c r="L426" s="358">
        <v>25.5</v>
      </c>
      <c r="M426" s="358">
        <v>0</v>
      </c>
      <c r="N426" s="361">
        <f>'ExDom Freight'!AB25</f>
        <v>0</v>
      </c>
      <c r="O426" s="361">
        <f>'ExDom Freight'!AC25</f>
        <v>0</v>
      </c>
      <c r="P426" s="358">
        <f>'ExDom Freight'!AD25</f>
        <v>25.5</v>
      </c>
      <c r="Q426" s="358">
        <f>'ExDom Freight'!AE25</f>
        <v>0</v>
      </c>
      <c r="R426" s="358">
        <f>'ExDom Freight'!AF25</f>
        <v>0</v>
      </c>
      <c r="S426" s="358">
        <f>'ExDom Freight'!AG25</f>
        <v>0</v>
      </c>
      <c r="T426" s="358">
        <f>'ExDom Freight'!AH25</f>
        <v>25.5</v>
      </c>
      <c r="U426" s="358">
        <f>'ExDom Freight'!AI25</f>
        <v>0</v>
      </c>
      <c r="V426" s="365">
        <f>'ExDom Freight'!AJ25</f>
        <v>0</v>
      </c>
      <c r="W426" s="358">
        <f>'ExDom Freight'!AK25</f>
        <v>0</v>
      </c>
      <c r="X426" s="358">
        <f>'ExDom Freight'!AL25</f>
        <v>0</v>
      </c>
      <c r="Y426" s="358">
        <f>'ExDom Freight'!AM25</f>
        <v>0</v>
      </c>
    </row>
    <row r="427" spans="1:25" x14ac:dyDescent="0.35">
      <c r="A427">
        <v>426</v>
      </c>
      <c r="B427" t="s">
        <v>1351</v>
      </c>
      <c r="C427" t="s">
        <v>946</v>
      </c>
      <c r="D427" t="s">
        <v>335</v>
      </c>
      <c r="E427" t="s">
        <v>933</v>
      </c>
      <c r="F427" t="s">
        <v>933</v>
      </c>
      <c r="G427" s="63" t="s">
        <v>1629</v>
      </c>
      <c r="H427" s="358">
        <v>130</v>
      </c>
      <c r="I427" s="358">
        <v>0</v>
      </c>
      <c r="J427" s="357">
        <v>0</v>
      </c>
      <c r="K427" s="358">
        <v>0</v>
      </c>
      <c r="L427" s="358">
        <v>130</v>
      </c>
      <c r="M427" s="358">
        <v>0</v>
      </c>
      <c r="N427" s="361">
        <f>'ExDom Freight'!AB26</f>
        <v>0</v>
      </c>
      <c r="O427" s="361">
        <f>'ExDom Freight'!AC26</f>
        <v>0</v>
      </c>
      <c r="P427" s="358">
        <f>'ExDom Freight'!AD26</f>
        <v>130</v>
      </c>
      <c r="Q427" s="358">
        <f>'ExDom Freight'!AE26</f>
        <v>0</v>
      </c>
      <c r="R427" s="358">
        <f>'ExDom Freight'!AF26</f>
        <v>0</v>
      </c>
      <c r="S427" s="358">
        <f>'ExDom Freight'!AG26</f>
        <v>0</v>
      </c>
      <c r="T427" s="358">
        <f>'ExDom Freight'!AH26</f>
        <v>130</v>
      </c>
      <c r="U427" s="358">
        <f>'ExDom Freight'!AI26</f>
        <v>0</v>
      </c>
      <c r="V427" s="365">
        <f>'ExDom Freight'!AJ26</f>
        <v>0</v>
      </c>
      <c r="W427" s="358">
        <f>'ExDom Freight'!AK26</f>
        <v>0</v>
      </c>
      <c r="X427" s="358">
        <f>'ExDom Freight'!AL26</f>
        <v>0</v>
      </c>
      <c r="Y427" s="358">
        <f>'ExDom Freight'!AM26</f>
        <v>0</v>
      </c>
    </row>
    <row r="428" spans="1:25" x14ac:dyDescent="0.35">
      <c r="A428">
        <v>427</v>
      </c>
      <c r="B428" t="s">
        <v>1351</v>
      </c>
      <c r="C428" t="s">
        <v>946</v>
      </c>
      <c r="D428" t="s">
        <v>335</v>
      </c>
      <c r="E428" t="s">
        <v>25</v>
      </c>
      <c r="F428" t="s">
        <v>25</v>
      </c>
      <c r="G428" s="63" t="s">
        <v>1630</v>
      </c>
      <c r="H428" s="358">
        <v>215</v>
      </c>
      <c r="I428" s="358">
        <v>0</v>
      </c>
      <c r="J428" s="357">
        <v>15</v>
      </c>
      <c r="K428" s="358">
        <v>0</v>
      </c>
      <c r="L428" s="358">
        <v>230</v>
      </c>
      <c r="M428" s="358">
        <v>0</v>
      </c>
      <c r="N428" s="361">
        <f>'ExDom Freight'!AB27</f>
        <v>0</v>
      </c>
      <c r="O428" s="361">
        <f>'ExDom Freight'!AC27</f>
        <v>0</v>
      </c>
      <c r="P428" s="358">
        <f>'ExDom Freight'!AD27</f>
        <v>230</v>
      </c>
      <c r="Q428" s="358">
        <f>'ExDom Freight'!AE27</f>
        <v>0</v>
      </c>
      <c r="R428" s="358">
        <f>'ExDom Freight'!AF27</f>
        <v>0</v>
      </c>
      <c r="S428" s="358">
        <f>'ExDom Freight'!AG27</f>
        <v>0</v>
      </c>
      <c r="T428" s="358">
        <f>'ExDom Freight'!AH27</f>
        <v>230</v>
      </c>
      <c r="U428" s="358">
        <f>'ExDom Freight'!AI27</f>
        <v>0</v>
      </c>
      <c r="V428" s="365">
        <f>'ExDom Freight'!AJ27</f>
        <v>0</v>
      </c>
      <c r="W428" s="358">
        <f>'ExDom Freight'!AK27</f>
        <v>0</v>
      </c>
      <c r="X428" s="358">
        <f>'ExDom Freight'!AL27</f>
        <v>0</v>
      </c>
      <c r="Y428" s="358">
        <f>'ExDom Freight'!AM27</f>
        <v>0</v>
      </c>
    </row>
    <row r="429" spans="1:25" x14ac:dyDescent="0.35">
      <c r="A429">
        <v>428</v>
      </c>
      <c r="B429" t="s">
        <v>1351</v>
      </c>
      <c r="C429" t="s">
        <v>946</v>
      </c>
      <c r="D429" t="s">
        <v>335</v>
      </c>
      <c r="E429" t="s">
        <v>895</v>
      </c>
      <c r="F429" t="s">
        <v>895</v>
      </c>
      <c r="G429" s="63" t="s">
        <v>1631</v>
      </c>
      <c r="H429" s="358">
        <v>215</v>
      </c>
      <c r="I429" s="358">
        <v>0</v>
      </c>
      <c r="J429" s="357">
        <v>15</v>
      </c>
      <c r="K429" s="358">
        <v>0</v>
      </c>
      <c r="L429" s="358">
        <v>230</v>
      </c>
      <c r="M429" s="358">
        <v>0</v>
      </c>
      <c r="N429" s="361">
        <f>'ExDom Freight'!AB28</f>
        <v>0</v>
      </c>
      <c r="O429" s="361">
        <f>'ExDom Freight'!AC28</f>
        <v>0</v>
      </c>
      <c r="P429" s="358">
        <f>'ExDom Freight'!AD28</f>
        <v>230</v>
      </c>
      <c r="Q429" s="358">
        <f>'ExDom Freight'!AE28</f>
        <v>0</v>
      </c>
      <c r="R429" s="358">
        <f>'ExDom Freight'!AF28</f>
        <v>0</v>
      </c>
      <c r="S429" s="358">
        <f>'ExDom Freight'!AG28</f>
        <v>0</v>
      </c>
      <c r="T429" s="358">
        <f>'ExDom Freight'!AH28</f>
        <v>230</v>
      </c>
      <c r="U429" s="358">
        <f>'ExDom Freight'!AI28</f>
        <v>0</v>
      </c>
      <c r="V429" s="365">
        <f>'ExDom Freight'!AJ28</f>
        <v>0</v>
      </c>
      <c r="W429" s="358">
        <f>'ExDom Freight'!AK28</f>
        <v>0</v>
      </c>
      <c r="X429" s="358">
        <f>'ExDom Freight'!AL28</f>
        <v>0</v>
      </c>
      <c r="Y429" s="358">
        <f>'ExDom Freight'!AM28</f>
        <v>0</v>
      </c>
    </row>
    <row r="430" spans="1:25" x14ac:dyDescent="0.35">
      <c r="A430">
        <v>429</v>
      </c>
      <c r="B430" t="s">
        <v>1351</v>
      </c>
      <c r="C430" t="s">
        <v>946</v>
      </c>
      <c r="D430" t="s">
        <v>335</v>
      </c>
      <c r="E430" t="s">
        <v>283</v>
      </c>
      <c r="F430" t="s">
        <v>1003</v>
      </c>
      <c r="G430" s="63" t="s">
        <v>1632</v>
      </c>
      <c r="H430" s="358">
        <v>1.05</v>
      </c>
      <c r="I430" s="358">
        <v>0</v>
      </c>
      <c r="J430" s="357">
        <v>0</v>
      </c>
      <c r="K430" s="358">
        <v>0</v>
      </c>
      <c r="L430" s="358">
        <v>1.05</v>
      </c>
      <c r="M430" s="358">
        <v>0</v>
      </c>
      <c r="N430" s="361">
        <f>'ExDom Freight'!AB30</f>
        <v>0</v>
      </c>
      <c r="O430" s="361">
        <f>'ExDom Freight'!AC30</f>
        <v>0</v>
      </c>
      <c r="P430" s="358">
        <f>'ExDom Freight'!AD30</f>
        <v>1.05</v>
      </c>
      <c r="Q430" s="358">
        <f>'ExDom Freight'!AE30</f>
        <v>0</v>
      </c>
      <c r="R430" s="358">
        <f>'ExDom Freight'!AF30</f>
        <v>0</v>
      </c>
      <c r="S430" s="358">
        <f>'ExDom Freight'!AG30</f>
        <v>0</v>
      </c>
      <c r="T430" s="358">
        <f>'ExDom Freight'!AH30</f>
        <v>1.05</v>
      </c>
      <c r="U430" s="358">
        <f>'ExDom Freight'!AI30</f>
        <v>0</v>
      </c>
      <c r="V430" s="365">
        <f>'ExDom Freight'!AJ30</f>
        <v>0</v>
      </c>
      <c r="W430" s="358">
        <f>'ExDom Freight'!AK30</f>
        <v>0</v>
      </c>
      <c r="X430" s="358">
        <f>'ExDom Freight'!AL30</f>
        <v>0</v>
      </c>
      <c r="Y430" s="358">
        <f>'ExDom Freight'!AM30</f>
        <v>0</v>
      </c>
    </row>
    <row r="431" spans="1:25" x14ac:dyDescent="0.35">
      <c r="A431">
        <v>430</v>
      </c>
      <c r="B431" t="s">
        <v>1351</v>
      </c>
      <c r="C431" t="s">
        <v>946</v>
      </c>
      <c r="D431" t="s">
        <v>335</v>
      </c>
      <c r="E431" t="s">
        <v>283</v>
      </c>
      <c r="F431" t="s">
        <v>1005</v>
      </c>
      <c r="G431" s="63" t="s">
        <v>1633</v>
      </c>
      <c r="H431" s="358">
        <v>1.05</v>
      </c>
      <c r="I431" s="358">
        <v>0</v>
      </c>
      <c r="J431" s="357">
        <v>0</v>
      </c>
      <c r="K431" s="358">
        <v>0</v>
      </c>
      <c r="L431" s="358">
        <v>1.05</v>
      </c>
      <c r="M431" s="358">
        <v>0</v>
      </c>
      <c r="N431" s="361">
        <f>'ExDom Freight'!AB31</f>
        <v>0</v>
      </c>
      <c r="O431" s="361">
        <f>'ExDom Freight'!AC31</f>
        <v>0</v>
      </c>
      <c r="P431" s="358">
        <f>'ExDom Freight'!AD31</f>
        <v>1.05</v>
      </c>
      <c r="Q431" s="358">
        <f>'ExDom Freight'!AE31</f>
        <v>0</v>
      </c>
      <c r="R431" s="358">
        <f>'ExDom Freight'!AF31</f>
        <v>0</v>
      </c>
      <c r="S431" s="358">
        <f>'ExDom Freight'!AG31</f>
        <v>0</v>
      </c>
      <c r="T431" s="358">
        <f>'ExDom Freight'!AH31</f>
        <v>1.05</v>
      </c>
      <c r="U431" s="358">
        <f>'ExDom Freight'!AI31</f>
        <v>0</v>
      </c>
      <c r="V431" s="365">
        <f>'ExDom Freight'!AJ31</f>
        <v>0</v>
      </c>
      <c r="W431" s="358">
        <f>'ExDom Freight'!AK31</f>
        <v>0</v>
      </c>
      <c r="X431" s="358">
        <f>'ExDom Freight'!AL31</f>
        <v>0</v>
      </c>
      <c r="Y431" s="358">
        <f>'ExDom Freight'!AM31</f>
        <v>0</v>
      </c>
    </row>
    <row r="432" spans="1:25" x14ac:dyDescent="0.35">
      <c r="A432">
        <v>431</v>
      </c>
      <c r="B432" t="s">
        <v>1351</v>
      </c>
      <c r="C432" t="s">
        <v>946</v>
      </c>
      <c r="D432" t="s">
        <v>335</v>
      </c>
      <c r="E432" t="s">
        <v>46</v>
      </c>
      <c r="F432" t="s">
        <v>46</v>
      </c>
      <c r="G432" s="63" t="s">
        <v>1634</v>
      </c>
      <c r="H432" s="358">
        <v>210</v>
      </c>
      <c r="I432" s="358">
        <v>0</v>
      </c>
      <c r="J432" s="357">
        <v>0</v>
      </c>
      <c r="K432" s="358">
        <v>0</v>
      </c>
      <c r="L432" s="358">
        <v>210</v>
      </c>
      <c r="M432" s="358">
        <v>0</v>
      </c>
      <c r="N432" s="361">
        <f>'ExDom Freight'!AB32</f>
        <v>0</v>
      </c>
      <c r="O432" s="361">
        <f>'ExDom Freight'!AC32</f>
        <v>0</v>
      </c>
      <c r="P432" s="358">
        <f>'ExDom Freight'!AD32</f>
        <v>210</v>
      </c>
      <c r="Q432" s="358">
        <f>'ExDom Freight'!AE32</f>
        <v>0</v>
      </c>
      <c r="R432" s="358">
        <f>'ExDom Freight'!AF32</f>
        <v>0</v>
      </c>
      <c r="S432" s="358">
        <f>'ExDom Freight'!AG32</f>
        <v>0</v>
      </c>
      <c r="T432" s="358">
        <f>'ExDom Freight'!AH32</f>
        <v>210</v>
      </c>
      <c r="U432" s="358">
        <f>'ExDom Freight'!AI32</f>
        <v>0</v>
      </c>
      <c r="V432" s="365">
        <f>'ExDom Freight'!AJ32</f>
        <v>0</v>
      </c>
      <c r="W432" s="358">
        <f>'ExDom Freight'!AK32</f>
        <v>0</v>
      </c>
      <c r="X432" s="358">
        <f>'ExDom Freight'!AL32</f>
        <v>0</v>
      </c>
      <c r="Y432" s="358">
        <f>'ExDom Freight'!AM32</f>
        <v>0</v>
      </c>
    </row>
    <row r="433" spans="1:25" x14ac:dyDescent="0.35">
      <c r="A433">
        <v>432</v>
      </c>
      <c r="B433" t="s">
        <v>1351</v>
      </c>
      <c r="C433" t="s">
        <v>946</v>
      </c>
      <c r="D433" t="s">
        <v>335</v>
      </c>
      <c r="E433" t="s">
        <v>24</v>
      </c>
      <c r="F433" t="s">
        <v>24</v>
      </c>
      <c r="G433" s="63" t="s">
        <v>1635</v>
      </c>
      <c r="H433" s="358">
        <v>210</v>
      </c>
      <c r="I433" s="358">
        <v>0</v>
      </c>
      <c r="J433" s="357">
        <v>0</v>
      </c>
      <c r="K433" s="358">
        <v>0</v>
      </c>
      <c r="L433" s="358">
        <v>210</v>
      </c>
      <c r="M433" s="358">
        <v>0</v>
      </c>
      <c r="N433" s="361">
        <f>'ExDom Freight'!AB33</f>
        <v>0</v>
      </c>
      <c r="O433" s="361">
        <f>'ExDom Freight'!AC33</f>
        <v>0</v>
      </c>
      <c r="P433" s="358">
        <f>'ExDom Freight'!AD33</f>
        <v>210</v>
      </c>
      <c r="Q433" s="358">
        <f>'ExDom Freight'!AE33</f>
        <v>0</v>
      </c>
      <c r="R433" s="358">
        <f>'ExDom Freight'!AF33</f>
        <v>0</v>
      </c>
      <c r="S433" s="358">
        <f>'ExDom Freight'!AG33</f>
        <v>0</v>
      </c>
      <c r="T433" s="358">
        <f>'ExDom Freight'!AH33</f>
        <v>210</v>
      </c>
      <c r="U433" s="358">
        <f>'ExDom Freight'!AI33</f>
        <v>0</v>
      </c>
      <c r="V433" s="365">
        <f>'ExDom Freight'!AJ33</f>
        <v>0</v>
      </c>
      <c r="W433" s="358">
        <f>'ExDom Freight'!AK33</f>
        <v>0</v>
      </c>
      <c r="X433" s="358">
        <f>'ExDom Freight'!AL33</f>
        <v>0</v>
      </c>
      <c r="Y433" s="358">
        <f>'ExDom Freight'!AM33</f>
        <v>0</v>
      </c>
    </row>
    <row r="434" spans="1:25" x14ac:dyDescent="0.35">
      <c r="A434">
        <v>433</v>
      </c>
      <c r="B434" t="s">
        <v>1341</v>
      </c>
      <c r="C434" t="s">
        <v>953</v>
      </c>
      <c r="D434" t="s">
        <v>14</v>
      </c>
      <c r="E434" t="s">
        <v>66</v>
      </c>
      <c r="F434" t="s">
        <v>290</v>
      </c>
      <c r="G434" s="63" t="s">
        <v>1466</v>
      </c>
      <c r="H434" s="358">
        <v>27</v>
      </c>
      <c r="I434" s="358">
        <v>0</v>
      </c>
      <c r="J434" s="357">
        <v>2.5</v>
      </c>
      <c r="K434" s="358">
        <v>0</v>
      </c>
      <c r="L434" s="358">
        <v>29.5</v>
      </c>
      <c r="M434" s="358">
        <v>0</v>
      </c>
      <c r="N434" s="361">
        <f>'ExIntl Parcel'!D6</f>
        <v>0</v>
      </c>
      <c r="O434" s="361">
        <f>'ExIntl Parcel'!E6</f>
        <v>0</v>
      </c>
      <c r="P434" s="358">
        <f>'ExIntl Parcel'!F6</f>
        <v>29.5</v>
      </c>
      <c r="Q434" s="358">
        <f>'ExIntl Parcel'!G6</f>
        <v>0</v>
      </c>
      <c r="R434" s="358">
        <f>'ExIntl Parcel'!H6</f>
        <v>0</v>
      </c>
      <c r="S434" s="358">
        <f>'ExIntl Parcel'!I6</f>
        <v>0</v>
      </c>
      <c r="T434" s="358">
        <f>'ExIntl Parcel'!J6</f>
        <v>29.5</v>
      </c>
      <c r="U434" s="358">
        <f>'ExIntl Parcel'!K6</f>
        <v>0</v>
      </c>
      <c r="V434" s="365">
        <f>'ExIntl Parcel'!L6</f>
        <v>0</v>
      </c>
      <c r="W434" s="358">
        <f>'ExIntl Parcel'!M6</f>
        <v>0</v>
      </c>
      <c r="X434" s="358">
        <f>'ExIntl Parcel'!N6</f>
        <v>0</v>
      </c>
      <c r="Y434" s="358">
        <f>'ExIntl Parcel'!O6</f>
        <v>0</v>
      </c>
    </row>
    <row r="435" spans="1:25" x14ac:dyDescent="0.35">
      <c r="A435">
        <v>434</v>
      </c>
      <c r="B435" t="s">
        <v>1341</v>
      </c>
      <c r="C435" t="s">
        <v>953</v>
      </c>
      <c r="D435" t="s">
        <v>14</v>
      </c>
      <c r="E435" t="s">
        <v>66</v>
      </c>
      <c r="F435" t="s">
        <v>68</v>
      </c>
      <c r="G435" s="63" t="s">
        <v>1467</v>
      </c>
      <c r="H435" s="358">
        <v>27</v>
      </c>
      <c r="I435" s="358">
        <v>0</v>
      </c>
      <c r="J435" s="357">
        <v>2.5</v>
      </c>
      <c r="K435" s="358">
        <v>0</v>
      </c>
      <c r="L435" s="358">
        <v>29.5</v>
      </c>
      <c r="M435" s="358">
        <v>0</v>
      </c>
      <c r="N435" s="361">
        <f>'ExIntl Parcel'!D7</f>
        <v>0</v>
      </c>
      <c r="O435" s="361">
        <f>'ExIntl Parcel'!E7</f>
        <v>0</v>
      </c>
      <c r="P435" s="358">
        <f>'ExIntl Parcel'!F7</f>
        <v>29.5</v>
      </c>
      <c r="Q435" s="358">
        <f>'ExIntl Parcel'!G7</f>
        <v>0</v>
      </c>
      <c r="R435" s="358">
        <f>'ExIntl Parcel'!H7</f>
        <v>0</v>
      </c>
      <c r="S435" s="358">
        <f>'ExIntl Parcel'!I7</f>
        <v>0</v>
      </c>
      <c r="T435" s="358">
        <f>'ExIntl Parcel'!J7</f>
        <v>29.5</v>
      </c>
      <c r="U435" s="358">
        <f>'ExIntl Parcel'!K7</f>
        <v>0</v>
      </c>
      <c r="V435" s="365">
        <f>'ExIntl Parcel'!L7</f>
        <v>0</v>
      </c>
      <c r="W435" s="358">
        <f>'ExIntl Parcel'!M7</f>
        <v>0</v>
      </c>
      <c r="X435" s="358">
        <f>'ExIntl Parcel'!N7</f>
        <v>0</v>
      </c>
      <c r="Y435" s="358">
        <f>'ExIntl Parcel'!O7</f>
        <v>0</v>
      </c>
    </row>
    <row r="436" spans="1:25" x14ac:dyDescent="0.35">
      <c r="A436">
        <v>435</v>
      </c>
      <c r="B436" t="s">
        <v>1341</v>
      </c>
      <c r="C436" t="s">
        <v>953</v>
      </c>
      <c r="D436" t="s">
        <v>14</v>
      </c>
      <c r="E436" t="s">
        <v>66</v>
      </c>
      <c r="F436" t="s">
        <v>67</v>
      </c>
      <c r="G436" s="63" t="s">
        <v>1468</v>
      </c>
      <c r="H436" s="358">
        <v>38</v>
      </c>
      <c r="I436" s="358">
        <v>0</v>
      </c>
      <c r="J436" s="357">
        <v>2</v>
      </c>
      <c r="K436" s="358">
        <v>0</v>
      </c>
      <c r="L436" s="358">
        <v>40</v>
      </c>
      <c r="M436" s="358">
        <v>0</v>
      </c>
      <c r="N436" s="361">
        <f>'ExIntl Parcel'!D8</f>
        <v>0</v>
      </c>
      <c r="O436" s="361">
        <f>'ExIntl Parcel'!E8</f>
        <v>0</v>
      </c>
      <c r="P436" s="358">
        <f>'ExIntl Parcel'!F8</f>
        <v>40</v>
      </c>
      <c r="Q436" s="358">
        <f>'ExIntl Parcel'!G8</f>
        <v>0</v>
      </c>
      <c r="R436" s="358">
        <f>'ExIntl Parcel'!H8</f>
        <v>0</v>
      </c>
      <c r="S436" s="358">
        <f>'ExIntl Parcel'!I8</f>
        <v>0</v>
      </c>
      <c r="T436" s="358">
        <f>'ExIntl Parcel'!J8</f>
        <v>40</v>
      </c>
      <c r="U436" s="358">
        <f>'ExIntl Parcel'!K8</f>
        <v>0</v>
      </c>
      <c r="V436" s="365">
        <f>'ExIntl Parcel'!L8</f>
        <v>0</v>
      </c>
      <c r="W436" s="358">
        <f>'ExIntl Parcel'!M8</f>
        <v>0</v>
      </c>
      <c r="X436" s="358">
        <f>'ExIntl Parcel'!N8</f>
        <v>0</v>
      </c>
      <c r="Y436" s="358">
        <f>'ExIntl Parcel'!O8</f>
        <v>0</v>
      </c>
    </row>
    <row r="437" spans="1:25" x14ac:dyDescent="0.35">
      <c r="A437">
        <v>436</v>
      </c>
      <c r="B437" t="s">
        <v>1341</v>
      </c>
      <c r="C437" t="s">
        <v>953</v>
      </c>
      <c r="D437" t="s">
        <v>14</v>
      </c>
      <c r="E437" t="s">
        <v>31</v>
      </c>
      <c r="F437" t="s">
        <v>31</v>
      </c>
      <c r="G437" s="63" t="s">
        <v>1469</v>
      </c>
      <c r="H437" s="358">
        <v>24</v>
      </c>
      <c r="I437" s="358">
        <v>0</v>
      </c>
      <c r="J437" s="357">
        <v>1.5</v>
      </c>
      <c r="K437" s="358">
        <v>0</v>
      </c>
      <c r="L437" s="358">
        <v>25.5</v>
      </c>
      <c r="M437" s="358">
        <v>0</v>
      </c>
      <c r="N437" s="361">
        <f>'ExIntl Parcel'!D9</f>
        <v>0</v>
      </c>
      <c r="O437" s="361">
        <f>'ExIntl Parcel'!E9</f>
        <v>0</v>
      </c>
      <c r="P437" s="358">
        <f>'ExIntl Parcel'!F9</f>
        <v>25.5</v>
      </c>
      <c r="Q437" s="358">
        <f>'ExIntl Parcel'!G9</f>
        <v>0</v>
      </c>
      <c r="R437" s="358">
        <f>'ExIntl Parcel'!H9</f>
        <v>0</v>
      </c>
      <c r="S437" s="358">
        <f>'ExIntl Parcel'!I9</f>
        <v>0</v>
      </c>
      <c r="T437" s="358">
        <f>'ExIntl Parcel'!J9</f>
        <v>25.5</v>
      </c>
      <c r="U437" s="358">
        <f>'ExIntl Parcel'!K9</f>
        <v>0</v>
      </c>
      <c r="V437" s="365">
        <f>'ExIntl Parcel'!L9</f>
        <v>0</v>
      </c>
      <c r="W437" s="358">
        <f>'ExIntl Parcel'!M9</f>
        <v>0</v>
      </c>
      <c r="X437" s="358">
        <f>'ExIntl Parcel'!N9</f>
        <v>0</v>
      </c>
      <c r="Y437" s="358">
        <f>'ExIntl Parcel'!O9</f>
        <v>0</v>
      </c>
    </row>
    <row r="438" spans="1:25" x14ac:dyDescent="0.35">
      <c r="A438">
        <v>437</v>
      </c>
      <c r="B438" t="s">
        <v>1341</v>
      </c>
      <c r="C438" t="s">
        <v>953</v>
      </c>
      <c r="D438" t="s">
        <v>14</v>
      </c>
      <c r="E438" t="s">
        <v>51</v>
      </c>
      <c r="F438" t="s">
        <v>876</v>
      </c>
      <c r="G438" s="63" t="s">
        <v>1470</v>
      </c>
      <c r="H438" s="358">
        <v>240</v>
      </c>
      <c r="I438" s="358">
        <v>1.4</v>
      </c>
      <c r="J438" s="357">
        <v>0</v>
      </c>
      <c r="K438" s="358">
        <v>8.0000000000000071E-2</v>
      </c>
      <c r="L438" s="358">
        <v>240</v>
      </c>
      <c r="M438" s="358">
        <v>1.48</v>
      </c>
      <c r="N438" s="361">
        <f>'ExIntl Parcel'!D11</f>
        <v>0</v>
      </c>
      <c r="O438" s="361">
        <f>'ExIntl Parcel'!E11</f>
        <v>0</v>
      </c>
      <c r="P438" s="358">
        <f>'ExIntl Parcel'!F11</f>
        <v>240</v>
      </c>
      <c r="Q438" s="358">
        <f>'ExIntl Parcel'!G11</f>
        <v>1.48</v>
      </c>
      <c r="R438" s="358">
        <f>'ExIntl Parcel'!H11</f>
        <v>0</v>
      </c>
      <c r="S438" s="358">
        <f>'ExIntl Parcel'!I11</f>
        <v>0</v>
      </c>
      <c r="T438" s="358">
        <f>'ExIntl Parcel'!J11</f>
        <v>240</v>
      </c>
      <c r="U438" s="358">
        <f>'ExIntl Parcel'!K11</f>
        <v>1.48</v>
      </c>
      <c r="V438" s="365">
        <f>'ExIntl Parcel'!L11</f>
        <v>0</v>
      </c>
      <c r="W438" s="358">
        <f>'ExIntl Parcel'!M11</f>
        <v>0</v>
      </c>
      <c r="X438" s="358">
        <f>'ExIntl Parcel'!N11</f>
        <v>0</v>
      </c>
      <c r="Y438" s="358">
        <f>'ExIntl Parcel'!O11</f>
        <v>0</v>
      </c>
    </row>
    <row r="439" spans="1:25" x14ac:dyDescent="0.35">
      <c r="A439">
        <v>438</v>
      </c>
      <c r="B439" t="s">
        <v>1341</v>
      </c>
      <c r="C439" t="s">
        <v>953</v>
      </c>
      <c r="D439" t="s">
        <v>14</v>
      </c>
      <c r="E439" t="s">
        <v>51</v>
      </c>
      <c r="F439" t="s">
        <v>877</v>
      </c>
      <c r="G439" s="63" t="s">
        <v>1471</v>
      </c>
      <c r="H439" s="358">
        <v>115</v>
      </c>
      <c r="I439" s="358">
        <v>0.67</v>
      </c>
      <c r="J439" s="357">
        <v>0</v>
      </c>
      <c r="K439" s="358">
        <v>3.9999999999999925E-2</v>
      </c>
      <c r="L439" s="358">
        <v>115</v>
      </c>
      <c r="M439" s="358">
        <v>0.71</v>
      </c>
      <c r="N439" s="361">
        <f>'ExIntl Parcel'!D12</f>
        <v>0</v>
      </c>
      <c r="O439" s="361">
        <f>'ExIntl Parcel'!E12</f>
        <v>0</v>
      </c>
      <c r="P439" s="358">
        <f>'ExIntl Parcel'!F12</f>
        <v>115</v>
      </c>
      <c r="Q439" s="358">
        <f>'ExIntl Parcel'!G12</f>
        <v>0.71</v>
      </c>
      <c r="R439" s="358">
        <f>'ExIntl Parcel'!H12</f>
        <v>0</v>
      </c>
      <c r="S439" s="358">
        <f>'ExIntl Parcel'!I12</f>
        <v>0</v>
      </c>
      <c r="T439" s="358">
        <f>'ExIntl Parcel'!J12</f>
        <v>115</v>
      </c>
      <c r="U439" s="358">
        <f>'ExIntl Parcel'!K12</f>
        <v>0.71</v>
      </c>
      <c r="V439" s="365">
        <f>'ExIntl Parcel'!L12</f>
        <v>0</v>
      </c>
      <c r="W439" s="358">
        <f>'ExIntl Parcel'!M12</f>
        <v>0</v>
      </c>
      <c r="X439" s="358">
        <f>'ExIntl Parcel'!N12</f>
        <v>0</v>
      </c>
      <c r="Y439" s="358">
        <f>'ExIntl Parcel'!O12</f>
        <v>0</v>
      </c>
    </row>
    <row r="440" spans="1:25" x14ac:dyDescent="0.35">
      <c r="A440">
        <v>439</v>
      </c>
      <c r="B440" t="s">
        <v>1341</v>
      </c>
      <c r="C440" t="s">
        <v>953</v>
      </c>
      <c r="D440" t="s">
        <v>14</v>
      </c>
      <c r="E440" t="s">
        <v>51</v>
      </c>
      <c r="F440" t="s">
        <v>878</v>
      </c>
      <c r="G440" s="63" t="s">
        <v>1472</v>
      </c>
      <c r="H440" s="358">
        <v>8</v>
      </c>
      <c r="I440" s="358">
        <v>0</v>
      </c>
      <c r="J440" s="357">
        <v>0.5</v>
      </c>
      <c r="K440" s="358">
        <v>0</v>
      </c>
      <c r="L440" s="358">
        <v>8.5</v>
      </c>
      <c r="M440" s="358">
        <v>0</v>
      </c>
      <c r="N440" s="361">
        <f>'ExIntl Parcel'!D13</f>
        <v>0</v>
      </c>
      <c r="O440" s="361">
        <f>'ExIntl Parcel'!E13</f>
        <v>0</v>
      </c>
      <c r="P440" s="358">
        <f>'ExIntl Parcel'!F13</f>
        <v>8.5</v>
      </c>
      <c r="Q440" s="358">
        <f>'ExIntl Parcel'!G13</f>
        <v>0</v>
      </c>
      <c r="R440" s="358">
        <f>'ExIntl Parcel'!H13</f>
        <v>0</v>
      </c>
      <c r="S440" s="358">
        <f>'ExIntl Parcel'!I13</f>
        <v>0</v>
      </c>
      <c r="T440" s="358">
        <f>'ExIntl Parcel'!J13</f>
        <v>8.5</v>
      </c>
      <c r="U440" s="358">
        <f>'ExIntl Parcel'!K13</f>
        <v>0</v>
      </c>
      <c r="V440" s="365">
        <f>'ExIntl Parcel'!L13</f>
        <v>0</v>
      </c>
      <c r="W440" s="358">
        <f>'ExIntl Parcel'!M13</f>
        <v>0</v>
      </c>
      <c r="X440" s="358">
        <f>'ExIntl Parcel'!N13</f>
        <v>0</v>
      </c>
      <c r="Y440" s="358">
        <f>'ExIntl Parcel'!O13</f>
        <v>0</v>
      </c>
    </row>
    <row r="441" spans="1:25" x14ac:dyDescent="0.35">
      <c r="A441">
        <v>440</v>
      </c>
      <c r="B441" t="s">
        <v>1341</v>
      </c>
      <c r="C441" t="s">
        <v>953</v>
      </c>
      <c r="D441" t="s">
        <v>14</v>
      </c>
      <c r="E441" t="s">
        <v>28</v>
      </c>
      <c r="F441" t="s">
        <v>28</v>
      </c>
      <c r="G441" s="63" t="s">
        <v>1473</v>
      </c>
      <c r="H441" s="358">
        <v>1.5</v>
      </c>
      <c r="I441" s="358">
        <v>9.07</v>
      </c>
      <c r="J441" s="357">
        <v>0.14999999999999991</v>
      </c>
      <c r="K441" s="358">
        <v>0</v>
      </c>
      <c r="L441" s="358">
        <v>1.65</v>
      </c>
      <c r="M441" s="358">
        <v>9.07</v>
      </c>
      <c r="N441" s="361">
        <f>'ExIntl Parcel'!D14</f>
        <v>0</v>
      </c>
      <c r="O441" s="361">
        <f>'ExIntl Parcel'!E14</f>
        <v>0</v>
      </c>
      <c r="P441" s="358">
        <f>'ExIntl Parcel'!F14</f>
        <v>1.65</v>
      </c>
      <c r="Q441" s="358">
        <f>'ExIntl Parcel'!G14</f>
        <v>9.07</v>
      </c>
      <c r="R441" s="358">
        <f>'ExIntl Parcel'!H14</f>
        <v>0</v>
      </c>
      <c r="S441" s="358">
        <f>'ExIntl Parcel'!I14</f>
        <v>0</v>
      </c>
      <c r="T441" s="358">
        <f>'ExIntl Parcel'!J14</f>
        <v>1.65</v>
      </c>
      <c r="U441" s="358">
        <f>'ExIntl Parcel'!K14</f>
        <v>9.07</v>
      </c>
      <c r="V441" s="365">
        <f>'ExIntl Parcel'!L14</f>
        <v>0</v>
      </c>
    </row>
    <row r="442" spans="1:25" x14ac:dyDescent="0.35">
      <c r="A442">
        <v>441</v>
      </c>
      <c r="B442" t="s">
        <v>1341</v>
      </c>
      <c r="C442" t="s">
        <v>953</v>
      </c>
      <c r="D442" t="s">
        <v>14</v>
      </c>
      <c r="E442" t="s">
        <v>286</v>
      </c>
      <c r="F442" t="s">
        <v>288</v>
      </c>
      <c r="G442" s="63" t="s">
        <v>1474</v>
      </c>
      <c r="H442" s="358">
        <v>8.65</v>
      </c>
      <c r="I442" s="358">
        <v>0</v>
      </c>
      <c r="J442" s="357">
        <v>1.3499999999999996</v>
      </c>
      <c r="K442" s="358">
        <v>0</v>
      </c>
      <c r="L442" s="358">
        <v>10</v>
      </c>
      <c r="M442" s="358">
        <v>0</v>
      </c>
      <c r="N442" s="361">
        <f>'ExIntl Parcel'!D16</f>
        <v>0</v>
      </c>
      <c r="O442" s="361">
        <f>'ExIntl Parcel'!E16</f>
        <v>0</v>
      </c>
      <c r="P442" s="358">
        <f>'ExIntl Parcel'!F16</f>
        <v>10</v>
      </c>
      <c r="Q442" s="358">
        <f>'ExIntl Parcel'!G16</f>
        <v>0</v>
      </c>
      <c r="R442" s="358">
        <f>'ExIntl Parcel'!H16</f>
        <v>0</v>
      </c>
      <c r="S442" s="358">
        <f>'ExIntl Parcel'!I16</f>
        <v>0</v>
      </c>
      <c r="T442" s="358">
        <f>'ExIntl Parcel'!J16</f>
        <v>10</v>
      </c>
      <c r="U442" s="358">
        <f>'ExIntl Parcel'!K16</f>
        <v>0</v>
      </c>
      <c r="V442" s="365">
        <f>'ExIntl Parcel'!L16</f>
        <v>0</v>
      </c>
      <c r="W442" s="358">
        <f>'ExIntl Parcel'!M16</f>
        <v>0</v>
      </c>
      <c r="X442" s="358">
        <f>'ExIntl Parcel'!N16</f>
        <v>0</v>
      </c>
      <c r="Y442" s="358">
        <f>'ExIntl Parcel'!O16</f>
        <v>0</v>
      </c>
    </row>
    <row r="443" spans="1:25" x14ac:dyDescent="0.35">
      <c r="A443">
        <v>442</v>
      </c>
      <c r="B443" t="s">
        <v>1341</v>
      </c>
      <c r="C443" t="s">
        <v>953</v>
      </c>
      <c r="D443" t="s">
        <v>14</v>
      </c>
      <c r="E443" t="s">
        <v>286</v>
      </c>
      <c r="F443" t="s">
        <v>285</v>
      </c>
      <c r="G443" s="63" t="s">
        <v>1475</v>
      </c>
      <c r="H443" s="358">
        <v>7.15</v>
      </c>
      <c r="I443" s="358">
        <v>0</v>
      </c>
      <c r="J443" s="357">
        <v>0.44999999999999929</v>
      </c>
      <c r="K443" s="358">
        <v>0</v>
      </c>
      <c r="L443" s="358">
        <v>7.6</v>
      </c>
      <c r="M443" s="358">
        <v>0</v>
      </c>
      <c r="N443" s="361">
        <f>'ExIntl Parcel'!D17</f>
        <v>0</v>
      </c>
      <c r="O443" s="361">
        <f>'ExIntl Parcel'!E17</f>
        <v>0</v>
      </c>
      <c r="P443" s="358">
        <f>'ExIntl Parcel'!F17</f>
        <v>7.6</v>
      </c>
      <c r="Q443" s="358">
        <f>'ExIntl Parcel'!G17</f>
        <v>0</v>
      </c>
      <c r="R443" s="358">
        <f>'ExIntl Parcel'!H17</f>
        <v>0</v>
      </c>
      <c r="S443" s="358">
        <f>'ExIntl Parcel'!I17</f>
        <v>0</v>
      </c>
      <c r="T443" s="358">
        <f>'ExIntl Parcel'!J17</f>
        <v>7.6</v>
      </c>
      <c r="U443" s="358">
        <f>'ExIntl Parcel'!K17</f>
        <v>0</v>
      </c>
      <c r="V443" s="365">
        <f>'ExIntl Parcel'!L17</f>
        <v>0</v>
      </c>
      <c r="W443" s="358">
        <f>'ExIntl Parcel'!M17</f>
        <v>0</v>
      </c>
      <c r="X443" s="358">
        <f>'ExIntl Parcel'!N17</f>
        <v>0</v>
      </c>
      <c r="Y443" s="358">
        <f>'ExIntl Parcel'!O17</f>
        <v>0</v>
      </c>
    </row>
    <row r="444" spans="1:25" x14ac:dyDescent="0.35">
      <c r="A444">
        <v>443</v>
      </c>
      <c r="B444" t="s">
        <v>1341</v>
      </c>
      <c r="C444" t="s">
        <v>953</v>
      </c>
      <c r="D444" t="s">
        <v>14</v>
      </c>
      <c r="E444" t="s">
        <v>286</v>
      </c>
      <c r="F444" t="s">
        <v>287</v>
      </c>
      <c r="G444" s="63" t="s">
        <v>1476</v>
      </c>
      <c r="H444" s="358">
        <v>7.15</v>
      </c>
      <c r="I444" s="358">
        <v>0</v>
      </c>
      <c r="J444" s="357">
        <v>0.44999999999999929</v>
      </c>
      <c r="K444" s="358">
        <v>0</v>
      </c>
      <c r="L444" s="358">
        <v>7.6</v>
      </c>
      <c r="M444" s="358">
        <v>0</v>
      </c>
      <c r="N444" s="361">
        <f>'ExIntl Parcel'!D18</f>
        <v>0</v>
      </c>
      <c r="O444" s="361">
        <f>'ExIntl Parcel'!E18</f>
        <v>0</v>
      </c>
      <c r="P444" s="358">
        <f>'ExIntl Parcel'!F18</f>
        <v>7.6</v>
      </c>
      <c r="Q444" s="358">
        <f>'ExIntl Parcel'!G18</f>
        <v>0</v>
      </c>
      <c r="R444" s="358">
        <f>'ExIntl Parcel'!H18</f>
        <v>0</v>
      </c>
      <c r="S444" s="358">
        <f>'ExIntl Parcel'!I18</f>
        <v>0</v>
      </c>
      <c r="T444" s="358">
        <f>'ExIntl Parcel'!J18</f>
        <v>7.6</v>
      </c>
      <c r="U444" s="358">
        <f>'ExIntl Parcel'!K18</f>
        <v>0</v>
      </c>
      <c r="V444" s="365">
        <f>'ExIntl Parcel'!L18</f>
        <v>0</v>
      </c>
      <c r="W444" s="358">
        <f>'ExIntl Parcel'!M18</f>
        <v>0</v>
      </c>
      <c r="X444" s="358">
        <f>'ExIntl Parcel'!N18</f>
        <v>0</v>
      </c>
      <c r="Y444" s="358">
        <f>'ExIntl Parcel'!O18</f>
        <v>0</v>
      </c>
    </row>
    <row r="445" spans="1:25" x14ac:dyDescent="0.35">
      <c r="A445">
        <v>444</v>
      </c>
      <c r="B445" t="s">
        <v>1341</v>
      </c>
      <c r="C445" t="s">
        <v>953</v>
      </c>
      <c r="D445" t="s">
        <v>14</v>
      </c>
      <c r="E445" t="s">
        <v>18</v>
      </c>
      <c r="F445" t="s">
        <v>18</v>
      </c>
      <c r="G445" s="63" t="s">
        <v>1477</v>
      </c>
      <c r="H445" s="358">
        <v>0</v>
      </c>
      <c r="I445" s="358">
        <v>0</v>
      </c>
      <c r="J445" s="357">
        <v>0</v>
      </c>
      <c r="K445" s="358">
        <v>0</v>
      </c>
      <c r="L445" s="358">
        <v>0</v>
      </c>
      <c r="M445" s="358">
        <v>0</v>
      </c>
      <c r="N445" s="361">
        <f>'ExIntl Parcel'!D19</f>
        <v>0</v>
      </c>
      <c r="O445" s="361">
        <f>'ExIntl Parcel'!E19</f>
        <v>0</v>
      </c>
      <c r="V445" s="365">
        <f>'ExIntl Parcel'!L19</f>
        <v>0</v>
      </c>
    </row>
    <row r="446" spans="1:25" x14ac:dyDescent="0.35">
      <c r="A446">
        <v>445</v>
      </c>
      <c r="B446" t="s">
        <v>1341</v>
      </c>
      <c r="C446" t="s">
        <v>953</v>
      </c>
      <c r="D446" t="s">
        <v>14</v>
      </c>
      <c r="E446" t="s">
        <v>57</v>
      </c>
      <c r="F446" t="s">
        <v>57</v>
      </c>
      <c r="G446" s="63" t="s">
        <v>1478</v>
      </c>
      <c r="H446" s="358">
        <v>24</v>
      </c>
      <c r="I446" s="358">
        <v>0</v>
      </c>
      <c r="J446" s="357">
        <v>1.5</v>
      </c>
      <c r="K446" s="358">
        <v>0</v>
      </c>
      <c r="L446" s="358">
        <v>25.5</v>
      </c>
      <c r="M446" s="358">
        <v>0</v>
      </c>
      <c r="N446" s="361">
        <f>'ExIntl Parcel'!D20</f>
        <v>0</v>
      </c>
      <c r="O446" s="361">
        <f>'ExIntl Parcel'!E20</f>
        <v>0</v>
      </c>
      <c r="P446" s="358">
        <f>'ExIntl Parcel'!F20</f>
        <v>25.5</v>
      </c>
      <c r="Q446" s="358">
        <f>'ExIntl Parcel'!G20</f>
        <v>0</v>
      </c>
      <c r="R446" s="358">
        <f>'ExIntl Parcel'!H20</f>
        <v>0</v>
      </c>
      <c r="S446" s="358">
        <f>'ExIntl Parcel'!I20</f>
        <v>0</v>
      </c>
      <c r="T446" s="358">
        <f>'ExIntl Parcel'!J20</f>
        <v>25.5</v>
      </c>
      <c r="U446" s="358">
        <f>'ExIntl Parcel'!K20</f>
        <v>0</v>
      </c>
      <c r="V446" s="365">
        <f>'ExIntl Parcel'!L20</f>
        <v>0</v>
      </c>
      <c r="W446" s="358">
        <f>'ExIntl Parcel'!M20</f>
        <v>0</v>
      </c>
      <c r="X446" s="358">
        <f>'ExIntl Parcel'!N20</f>
        <v>0</v>
      </c>
      <c r="Y446" s="358">
        <f>'ExIntl Parcel'!O20</f>
        <v>0</v>
      </c>
    </row>
    <row r="447" spans="1:25" x14ac:dyDescent="0.35">
      <c r="A447">
        <v>446</v>
      </c>
      <c r="B447" t="s">
        <v>1341</v>
      </c>
      <c r="C447" t="s">
        <v>953</v>
      </c>
      <c r="D447" t="s">
        <v>14</v>
      </c>
      <c r="E447" t="s">
        <v>314</v>
      </c>
      <c r="F447" t="s">
        <v>314</v>
      </c>
      <c r="G447" s="63" t="s">
        <v>1479</v>
      </c>
      <c r="H447" s="358">
        <v>170</v>
      </c>
      <c r="I447" s="358">
        <v>3.4</v>
      </c>
      <c r="J447" s="357">
        <v>0</v>
      </c>
      <c r="K447" s="358">
        <v>0</v>
      </c>
      <c r="L447" s="358">
        <v>170</v>
      </c>
      <c r="M447" s="358">
        <v>3.4</v>
      </c>
      <c r="N447" s="361">
        <f>'ExIntl Parcel'!D22</f>
        <v>0</v>
      </c>
      <c r="O447" s="361">
        <f>'ExIntl Parcel'!E22</f>
        <v>0</v>
      </c>
      <c r="P447" s="358">
        <f>'ExIntl Parcel'!F22</f>
        <v>170</v>
      </c>
      <c r="Q447" s="358">
        <f>'ExIntl Parcel'!G22</f>
        <v>3.4</v>
      </c>
      <c r="R447" s="358">
        <f>'ExIntl Parcel'!H22</f>
        <v>0</v>
      </c>
      <c r="S447" s="358">
        <f>'ExIntl Parcel'!I22</f>
        <v>0</v>
      </c>
      <c r="T447" s="358">
        <f>'ExIntl Parcel'!J22</f>
        <v>170</v>
      </c>
      <c r="U447" s="358">
        <f>'ExIntl Parcel'!K22</f>
        <v>3.4</v>
      </c>
      <c r="V447" s="365">
        <f>'ExIntl Parcel'!L22</f>
        <v>0</v>
      </c>
      <c r="W447" s="358">
        <f>'ExIntl Parcel'!M22</f>
        <v>0</v>
      </c>
      <c r="X447" s="358">
        <f>'ExIntl Parcel'!N22</f>
        <v>0</v>
      </c>
      <c r="Y447" s="358">
        <f>'ExIntl Parcel'!O22</f>
        <v>0</v>
      </c>
    </row>
    <row r="448" spans="1:25" x14ac:dyDescent="0.35">
      <c r="A448">
        <v>447</v>
      </c>
      <c r="B448" t="s">
        <v>1341</v>
      </c>
      <c r="C448" t="s">
        <v>953</v>
      </c>
      <c r="D448" t="s">
        <v>14</v>
      </c>
      <c r="E448" t="s">
        <v>955</v>
      </c>
      <c r="F448" t="s">
        <v>956</v>
      </c>
      <c r="G448" s="63" t="s">
        <v>1480</v>
      </c>
      <c r="H448" s="358">
        <v>4.2</v>
      </c>
      <c r="I448" s="358">
        <v>0</v>
      </c>
      <c r="J448" s="357">
        <v>0.25</v>
      </c>
      <c r="K448" s="358">
        <v>0</v>
      </c>
      <c r="L448" s="358">
        <v>4.45</v>
      </c>
      <c r="M448" s="358">
        <v>0</v>
      </c>
      <c r="N448" s="361">
        <f>'ExIntl Parcel'!D24</f>
        <v>0</v>
      </c>
      <c r="O448" s="361">
        <f>'ExIntl Parcel'!E24</f>
        <v>0</v>
      </c>
      <c r="P448" s="358">
        <f>'ExIntl Parcel'!F24</f>
        <v>4.45</v>
      </c>
      <c r="Q448" s="358">
        <f>'ExIntl Parcel'!G24</f>
        <v>0</v>
      </c>
      <c r="R448" s="358">
        <f>'ExIntl Parcel'!H24</f>
        <v>0</v>
      </c>
      <c r="S448" s="358">
        <f>'ExIntl Parcel'!I24</f>
        <v>0</v>
      </c>
      <c r="T448" s="358">
        <f>'ExIntl Parcel'!J24</f>
        <v>4.45</v>
      </c>
      <c r="U448" s="358">
        <f>'ExIntl Parcel'!K24</f>
        <v>0</v>
      </c>
      <c r="V448" s="365">
        <f>'ExIntl Parcel'!L24</f>
        <v>0</v>
      </c>
      <c r="W448" s="358">
        <f>'ExIntl Parcel'!M24</f>
        <v>0</v>
      </c>
      <c r="X448" s="358">
        <f>'ExIntl Parcel'!N24</f>
        <v>0</v>
      </c>
      <c r="Y448" s="358">
        <f>'ExIntl Parcel'!O24</f>
        <v>0</v>
      </c>
    </row>
    <row r="449" spans="1:25" x14ac:dyDescent="0.35">
      <c r="A449">
        <v>448</v>
      </c>
      <c r="B449" t="s">
        <v>1341</v>
      </c>
      <c r="C449" t="s">
        <v>953</v>
      </c>
      <c r="D449" t="s">
        <v>14</v>
      </c>
      <c r="E449" t="s">
        <v>955</v>
      </c>
      <c r="F449" t="s">
        <v>957</v>
      </c>
      <c r="G449" s="63" t="s">
        <v>1481</v>
      </c>
      <c r="H449" s="358">
        <v>49</v>
      </c>
      <c r="I449" s="358">
        <v>0.49</v>
      </c>
      <c r="J449" s="357">
        <v>0</v>
      </c>
      <c r="K449" s="358">
        <v>3.0000000000000027E-2</v>
      </c>
      <c r="L449" s="358">
        <v>49</v>
      </c>
      <c r="M449" s="358">
        <v>0.52</v>
      </c>
      <c r="N449" s="361">
        <f>'ExIntl Parcel'!D25</f>
        <v>0</v>
      </c>
      <c r="O449" s="361">
        <f>'ExIntl Parcel'!E25</f>
        <v>0</v>
      </c>
      <c r="P449" s="358">
        <f>'ExIntl Parcel'!F25</f>
        <v>49</v>
      </c>
      <c r="Q449" s="358">
        <f>'ExIntl Parcel'!G25</f>
        <v>0.52</v>
      </c>
      <c r="R449" s="358">
        <f>'ExIntl Parcel'!H25</f>
        <v>0</v>
      </c>
      <c r="S449" s="358">
        <f>'ExIntl Parcel'!I25</f>
        <v>0</v>
      </c>
      <c r="T449" s="358">
        <f>'ExIntl Parcel'!J25</f>
        <v>49</v>
      </c>
      <c r="U449" s="358">
        <f>'ExIntl Parcel'!K25</f>
        <v>0.52</v>
      </c>
      <c r="V449" s="365">
        <f>'ExIntl Parcel'!L25</f>
        <v>0</v>
      </c>
      <c r="W449" s="358">
        <f>'ExIntl Parcel'!M25</f>
        <v>0</v>
      </c>
      <c r="X449" s="358">
        <f>'ExIntl Parcel'!N25</f>
        <v>0</v>
      </c>
      <c r="Y449" s="358">
        <f>'ExIntl Parcel'!O25</f>
        <v>0</v>
      </c>
    </row>
    <row r="450" spans="1:25" x14ac:dyDescent="0.35">
      <c r="A450">
        <v>449</v>
      </c>
      <c r="B450" t="s">
        <v>1341</v>
      </c>
      <c r="C450" t="s">
        <v>953</v>
      </c>
      <c r="D450" t="s">
        <v>14</v>
      </c>
      <c r="E450" t="s">
        <v>955</v>
      </c>
      <c r="F450" t="s">
        <v>958</v>
      </c>
      <c r="G450" s="63" t="s">
        <v>1482</v>
      </c>
      <c r="H450" s="358">
        <v>64</v>
      </c>
      <c r="I450" s="358">
        <v>0.64</v>
      </c>
      <c r="J450" s="357">
        <v>4</v>
      </c>
      <c r="K450" s="358">
        <v>4.0000000000000036E-2</v>
      </c>
      <c r="L450" s="358">
        <v>68</v>
      </c>
      <c r="M450" s="358">
        <v>0.68</v>
      </c>
      <c r="N450" s="361">
        <f>'ExIntl Parcel'!D26</f>
        <v>0</v>
      </c>
      <c r="O450" s="361">
        <f>'ExIntl Parcel'!E26</f>
        <v>0</v>
      </c>
      <c r="P450" s="358">
        <f>'ExIntl Parcel'!F26</f>
        <v>68</v>
      </c>
      <c r="Q450" s="358">
        <f>'ExIntl Parcel'!G26</f>
        <v>0.68</v>
      </c>
      <c r="R450" s="358">
        <f>'ExIntl Parcel'!H26</f>
        <v>0</v>
      </c>
      <c r="S450" s="358">
        <f>'ExIntl Parcel'!I26</f>
        <v>0</v>
      </c>
      <c r="T450" s="358">
        <f>'ExIntl Parcel'!J26</f>
        <v>68</v>
      </c>
      <c r="U450" s="358">
        <f>'ExIntl Parcel'!K26</f>
        <v>0.68</v>
      </c>
      <c r="V450" s="365">
        <f>'ExIntl Parcel'!L26</f>
        <v>0</v>
      </c>
      <c r="W450" s="358">
        <f>'ExIntl Parcel'!M26</f>
        <v>0</v>
      </c>
      <c r="X450" s="358">
        <f>'ExIntl Parcel'!N26</f>
        <v>0</v>
      </c>
      <c r="Y450" s="358">
        <f>'ExIntl Parcel'!O26</f>
        <v>0</v>
      </c>
    </row>
    <row r="451" spans="1:25" x14ac:dyDescent="0.35">
      <c r="A451">
        <v>450</v>
      </c>
      <c r="B451" t="s">
        <v>1341</v>
      </c>
      <c r="C451" t="s">
        <v>953</v>
      </c>
      <c r="D451" t="s">
        <v>14</v>
      </c>
      <c r="E451" t="s">
        <v>959</v>
      </c>
      <c r="F451" t="s">
        <v>960</v>
      </c>
      <c r="G451" s="63" t="s">
        <v>1483</v>
      </c>
      <c r="H451" s="358">
        <v>4.2</v>
      </c>
      <c r="I451" s="358">
        <v>0</v>
      </c>
      <c r="J451" s="357">
        <v>0.25</v>
      </c>
      <c r="K451" s="358">
        <v>0</v>
      </c>
      <c r="L451" s="358">
        <v>4.45</v>
      </c>
      <c r="M451" s="358">
        <v>0</v>
      </c>
      <c r="N451" s="361">
        <f>'ExIntl Parcel'!D28</f>
        <v>0</v>
      </c>
      <c r="O451" s="361">
        <f>'ExIntl Parcel'!E28</f>
        <v>0</v>
      </c>
      <c r="P451" s="358">
        <f>'ExIntl Parcel'!F28</f>
        <v>4.45</v>
      </c>
      <c r="Q451" s="358">
        <f>'ExIntl Parcel'!G28</f>
        <v>0</v>
      </c>
      <c r="R451" s="358">
        <f>'ExIntl Parcel'!H28</f>
        <v>0</v>
      </c>
      <c r="S451" s="358">
        <f>'ExIntl Parcel'!I28</f>
        <v>0</v>
      </c>
      <c r="T451" s="358">
        <f>'ExIntl Parcel'!J28</f>
        <v>4.45</v>
      </c>
      <c r="U451" s="358">
        <f>'ExIntl Parcel'!K28</f>
        <v>0</v>
      </c>
      <c r="V451" s="365">
        <f>'ExIntl Parcel'!L28</f>
        <v>0</v>
      </c>
      <c r="W451" s="358">
        <f>'ExIntl Parcel'!M28</f>
        <v>0</v>
      </c>
      <c r="X451" s="358">
        <f>'ExIntl Parcel'!N28</f>
        <v>0</v>
      </c>
      <c r="Y451" s="358">
        <f>'ExIntl Parcel'!O28</f>
        <v>0</v>
      </c>
    </row>
    <row r="452" spans="1:25" x14ac:dyDescent="0.35">
      <c r="A452">
        <v>451</v>
      </c>
      <c r="B452" t="s">
        <v>1341</v>
      </c>
      <c r="C452" t="s">
        <v>953</v>
      </c>
      <c r="D452" t="s">
        <v>14</v>
      </c>
      <c r="E452" t="s">
        <v>959</v>
      </c>
      <c r="F452" t="s">
        <v>961</v>
      </c>
      <c r="G452" s="63" t="s">
        <v>1484</v>
      </c>
      <c r="H452" s="358">
        <v>49</v>
      </c>
      <c r="I452" s="358">
        <v>0.49</v>
      </c>
      <c r="J452" s="357">
        <v>0</v>
      </c>
      <c r="K452" s="358">
        <v>3.0000000000000027E-2</v>
      </c>
      <c r="L452" s="358">
        <v>49</v>
      </c>
      <c r="M452" s="358">
        <v>0.52</v>
      </c>
      <c r="N452" s="361">
        <f>'ExIntl Parcel'!D29</f>
        <v>0</v>
      </c>
      <c r="O452" s="361">
        <f>'ExIntl Parcel'!E29</f>
        <v>0</v>
      </c>
      <c r="P452" s="358">
        <f>'ExIntl Parcel'!F29</f>
        <v>49</v>
      </c>
      <c r="Q452" s="358">
        <f>'ExIntl Parcel'!G29</f>
        <v>0.52</v>
      </c>
      <c r="R452" s="358">
        <f>'ExIntl Parcel'!H29</f>
        <v>0</v>
      </c>
      <c r="S452" s="358">
        <f>'ExIntl Parcel'!I29</f>
        <v>0</v>
      </c>
      <c r="T452" s="358">
        <f>'ExIntl Parcel'!J29</f>
        <v>49</v>
      </c>
      <c r="U452" s="358">
        <f>'ExIntl Parcel'!K29</f>
        <v>0.52</v>
      </c>
      <c r="V452" s="365">
        <f>'ExIntl Parcel'!L29</f>
        <v>0</v>
      </c>
      <c r="W452" s="358">
        <f>'ExIntl Parcel'!M29</f>
        <v>0</v>
      </c>
      <c r="X452" s="358">
        <f>'ExIntl Parcel'!N29</f>
        <v>0</v>
      </c>
      <c r="Y452" s="358">
        <f>'ExIntl Parcel'!O29</f>
        <v>0</v>
      </c>
    </row>
    <row r="453" spans="1:25" x14ac:dyDescent="0.35">
      <c r="A453">
        <v>452</v>
      </c>
      <c r="B453" t="s">
        <v>1341</v>
      </c>
      <c r="C453" t="s">
        <v>953</v>
      </c>
      <c r="D453" t="s">
        <v>14</v>
      </c>
      <c r="E453" t="s">
        <v>959</v>
      </c>
      <c r="F453" t="s">
        <v>962</v>
      </c>
      <c r="G453" s="63" t="s">
        <v>1485</v>
      </c>
      <c r="H453" s="358">
        <v>64</v>
      </c>
      <c r="I453" s="358">
        <v>0.64</v>
      </c>
      <c r="J453" s="357">
        <v>4</v>
      </c>
      <c r="K453" s="358">
        <v>4.0000000000000036E-2</v>
      </c>
      <c r="L453" s="358">
        <v>68</v>
      </c>
      <c r="M453" s="358">
        <v>0.68</v>
      </c>
      <c r="N453" s="361">
        <f>'ExIntl Parcel'!D30</f>
        <v>0</v>
      </c>
      <c r="O453" s="361">
        <f>'ExIntl Parcel'!E30</f>
        <v>0</v>
      </c>
      <c r="P453" s="358">
        <f>'ExIntl Parcel'!F30</f>
        <v>68</v>
      </c>
      <c r="Q453" s="358">
        <f>'ExIntl Parcel'!G30</f>
        <v>0.68</v>
      </c>
      <c r="R453" s="358">
        <f>'ExIntl Parcel'!H30</f>
        <v>0</v>
      </c>
      <c r="S453" s="358">
        <f>'ExIntl Parcel'!I30</f>
        <v>0</v>
      </c>
      <c r="T453" s="358">
        <f>'ExIntl Parcel'!J30</f>
        <v>68</v>
      </c>
      <c r="U453" s="358">
        <f>'ExIntl Parcel'!K30</f>
        <v>0.68</v>
      </c>
      <c r="V453" s="365">
        <f>'ExIntl Parcel'!L30</f>
        <v>0</v>
      </c>
      <c r="W453" s="358">
        <f>'ExIntl Parcel'!M30</f>
        <v>0</v>
      </c>
      <c r="X453" s="358">
        <f>'ExIntl Parcel'!N30</f>
        <v>0</v>
      </c>
      <c r="Y453" s="358">
        <f>'ExIntl Parcel'!O30</f>
        <v>0</v>
      </c>
    </row>
    <row r="454" spans="1:25" x14ac:dyDescent="0.35">
      <c r="A454">
        <v>453</v>
      </c>
      <c r="B454" t="s">
        <v>1341</v>
      </c>
      <c r="C454" t="s">
        <v>953</v>
      </c>
      <c r="D454" t="s">
        <v>14</v>
      </c>
      <c r="E454" t="s">
        <v>1514</v>
      </c>
      <c r="F454" t="s">
        <v>1193</v>
      </c>
      <c r="G454" s="63" t="s">
        <v>1523</v>
      </c>
      <c r="H454" s="358">
        <v>190</v>
      </c>
      <c r="I454" s="358">
        <v>0</v>
      </c>
      <c r="J454" s="357">
        <v>18</v>
      </c>
      <c r="K454" s="358">
        <v>0</v>
      </c>
      <c r="L454" s="358">
        <v>208</v>
      </c>
      <c r="M454" s="358">
        <v>0</v>
      </c>
      <c r="N454" s="361">
        <f>'ExIntl Parcel'!D31</f>
        <v>0</v>
      </c>
      <c r="O454" s="361">
        <f>'ExIntl Parcel'!E31</f>
        <v>0</v>
      </c>
      <c r="P454" s="358">
        <f>'ExIntl Parcel'!F31</f>
        <v>208</v>
      </c>
      <c r="Q454" s="358">
        <f>'ExIntl Parcel'!G31</f>
        <v>0</v>
      </c>
      <c r="R454" s="358">
        <f>'ExIntl Parcel'!H31</f>
        <v>0</v>
      </c>
      <c r="S454" s="358">
        <f>'ExIntl Parcel'!I31</f>
        <v>0</v>
      </c>
      <c r="T454" s="358">
        <f>'ExIntl Parcel'!J31</f>
        <v>208</v>
      </c>
      <c r="U454" s="358">
        <f>'ExIntl Parcel'!K31</f>
        <v>0</v>
      </c>
      <c r="V454" s="365">
        <f>'ExIntl Parcel'!L31</f>
        <v>0</v>
      </c>
      <c r="W454" s="358">
        <f>'ExIntl Parcel'!M31</f>
        <v>0</v>
      </c>
      <c r="X454" s="358">
        <f>'ExIntl Parcel'!N31</f>
        <v>0</v>
      </c>
      <c r="Y454" s="358">
        <f>'ExIntl Parcel'!O31</f>
        <v>0</v>
      </c>
    </row>
    <row r="455" spans="1:25" x14ac:dyDescent="0.35">
      <c r="A455">
        <v>454</v>
      </c>
      <c r="B455" t="s">
        <v>1341</v>
      </c>
      <c r="C455" t="s">
        <v>953</v>
      </c>
      <c r="D455" t="s">
        <v>14</v>
      </c>
      <c r="E455" t="s">
        <v>852</v>
      </c>
      <c r="F455" t="s">
        <v>852</v>
      </c>
      <c r="G455" s="63" t="s">
        <v>1486</v>
      </c>
      <c r="H455" s="358">
        <v>24</v>
      </c>
      <c r="I455" s="358">
        <v>0</v>
      </c>
      <c r="J455" s="357">
        <v>1.5</v>
      </c>
      <c r="K455" s="358">
        <v>0</v>
      </c>
      <c r="L455" s="358">
        <v>25.5</v>
      </c>
      <c r="M455" s="358">
        <v>0</v>
      </c>
      <c r="N455" s="361">
        <f>'ExIntl Parcel'!D32</f>
        <v>0</v>
      </c>
      <c r="O455" s="361">
        <f>'ExIntl Parcel'!E32</f>
        <v>0</v>
      </c>
      <c r="P455" s="358">
        <f>'ExIntl Parcel'!F32</f>
        <v>25.5</v>
      </c>
      <c r="Q455" s="358">
        <f>'ExIntl Parcel'!G32</f>
        <v>0</v>
      </c>
      <c r="R455" s="358">
        <f>'ExIntl Parcel'!H32</f>
        <v>0</v>
      </c>
      <c r="S455" s="358">
        <f>'ExIntl Parcel'!I32</f>
        <v>0</v>
      </c>
      <c r="T455" s="358">
        <f>'ExIntl Parcel'!J32</f>
        <v>25.5</v>
      </c>
      <c r="U455" s="358">
        <f>'ExIntl Parcel'!K32</f>
        <v>0</v>
      </c>
      <c r="V455" s="365">
        <f>'ExIntl Parcel'!L32</f>
        <v>0</v>
      </c>
      <c r="W455" s="358">
        <f>'ExIntl Parcel'!M32</f>
        <v>0</v>
      </c>
      <c r="X455" s="358">
        <f>'ExIntl Parcel'!N32</f>
        <v>0</v>
      </c>
      <c r="Y455" s="358">
        <f>'ExIntl Parcel'!O32</f>
        <v>0</v>
      </c>
    </row>
    <row r="456" spans="1:25" x14ac:dyDescent="0.35">
      <c r="A456">
        <v>455</v>
      </c>
      <c r="B456" t="s">
        <v>1341</v>
      </c>
      <c r="C456" t="s">
        <v>953</v>
      </c>
      <c r="D456" t="s">
        <v>14</v>
      </c>
      <c r="E456" t="s">
        <v>25</v>
      </c>
      <c r="F456" t="s">
        <v>25</v>
      </c>
      <c r="G456" s="63" t="s">
        <v>1487</v>
      </c>
      <c r="H456" s="358">
        <v>6.55</v>
      </c>
      <c r="I456" s="358">
        <v>0</v>
      </c>
      <c r="J456" s="357">
        <v>0.40000000000000036</v>
      </c>
      <c r="K456" s="358">
        <v>0</v>
      </c>
      <c r="L456" s="358">
        <v>6.95</v>
      </c>
      <c r="M456" s="358">
        <v>0</v>
      </c>
      <c r="N456" s="361">
        <f>'ExIntl Parcel'!D33</f>
        <v>0</v>
      </c>
      <c r="O456" s="361">
        <f>'ExIntl Parcel'!E33</f>
        <v>0</v>
      </c>
      <c r="P456" s="358">
        <f>'ExIntl Parcel'!F33</f>
        <v>6.95</v>
      </c>
      <c r="Q456" s="358">
        <f>'ExIntl Parcel'!G33</f>
        <v>0</v>
      </c>
      <c r="R456" s="358">
        <f>'ExIntl Parcel'!H33</f>
        <v>0</v>
      </c>
      <c r="S456" s="358">
        <f>'ExIntl Parcel'!I33</f>
        <v>0</v>
      </c>
      <c r="T456" s="358">
        <f>'ExIntl Parcel'!J33</f>
        <v>6.95</v>
      </c>
      <c r="U456" s="358">
        <f>'ExIntl Parcel'!K33</f>
        <v>0</v>
      </c>
      <c r="V456" s="365">
        <f>'ExIntl Parcel'!L33</f>
        <v>0</v>
      </c>
      <c r="W456" s="358">
        <f>'ExIntl Parcel'!M33</f>
        <v>0</v>
      </c>
      <c r="X456" s="358">
        <f>'ExIntl Parcel'!N33</f>
        <v>0</v>
      </c>
      <c r="Y456" s="358">
        <f>'ExIntl Parcel'!O33</f>
        <v>0</v>
      </c>
    </row>
    <row r="457" spans="1:25" x14ac:dyDescent="0.35">
      <c r="A457">
        <v>456</v>
      </c>
      <c r="B457" t="s">
        <v>1341</v>
      </c>
      <c r="C457" t="s">
        <v>953</v>
      </c>
      <c r="D457" t="s">
        <v>14</v>
      </c>
      <c r="E457" t="s">
        <v>283</v>
      </c>
      <c r="F457" t="s">
        <v>1003</v>
      </c>
      <c r="G457" s="63" t="s">
        <v>1488</v>
      </c>
      <c r="H457" s="358">
        <v>1.05</v>
      </c>
      <c r="I457" s="358">
        <v>0</v>
      </c>
      <c r="J457" s="357">
        <v>0</v>
      </c>
      <c r="K457" s="358">
        <v>0</v>
      </c>
      <c r="L457" s="358">
        <v>1.05</v>
      </c>
      <c r="M457" s="358">
        <v>0</v>
      </c>
      <c r="N457" s="361">
        <f>'ExIntl Parcel'!D36</f>
        <v>0</v>
      </c>
      <c r="O457" s="361">
        <f>'ExIntl Parcel'!E36</f>
        <v>0</v>
      </c>
      <c r="P457" s="358">
        <f>'ExIntl Parcel'!F36</f>
        <v>1.05</v>
      </c>
      <c r="Q457" s="358">
        <f>'ExIntl Parcel'!G36</f>
        <v>0</v>
      </c>
      <c r="R457" s="358">
        <f>'ExIntl Parcel'!H36</f>
        <v>0</v>
      </c>
      <c r="S457" s="358">
        <f>'ExIntl Parcel'!I36</f>
        <v>0</v>
      </c>
      <c r="T457" s="358">
        <f>'ExIntl Parcel'!J36</f>
        <v>1.05</v>
      </c>
      <c r="U457" s="358">
        <f>'ExIntl Parcel'!K36</f>
        <v>0</v>
      </c>
      <c r="V457" s="365">
        <f>'ExIntl Parcel'!L36</f>
        <v>0</v>
      </c>
      <c r="W457" s="358">
        <f>'ExIntl Parcel'!M36</f>
        <v>0</v>
      </c>
      <c r="X457" s="358">
        <f>'ExIntl Parcel'!N36</f>
        <v>0</v>
      </c>
      <c r="Y457" s="358">
        <f>'ExIntl Parcel'!O36</f>
        <v>0</v>
      </c>
    </row>
    <row r="458" spans="1:25" x14ac:dyDescent="0.35">
      <c r="A458">
        <v>457</v>
      </c>
      <c r="B458" t="s">
        <v>1341</v>
      </c>
      <c r="C458" t="s">
        <v>953</v>
      </c>
      <c r="D458" t="s">
        <v>14</v>
      </c>
      <c r="E458" t="s">
        <v>283</v>
      </c>
      <c r="F458" t="s">
        <v>1005</v>
      </c>
      <c r="G458" s="63" t="s">
        <v>1489</v>
      </c>
      <c r="H458" s="358">
        <v>1.05</v>
      </c>
      <c r="I458" s="358">
        <v>0</v>
      </c>
      <c r="J458" s="357">
        <v>0</v>
      </c>
      <c r="K458" s="358">
        <v>0</v>
      </c>
      <c r="L458" s="358">
        <v>1.05</v>
      </c>
      <c r="M458" s="358">
        <v>0</v>
      </c>
      <c r="N458" s="361">
        <f>'ExIntl Parcel'!D37</f>
        <v>0</v>
      </c>
      <c r="O458" s="361">
        <f>'ExIntl Parcel'!E37</f>
        <v>0</v>
      </c>
      <c r="P458" s="358">
        <f>'ExIntl Parcel'!F37</f>
        <v>1.05</v>
      </c>
      <c r="Q458" s="358">
        <f>'ExIntl Parcel'!G37</f>
        <v>0</v>
      </c>
      <c r="R458" s="358">
        <f>'ExIntl Parcel'!H37</f>
        <v>0</v>
      </c>
      <c r="S458" s="358">
        <f>'ExIntl Parcel'!I37</f>
        <v>0</v>
      </c>
      <c r="T458" s="358">
        <f>'ExIntl Parcel'!J37</f>
        <v>1.05</v>
      </c>
      <c r="U458" s="358">
        <f>'ExIntl Parcel'!K37</f>
        <v>0</v>
      </c>
      <c r="V458" s="365">
        <f>'ExIntl Parcel'!L37</f>
        <v>0</v>
      </c>
      <c r="W458" s="358">
        <f>'ExIntl Parcel'!M37</f>
        <v>0</v>
      </c>
      <c r="X458" s="358">
        <f>'ExIntl Parcel'!N37</f>
        <v>0</v>
      </c>
      <c r="Y458" s="358">
        <f>'ExIntl Parcel'!O37</f>
        <v>0</v>
      </c>
    </row>
    <row r="459" spans="1:25" x14ac:dyDescent="0.35">
      <c r="A459">
        <v>458</v>
      </c>
      <c r="B459" t="s">
        <v>1341</v>
      </c>
      <c r="C459" t="s">
        <v>953</v>
      </c>
      <c r="D459" t="s">
        <v>14</v>
      </c>
      <c r="E459" t="s">
        <v>46</v>
      </c>
      <c r="F459" t="s">
        <v>46</v>
      </c>
      <c r="G459" s="63" t="s">
        <v>1490</v>
      </c>
      <c r="H459" s="358">
        <v>16</v>
      </c>
      <c r="I459" s="358">
        <v>0</v>
      </c>
      <c r="J459" s="357">
        <v>0</v>
      </c>
      <c r="K459" s="358">
        <v>0</v>
      </c>
      <c r="L459" s="358">
        <v>16</v>
      </c>
      <c r="M459" s="358">
        <v>0</v>
      </c>
      <c r="N459" s="361">
        <f>'ExIntl Parcel'!D38</f>
        <v>0</v>
      </c>
      <c r="O459" s="361">
        <f>'ExIntl Parcel'!E38</f>
        <v>0</v>
      </c>
      <c r="P459" s="358">
        <f>'ExIntl Parcel'!F38</f>
        <v>16</v>
      </c>
      <c r="Q459" s="358">
        <f>'ExIntl Parcel'!G38</f>
        <v>0</v>
      </c>
      <c r="R459" s="358">
        <f>'ExIntl Parcel'!H38</f>
        <v>0</v>
      </c>
      <c r="S459" s="358">
        <f>'ExIntl Parcel'!I38</f>
        <v>0</v>
      </c>
      <c r="T459" s="358">
        <f>'ExIntl Parcel'!J38</f>
        <v>16</v>
      </c>
      <c r="U459" s="358">
        <f>'ExIntl Parcel'!K38</f>
        <v>0</v>
      </c>
      <c r="V459" s="365">
        <f>'ExIntl Parcel'!L38</f>
        <v>0</v>
      </c>
      <c r="W459" s="358">
        <f>'ExIntl Parcel'!M38</f>
        <v>0</v>
      </c>
      <c r="X459" s="358">
        <f>'ExIntl Parcel'!N38</f>
        <v>0</v>
      </c>
      <c r="Y459" s="358">
        <f>'ExIntl Parcel'!O38</f>
        <v>0</v>
      </c>
    </row>
    <row r="460" spans="1:25" x14ac:dyDescent="0.35">
      <c r="A460">
        <v>459</v>
      </c>
      <c r="B460" t="s">
        <v>1341</v>
      </c>
      <c r="C460" t="s">
        <v>953</v>
      </c>
      <c r="D460" t="s">
        <v>14</v>
      </c>
      <c r="E460" t="s">
        <v>24</v>
      </c>
      <c r="F460" t="s">
        <v>24</v>
      </c>
      <c r="G460" s="63" t="s">
        <v>1491</v>
      </c>
      <c r="H460" s="358">
        <v>16</v>
      </c>
      <c r="I460" s="358">
        <v>0</v>
      </c>
      <c r="J460" s="357">
        <v>0</v>
      </c>
      <c r="K460" s="358">
        <v>0</v>
      </c>
      <c r="L460" s="358">
        <v>16</v>
      </c>
      <c r="M460" s="358">
        <v>0</v>
      </c>
      <c r="N460" s="361">
        <f>'ExIntl Parcel'!D39</f>
        <v>0</v>
      </c>
      <c r="O460" s="361">
        <f>'ExIntl Parcel'!E39</f>
        <v>0</v>
      </c>
      <c r="P460" s="358">
        <f>'ExIntl Parcel'!F39</f>
        <v>16</v>
      </c>
      <c r="Q460" s="358">
        <f>'ExIntl Parcel'!G39</f>
        <v>0</v>
      </c>
      <c r="R460" s="358">
        <f>'ExIntl Parcel'!H39</f>
        <v>0</v>
      </c>
      <c r="S460" s="358">
        <f>'ExIntl Parcel'!I39</f>
        <v>0</v>
      </c>
      <c r="T460" s="358">
        <f>'ExIntl Parcel'!J39</f>
        <v>16</v>
      </c>
      <c r="U460" s="358">
        <f>'ExIntl Parcel'!K39</f>
        <v>0</v>
      </c>
      <c r="V460" s="365">
        <f>'ExIntl Parcel'!L39</f>
        <v>0</v>
      </c>
      <c r="W460" s="358">
        <f>'ExIntl Parcel'!M39</f>
        <v>0</v>
      </c>
      <c r="X460" s="358">
        <f>'ExIntl Parcel'!N39</f>
        <v>0</v>
      </c>
      <c r="Y460" s="358">
        <f>'ExIntl Parcel'!O39</f>
        <v>0</v>
      </c>
    </row>
    <row r="461" spans="1:25" x14ac:dyDescent="0.35">
      <c r="A461">
        <v>460</v>
      </c>
      <c r="B461" t="s">
        <v>1350</v>
      </c>
      <c r="C461" t="s">
        <v>953</v>
      </c>
      <c r="D461" t="s">
        <v>14</v>
      </c>
      <c r="E461" t="s">
        <v>66</v>
      </c>
      <c r="F461" t="s">
        <v>290</v>
      </c>
      <c r="G461" s="63" t="s">
        <v>1466</v>
      </c>
      <c r="H461" s="358">
        <v>27</v>
      </c>
      <c r="I461" s="358">
        <v>0</v>
      </c>
      <c r="J461" s="357">
        <v>2.5</v>
      </c>
      <c r="K461" s="358">
        <v>0</v>
      </c>
      <c r="L461" s="358">
        <v>29.5</v>
      </c>
      <c r="M461" s="358">
        <v>0</v>
      </c>
      <c r="N461" s="361">
        <f>'ExIntl Parcel'!P6</f>
        <v>0</v>
      </c>
      <c r="O461" s="361">
        <f>'ExIntl Parcel'!Q6</f>
        <v>0</v>
      </c>
      <c r="P461" s="358">
        <f>'ExIntl Parcel'!R6</f>
        <v>29.5</v>
      </c>
      <c r="Q461" s="358">
        <f>'ExIntl Parcel'!S6</f>
        <v>0</v>
      </c>
      <c r="R461" s="358">
        <f>'ExIntl Parcel'!T6</f>
        <v>0</v>
      </c>
      <c r="S461" s="358">
        <f>'ExIntl Parcel'!U6</f>
        <v>0</v>
      </c>
      <c r="T461" s="358">
        <f>'ExIntl Parcel'!V6</f>
        <v>29.5</v>
      </c>
      <c r="U461" s="358">
        <f>'ExIntl Parcel'!W6</f>
        <v>0</v>
      </c>
      <c r="V461" s="365">
        <f>'ExIntl Parcel'!X6</f>
        <v>0</v>
      </c>
      <c r="W461" s="358">
        <f>'ExIntl Parcel'!Y6</f>
        <v>0</v>
      </c>
      <c r="X461" s="358">
        <f>'ExIntl Parcel'!Z6</f>
        <v>0</v>
      </c>
      <c r="Y461" s="358">
        <f>'ExIntl Parcel'!AA6</f>
        <v>0</v>
      </c>
    </row>
    <row r="462" spans="1:25" x14ac:dyDescent="0.35">
      <c r="A462">
        <v>461</v>
      </c>
      <c r="B462" t="s">
        <v>1350</v>
      </c>
      <c r="C462" t="s">
        <v>953</v>
      </c>
      <c r="D462" t="s">
        <v>14</v>
      </c>
      <c r="E462" t="s">
        <v>66</v>
      </c>
      <c r="F462" t="s">
        <v>68</v>
      </c>
      <c r="G462" s="63" t="s">
        <v>1467</v>
      </c>
      <c r="H462" s="358">
        <v>27</v>
      </c>
      <c r="I462" s="358">
        <v>0</v>
      </c>
      <c r="J462" s="357">
        <v>2.5</v>
      </c>
      <c r="K462" s="358">
        <v>0</v>
      </c>
      <c r="L462" s="358">
        <v>29.5</v>
      </c>
      <c r="M462" s="358">
        <v>0</v>
      </c>
      <c r="N462" s="361">
        <f>'ExIntl Parcel'!P7</f>
        <v>0</v>
      </c>
      <c r="O462" s="361">
        <f>'ExIntl Parcel'!Q7</f>
        <v>0</v>
      </c>
      <c r="P462" s="358">
        <f>'ExIntl Parcel'!R7</f>
        <v>29.5</v>
      </c>
      <c r="Q462" s="358">
        <f>'ExIntl Parcel'!S7</f>
        <v>0</v>
      </c>
      <c r="R462" s="358">
        <f>'ExIntl Parcel'!T7</f>
        <v>0</v>
      </c>
      <c r="S462" s="358">
        <f>'ExIntl Parcel'!U7</f>
        <v>0</v>
      </c>
      <c r="T462" s="358">
        <f>'ExIntl Parcel'!V7</f>
        <v>29.5</v>
      </c>
      <c r="U462" s="358">
        <f>'ExIntl Parcel'!W7</f>
        <v>0</v>
      </c>
      <c r="V462" s="365">
        <f>'ExIntl Parcel'!X7</f>
        <v>0</v>
      </c>
      <c r="W462" s="358">
        <f>'ExIntl Parcel'!Y7</f>
        <v>0</v>
      </c>
      <c r="X462" s="358">
        <f>'ExIntl Parcel'!Z7</f>
        <v>0</v>
      </c>
      <c r="Y462" s="358">
        <f>'ExIntl Parcel'!AA7</f>
        <v>0</v>
      </c>
    </row>
    <row r="463" spans="1:25" x14ac:dyDescent="0.35">
      <c r="A463">
        <v>462</v>
      </c>
      <c r="B463" t="s">
        <v>1350</v>
      </c>
      <c r="C463" t="s">
        <v>953</v>
      </c>
      <c r="D463" t="s">
        <v>14</v>
      </c>
      <c r="E463" t="s">
        <v>66</v>
      </c>
      <c r="F463" t="s">
        <v>67</v>
      </c>
      <c r="G463" s="63" t="s">
        <v>1468</v>
      </c>
      <c r="H463" s="358">
        <v>38</v>
      </c>
      <c r="I463" s="358">
        <v>0</v>
      </c>
      <c r="J463" s="357">
        <v>2</v>
      </c>
      <c r="K463" s="358">
        <v>0</v>
      </c>
      <c r="L463" s="358">
        <v>40</v>
      </c>
      <c r="M463" s="358">
        <v>0</v>
      </c>
      <c r="N463" s="361">
        <f>'ExIntl Parcel'!P8</f>
        <v>0</v>
      </c>
      <c r="O463" s="361">
        <f>'ExIntl Parcel'!Q8</f>
        <v>0</v>
      </c>
      <c r="P463" s="358">
        <f>'ExIntl Parcel'!R8</f>
        <v>40</v>
      </c>
      <c r="Q463" s="358">
        <f>'ExIntl Parcel'!S8</f>
        <v>0</v>
      </c>
      <c r="R463" s="358">
        <f>'ExIntl Parcel'!T8</f>
        <v>0</v>
      </c>
      <c r="S463" s="358">
        <f>'ExIntl Parcel'!U8</f>
        <v>0</v>
      </c>
      <c r="T463" s="358">
        <f>'ExIntl Parcel'!V8</f>
        <v>40</v>
      </c>
      <c r="U463" s="358">
        <f>'ExIntl Parcel'!W8</f>
        <v>0</v>
      </c>
      <c r="V463" s="365">
        <f>'ExIntl Parcel'!X8</f>
        <v>0</v>
      </c>
      <c r="W463" s="358">
        <f>'ExIntl Parcel'!Y8</f>
        <v>0</v>
      </c>
      <c r="X463" s="358">
        <f>'ExIntl Parcel'!Z8</f>
        <v>0</v>
      </c>
      <c r="Y463" s="358">
        <f>'ExIntl Parcel'!AA8</f>
        <v>0</v>
      </c>
    </row>
    <row r="464" spans="1:25" x14ac:dyDescent="0.35">
      <c r="A464">
        <v>463</v>
      </c>
      <c r="B464" t="s">
        <v>1350</v>
      </c>
      <c r="C464" t="s">
        <v>953</v>
      </c>
      <c r="D464" t="s">
        <v>14</v>
      </c>
      <c r="E464" t="s">
        <v>31</v>
      </c>
      <c r="F464" t="s">
        <v>31</v>
      </c>
      <c r="G464" s="63" t="s">
        <v>1469</v>
      </c>
      <c r="H464" s="358">
        <v>24</v>
      </c>
      <c r="I464" s="358">
        <v>0</v>
      </c>
      <c r="J464" s="357">
        <v>1.5</v>
      </c>
      <c r="K464" s="358">
        <v>0</v>
      </c>
      <c r="L464" s="358">
        <v>25.5</v>
      </c>
      <c r="M464" s="358">
        <v>0</v>
      </c>
      <c r="N464" s="361">
        <f>'ExIntl Parcel'!P9</f>
        <v>0</v>
      </c>
      <c r="O464" s="361">
        <f>'ExIntl Parcel'!Q9</f>
        <v>0</v>
      </c>
      <c r="P464" s="358">
        <f>'ExIntl Parcel'!R9</f>
        <v>25.5</v>
      </c>
      <c r="Q464" s="358">
        <f>'ExIntl Parcel'!S9</f>
        <v>0</v>
      </c>
      <c r="R464" s="358">
        <f>'ExIntl Parcel'!T9</f>
        <v>0</v>
      </c>
      <c r="S464" s="358">
        <f>'ExIntl Parcel'!U9</f>
        <v>0</v>
      </c>
      <c r="T464" s="358">
        <f>'ExIntl Parcel'!V9</f>
        <v>25.5</v>
      </c>
      <c r="U464" s="358">
        <f>'ExIntl Parcel'!W9</f>
        <v>0</v>
      </c>
      <c r="V464" s="365">
        <f>'ExIntl Parcel'!X9</f>
        <v>0</v>
      </c>
      <c r="W464" s="358">
        <f>'ExIntl Parcel'!Y9</f>
        <v>0</v>
      </c>
      <c r="X464" s="358">
        <f>'ExIntl Parcel'!Z9</f>
        <v>0</v>
      </c>
      <c r="Y464" s="358">
        <f>'ExIntl Parcel'!AA9</f>
        <v>0</v>
      </c>
    </row>
    <row r="465" spans="1:25" x14ac:dyDescent="0.35">
      <c r="A465">
        <v>464</v>
      </c>
      <c r="B465" t="s">
        <v>1350</v>
      </c>
      <c r="C465" t="s">
        <v>953</v>
      </c>
      <c r="D465" t="s">
        <v>14</v>
      </c>
      <c r="E465" t="s">
        <v>51</v>
      </c>
      <c r="F465" t="s">
        <v>876</v>
      </c>
      <c r="G465" s="63" t="s">
        <v>1470</v>
      </c>
      <c r="H465" s="358">
        <v>240</v>
      </c>
      <c r="I465" s="358">
        <v>1.4</v>
      </c>
      <c r="J465" s="357">
        <v>0</v>
      </c>
      <c r="K465" s="358">
        <v>8.0000000000000071E-2</v>
      </c>
      <c r="L465" s="358">
        <v>240</v>
      </c>
      <c r="M465" s="358">
        <v>1.48</v>
      </c>
      <c r="N465" s="361">
        <f>'ExIntl Parcel'!P11</f>
        <v>0</v>
      </c>
      <c r="O465" s="361">
        <f>'ExIntl Parcel'!Q11</f>
        <v>0</v>
      </c>
      <c r="P465" s="358">
        <f>'ExIntl Parcel'!R11</f>
        <v>240</v>
      </c>
      <c r="Q465" s="358">
        <f>'ExIntl Parcel'!S11</f>
        <v>1.48</v>
      </c>
      <c r="R465" s="358">
        <f>'ExIntl Parcel'!T11</f>
        <v>0</v>
      </c>
      <c r="S465" s="358">
        <f>'ExIntl Parcel'!U11</f>
        <v>0</v>
      </c>
      <c r="T465" s="358">
        <f>'ExIntl Parcel'!V11</f>
        <v>240</v>
      </c>
      <c r="U465" s="358">
        <f>'ExIntl Parcel'!W11</f>
        <v>1.48</v>
      </c>
      <c r="V465" s="365">
        <f>'ExIntl Parcel'!X11</f>
        <v>0</v>
      </c>
      <c r="W465" s="358">
        <f>'ExIntl Parcel'!Y11</f>
        <v>0</v>
      </c>
      <c r="X465" s="358">
        <f>'ExIntl Parcel'!Z11</f>
        <v>0</v>
      </c>
      <c r="Y465" s="358">
        <f>'ExIntl Parcel'!AA11</f>
        <v>0</v>
      </c>
    </row>
    <row r="466" spans="1:25" x14ac:dyDescent="0.35">
      <c r="A466">
        <v>465</v>
      </c>
      <c r="B466" t="s">
        <v>1350</v>
      </c>
      <c r="C466" t="s">
        <v>953</v>
      </c>
      <c r="D466" t="s">
        <v>14</v>
      </c>
      <c r="E466" t="s">
        <v>51</v>
      </c>
      <c r="F466" t="s">
        <v>877</v>
      </c>
      <c r="G466" s="63" t="s">
        <v>1471</v>
      </c>
      <c r="H466" s="358">
        <v>115</v>
      </c>
      <c r="I466" s="358">
        <v>0.67</v>
      </c>
      <c r="J466" s="357">
        <v>0</v>
      </c>
      <c r="K466" s="358">
        <v>3.9999999999999925E-2</v>
      </c>
      <c r="L466" s="358">
        <v>115</v>
      </c>
      <c r="M466" s="358">
        <v>0.71</v>
      </c>
      <c r="N466" s="361">
        <f>'ExIntl Parcel'!P12</f>
        <v>0</v>
      </c>
      <c r="O466" s="361">
        <f>'ExIntl Parcel'!Q12</f>
        <v>0</v>
      </c>
      <c r="P466" s="358">
        <f>'ExIntl Parcel'!R12</f>
        <v>115</v>
      </c>
      <c r="Q466" s="358">
        <f>'ExIntl Parcel'!S12</f>
        <v>0.71</v>
      </c>
      <c r="R466" s="358">
        <f>'ExIntl Parcel'!T12</f>
        <v>0</v>
      </c>
      <c r="S466" s="358">
        <f>'ExIntl Parcel'!U12</f>
        <v>0</v>
      </c>
      <c r="T466" s="358">
        <f>'ExIntl Parcel'!V12</f>
        <v>115</v>
      </c>
      <c r="U466" s="358">
        <f>'ExIntl Parcel'!W12</f>
        <v>0.71</v>
      </c>
      <c r="V466" s="365">
        <f>'ExIntl Parcel'!X12</f>
        <v>0</v>
      </c>
      <c r="W466" s="358">
        <f>'ExIntl Parcel'!Y12</f>
        <v>0</v>
      </c>
      <c r="X466" s="358">
        <f>'ExIntl Parcel'!Z12</f>
        <v>0</v>
      </c>
      <c r="Y466" s="358">
        <f>'ExIntl Parcel'!AA12</f>
        <v>0</v>
      </c>
    </row>
    <row r="467" spans="1:25" x14ac:dyDescent="0.35">
      <c r="A467">
        <v>466</v>
      </c>
      <c r="B467" t="s">
        <v>1350</v>
      </c>
      <c r="C467" t="s">
        <v>953</v>
      </c>
      <c r="D467" t="s">
        <v>14</v>
      </c>
      <c r="E467" t="s">
        <v>51</v>
      </c>
      <c r="F467" t="s">
        <v>878</v>
      </c>
      <c r="G467" s="63" t="s">
        <v>1472</v>
      </c>
      <c r="H467" s="358">
        <v>8</v>
      </c>
      <c r="I467" s="358">
        <v>0</v>
      </c>
      <c r="J467" s="357">
        <v>0.5</v>
      </c>
      <c r="K467" s="358">
        <v>0</v>
      </c>
      <c r="L467" s="358">
        <v>8.5</v>
      </c>
      <c r="M467" s="358">
        <v>0</v>
      </c>
      <c r="N467" s="361">
        <f>'ExIntl Parcel'!P13</f>
        <v>0</v>
      </c>
      <c r="O467" s="361">
        <f>'ExIntl Parcel'!Q13</f>
        <v>0</v>
      </c>
      <c r="P467" s="358">
        <f>'ExIntl Parcel'!R13</f>
        <v>8.5</v>
      </c>
      <c r="Q467" s="358">
        <f>'ExIntl Parcel'!S13</f>
        <v>0</v>
      </c>
      <c r="R467" s="358">
        <f>'ExIntl Parcel'!T13</f>
        <v>0</v>
      </c>
      <c r="S467" s="358">
        <f>'ExIntl Parcel'!U13</f>
        <v>0</v>
      </c>
      <c r="T467" s="358">
        <f>'ExIntl Parcel'!V13</f>
        <v>8.5</v>
      </c>
      <c r="U467" s="358">
        <f>'ExIntl Parcel'!W13</f>
        <v>0</v>
      </c>
      <c r="V467" s="365">
        <f>'ExIntl Parcel'!X13</f>
        <v>0</v>
      </c>
      <c r="W467" s="358">
        <f>'ExIntl Parcel'!Y13</f>
        <v>0</v>
      </c>
      <c r="X467" s="358">
        <f>'ExIntl Parcel'!Z13</f>
        <v>0</v>
      </c>
      <c r="Y467" s="358">
        <f>'ExIntl Parcel'!AA13</f>
        <v>0</v>
      </c>
    </row>
    <row r="468" spans="1:25" x14ac:dyDescent="0.35">
      <c r="A468">
        <v>467</v>
      </c>
      <c r="B468" t="s">
        <v>1350</v>
      </c>
      <c r="C468" t="s">
        <v>953</v>
      </c>
      <c r="D468" t="s">
        <v>14</v>
      </c>
      <c r="E468" t="s">
        <v>28</v>
      </c>
      <c r="F468" t="s">
        <v>28</v>
      </c>
      <c r="G468" s="63" t="s">
        <v>1473</v>
      </c>
      <c r="H468" s="358">
        <v>1.5</v>
      </c>
      <c r="I468" s="358">
        <v>9.07</v>
      </c>
      <c r="J468" s="357">
        <v>0.14999999999999991</v>
      </c>
      <c r="K468" s="358">
        <v>0</v>
      </c>
      <c r="L468" s="358">
        <v>1.65</v>
      </c>
      <c r="M468" s="358">
        <v>9.07</v>
      </c>
      <c r="N468" s="361">
        <f>'ExIntl Parcel'!P14</f>
        <v>0</v>
      </c>
      <c r="O468" s="361">
        <f>'ExIntl Parcel'!Q14</f>
        <v>0</v>
      </c>
      <c r="P468" s="358">
        <f>'ExIntl Parcel'!R14</f>
        <v>1.65</v>
      </c>
      <c r="Q468" s="358">
        <f>'ExIntl Parcel'!S14</f>
        <v>9.07</v>
      </c>
      <c r="R468" s="358">
        <f>'ExIntl Parcel'!T14</f>
        <v>0</v>
      </c>
      <c r="S468" s="358">
        <f>'ExIntl Parcel'!U14</f>
        <v>0</v>
      </c>
      <c r="T468" s="358">
        <f>'ExIntl Parcel'!V14</f>
        <v>1.65</v>
      </c>
      <c r="U468" s="358">
        <f>'ExIntl Parcel'!W14</f>
        <v>9.07</v>
      </c>
      <c r="V468" s="365">
        <f>'ExIntl Parcel'!X14</f>
        <v>0</v>
      </c>
    </row>
    <row r="469" spans="1:25" x14ac:dyDescent="0.35">
      <c r="A469">
        <v>468</v>
      </c>
      <c r="B469" t="s">
        <v>1350</v>
      </c>
      <c r="C469" t="s">
        <v>953</v>
      </c>
      <c r="D469" t="s">
        <v>14</v>
      </c>
      <c r="E469" t="s">
        <v>286</v>
      </c>
      <c r="F469" t="s">
        <v>288</v>
      </c>
      <c r="G469" s="63" t="s">
        <v>1474</v>
      </c>
      <c r="H469" s="358">
        <v>8.65</v>
      </c>
      <c r="I469" s="358">
        <v>0</v>
      </c>
      <c r="J469" s="357">
        <v>1.3499999999999996</v>
      </c>
      <c r="K469" s="358">
        <v>0</v>
      </c>
      <c r="L469" s="358">
        <v>10</v>
      </c>
      <c r="M469" s="358">
        <v>0</v>
      </c>
      <c r="N469" s="361">
        <f>'ExIntl Parcel'!P16</f>
        <v>0</v>
      </c>
      <c r="O469" s="361">
        <f>'ExIntl Parcel'!Q16</f>
        <v>0</v>
      </c>
      <c r="P469" s="358">
        <f>'ExIntl Parcel'!R16</f>
        <v>10</v>
      </c>
      <c r="Q469" s="358">
        <f>'ExIntl Parcel'!S16</f>
        <v>0</v>
      </c>
      <c r="R469" s="358">
        <f>'ExIntl Parcel'!T16</f>
        <v>0</v>
      </c>
      <c r="S469" s="358">
        <f>'ExIntl Parcel'!U16</f>
        <v>0</v>
      </c>
      <c r="T469" s="358">
        <f>'ExIntl Parcel'!V16</f>
        <v>10</v>
      </c>
      <c r="U469" s="358">
        <f>'ExIntl Parcel'!W16</f>
        <v>0</v>
      </c>
      <c r="V469" s="365">
        <f>'ExIntl Parcel'!X16</f>
        <v>0</v>
      </c>
      <c r="W469" s="358">
        <f>'ExIntl Parcel'!Y16</f>
        <v>0</v>
      </c>
      <c r="X469" s="358">
        <f>'ExIntl Parcel'!Z16</f>
        <v>0</v>
      </c>
      <c r="Y469" s="358">
        <f>'ExIntl Parcel'!AA16</f>
        <v>0</v>
      </c>
    </row>
    <row r="470" spans="1:25" x14ac:dyDescent="0.35">
      <c r="A470">
        <v>469</v>
      </c>
      <c r="B470" t="s">
        <v>1350</v>
      </c>
      <c r="C470" t="s">
        <v>953</v>
      </c>
      <c r="D470" t="s">
        <v>14</v>
      </c>
      <c r="E470" t="s">
        <v>286</v>
      </c>
      <c r="F470" t="s">
        <v>285</v>
      </c>
      <c r="G470" s="63" t="s">
        <v>1475</v>
      </c>
      <c r="H470" s="358">
        <v>7.15</v>
      </c>
      <c r="I470" s="358">
        <v>0</v>
      </c>
      <c r="J470" s="357">
        <v>0.44999999999999929</v>
      </c>
      <c r="K470" s="358">
        <v>0</v>
      </c>
      <c r="L470" s="358">
        <v>7.6</v>
      </c>
      <c r="M470" s="358">
        <v>0</v>
      </c>
      <c r="N470" s="361">
        <f>'ExIntl Parcel'!P17</f>
        <v>0</v>
      </c>
      <c r="O470" s="361">
        <f>'ExIntl Parcel'!Q17</f>
        <v>0</v>
      </c>
      <c r="P470" s="358">
        <f>'ExIntl Parcel'!R17</f>
        <v>7.6</v>
      </c>
      <c r="Q470" s="358">
        <f>'ExIntl Parcel'!S17</f>
        <v>0</v>
      </c>
      <c r="R470" s="358">
        <f>'ExIntl Parcel'!T17</f>
        <v>0</v>
      </c>
      <c r="S470" s="358">
        <f>'ExIntl Parcel'!U17</f>
        <v>0</v>
      </c>
      <c r="T470" s="358">
        <f>'ExIntl Parcel'!V17</f>
        <v>7.6</v>
      </c>
      <c r="U470" s="358">
        <f>'ExIntl Parcel'!W17</f>
        <v>0</v>
      </c>
      <c r="V470" s="365">
        <f>'ExIntl Parcel'!X17</f>
        <v>0</v>
      </c>
      <c r="W470" s="358">
        <f>'ExIntl Parcel'!Y17</f>
        <v>0</v>
      </c>
      <c r="X470" s="358">
        <f>'ExIntl Parcel'!Z17</f>
        <v>0</v>
      </c>
      <c r="Y470" s="358">
        <f>'ExIntl Parcel'!AA17</f>
        <v>0</v>
      </c>
    </row>
    <row r="471" spans="1:25" x14ac:dyDescent="0.35">
      <c r="A471">
        <v>470</v>
      </c>
      <c r="B471" t="s">
        <v>1350</v>
      </c>
      <c r="C471" t="s">
        <v>953</v>
      </c>
      <c r="D471" t="s">
        <v>14</v>
      </c>
      <c r="E471" t="s">
        <v>286</v>
      </c>
      <c r="F471" t="s">
        <v>287</v>
      </c>
      <c r="G471" s="63" t="s">
        <v>1476</v>
      </c>
      <c r="H471" s="358">
        <v>7.15</v>
      </c>
      <c r="I471" s="358">
        <v>0</v>
      </c>
      <c r="J471" s="357">
        <v>0.44999999999999929</v>
      </c>
      <c r="K471" s="358">
        <v>0</v>
      </c>
      <c r="L471" s="358">
        <v>7.6</v>
      </c>
      <c r="M471" s="358">
        <v>0</v>
      </c>
      <c r="N471" s="361">
        <f>'ExIntl Parcel'!P18</f>
        <v>0</v>
      </c>
      <c r="O471" s="361">
        <f>'ExIntl Parcel'!Q18</f>
        <v>0</v>
      </c>
      <c r="P471" s="358">
        <f>'ExIntl Parcel'!R18</f>
        <v>7.6</v>
      </c>
      <c r="Q471" s="358">
        <f>'ExIntl Parcel'!S18</f>
        <v>0</v>
      </c>
      <c r="R471" s="358">
        <f>'ExIntl Parcel'!T18</f>
        <v>0</v>
      </c>
      <c r="S471" s="358">
        <f>'ExIntl Parcel'!U18</f>
        <v>0</v>
      </c>
      <c r="T471" s="358">
        <f>'ExIntl Parcel'!V18</f>
        <v>7.6</v>
      </c>
      <c r="U471" s="358">
        <f>'ExIntl Parcel'!W18</f>
        <v>0</v>
      </c>
      <c r="V471" s="365">
        <f>'ExIntl Parcel'!X18</f>
        <v>0</v>
      </c>
      <c r="W471" s="358">
        <f>'ExIntl Parcel'!Y18</f>
        <v>0</v>
      </c>
      <c r="X471" s="358">
        <f>'ExIntl Parcel'!Z18</f>
        <v>0</v>
      </c>
      <c r="Y471" s="358">
        <f>'ExIntl Parcel'!AA18</f>
        <v>0</v>
      </c>
    </row>
    <row r="472" spans="1:25" x14ac:dyDescent="0.35">
      <c r="A472">
        <v>471</v>
      </c>
      <c r="B472" t="s">
        <v>1350</v>
      </c>
      <c r="C472" t="s">
        <v>953</v>
      </c>
      <c r="D472" t="s">
        <v>14</v>
      </c>
      <c r="E472" t="s">
        <v>18</v>
      </c>
      <c r="F472" t="s">
        <v>18</v>
      </c>
      <c r="G472" s="63" t="s">
        <v>1477</v>
      </c>
      <c r="H472" s="358">
        <v>0</v>
      </c>
      <c r="I472" s="358">
        <v>0</v>
      </c>
      <c r="J472" s="357">
        <v>0</v>
      </c>
      <c r="K472" s="358">
        <v>0</v>
      </c>
      <c r="L472" s="358">
        <v>0</v>
      </c>
      <c r="M472" s="358">
        <v>0</v>
      </c>
      <c r="N472" s="361">
        <f>'ExIntl Parcel'!P19</f>
        <v>0</v>
      </c>
      <c r="O472" s="361">
        <f>'ExIntl Parcel'!Q19</f>
        <v>0</v>
      </c>
      <c r="V472" s="365">
        <f>'ExIntl Parcel'!X19</f>
        <v>0</v>
      </c>
    </row>
    <row r="473" spans="1:25" x14ac:dyDescent="0.35">
      <c r="A473">
        <v>472</v>
      </c>
      <c r="B473" t="s">
        <v>1350</v>
      </c>
      <c r="C473" t="s">
        <v>953</v>
      </c>
      <c r="D473" t="s">
        <v>14</v>
      </c>
      <c r="E473" t="s">
        <v>57</v>
      </c>
      <c r="F473" t="s">
        <v>57</v>
      </c>
      <c r="G473" s="63" t="s">
        <v>1478</v>
      </c>
      <c r="H473" s="358">
        <v>24</v>
      </c>
      <c r="I473" s="358">
        <v>0</v>
      </c>
      <c r="J473" s="357">
        <v>1.5</v>
      </c>
      <c r="K473" s="358">
        <v>0</v>
      </c>
      <c r="L473" s="358">
        <v>25.5</v>
      </c>
      <c r="M473" s="358">
        <v>0</v>
      </c>
      <c r="N473" s="361">
        <f>'ExIntl Parcel'!P20</f>
        <v>0</v>
      </c>
      <c r="O473" s="361">
        <f>'ExIntl Parcel'!Q20</f>
        <v>0</v>
      </c>
      <c r="P473" s="358">
        <f>'ExIntl Parcel'!R20</f>
        <v>25.5</v>
      </c>
      <c r="Q473" s="358">
        <f>'ExIntl Parcel'!S20</f>
        <v>0</v>
      </c>
      <c r="R473" s="358">
        <f>'ExIntl Parcel'!T20</f>
        <v>0</v>
      </c>
      <c r="S473" s="358">
        <f>'ExIntl Parcel'!U20</f>
        <v>0</v>
      </c>
      <c r="T473" s="358">
        <f>'ExIntl Parcel'!V20</f>
        <v>25.5</v>
      </c>
      <c r="U473" s="358">
        <f>'ExIntl Parcel'!W20</f>
        <v>0</v>
      </c>
      <c r="V473" s="365">
        <f>'ExIntl Parcel'!X20</f>
        <v>0</v>
      </c>
      <c r="W473" s="358">
        <f>'ExIntl Parcel'!Y20</f>
        <v>0</v>
      </c>
      <c r="X473" s="358">
        <f>'ExIntl Parcel'!Z20</f>
        <v>0</v>
      </c>
      <c r="Y473" s="358">
        <f>'ExIntl Parcel'!AA20</f>
        <v>0</v>
      </c>
    </row>
    <row r="474" spans="1:25" x14ac:dyDescent="0.35">
      <c r="A474">
        <v>473</v>
      </c>
      <c r="B474" t="s">
        <v>1350</v>
      </c>
      <c r="C474" t="s">
        <v>953</v>
      </c>
      <c r="D474" t="s">
        <v>14</v>
      </c>
      <c r="E474" t="s">
        <v>314</v>
      </c>
      <c r="F474" t="s">
        <v>314</v>
      </c>
      <c r="G474" s="63" t="s">
        <v>1479</v>
      </c>
      <c r="H474" s="358">
        <v>170</v>
      </c>
      <c r="I474" s="358">
        <v>3.4</v>
      </c>
      <c r="J474" s="357">
        <v>0</v>
      </c>
      <c r="K474" s="358">
        <v>0</v>
      </c>
      <c r="L474" s="358">
        <v>170</v>
      </c>
      <c r="M474" s="358">
        <v>3.4</v>
      </c>
      <c r="N474" s="361">
        <f>'ExIntl Parcel'!P22</f>
        <v>0</v>
      </c>
      <c r="O474" s="361">
        <f>'ExIntl Parcel'!Q22</f>
        <v>0</v>
      </c>
      <c r="P474" s="358">
        <f>'ExIntl Parcel'!R22</f>
        <v>170</v>
      </c>
      <c r="Q474" s="358">
        <f>'ExIntl Parcel'!S22</f>
        <v>3.4</v>
      </c>
      <c r="R474" s="358">
        <f>'ExIntl Parcel'!T22</f>
        <v>0</v>
      </c>
      <c r="S474" s="358">
        <f>'ExIntl Parcel'!U22</f>
        <v>0</v>
      </c>
      <c r="T474" s="358">
        <f>'ExIntl Parcel'!V22</f>
        <v>170</v>
      </c>
      <c r="U474" s="358">
        <f>'ExIntl Parcel'!W22</f>
        <v>3.4</v>
      </c>
      <c r="V474" s="365">
        <f>'ExIntl Parcel'!X22</f>
        <v>0</v>
      </c>
      <c r="W474" s="358">
        <f>'ExIntl Parcel'!Y22</f>
        <v>0</v>
      </c>
      <c r="X474" s="358">
        <f>'ExIntl Parcel'!Z22</f>
        <v>0</v>
      </c>
      <c r="Y474" s="358">
        <f>'ExIntl Parcel'!AA22</f>
        <v>0</v>
      </c>
    </row>
    <row r="475" spans="1:25" x14ac:dyDescent="0.35">
      <c r="A475">
        <v>474</v>
      </c>
      <c r="B475" t="s">
        <v>1350</v>
      </c>
      <c r="C475" t="s">
        <v>953</v>
      </c>
      <c r="D475" t="s">
        <v>14</v>
      </c>
      <c r="E475" t="s">
        <v>955</v>
      </c>
      <c r="F475" t="s">
        <v>956</v>
      </c>
      <c r="G475" s="63" t="s">
        <v>1480</v>
      </c>
      <c r="H475" s="358">
        <v>4.2</v>
      </c>
      <c r="I475" s="358">
        <v>0</v>
      </c>
      <c r="J475" s="357">
        <v>0.25</v>
      </c>
      <c r="K475" s="358">
        <v>0</v>
      </c>
      <c r="L475" s="358">
        <v>4.45</v>
      </c>
      <c r="M475" s="358">
        <v>0</v>
      </c>
      <c r="N475" s="361">
        <f>'ExIntl Parcel'!P24</f>
        <v>0</v>
      </c>
      <c r="O475" s="361">
        <f>'ExIntl Parcel'!Q24</f>
        <v>0</v>
      </c>
      <c r="P475" s="358">
        <f>'ExIntl Parcel'!R24</f>
        <v>4.45</v>
      </c>
      <c r="Q475" s="358">
        <f>'ExIntl Parcel'!S24</f>
        <v>0</v>
      </c>
      <c r="R475" s="358">
        <f>'ExIntl Parcel'!T24</f>
        <v>0</v>
      </c>
      <c r="S475" s="358">
        <f>'ExIntl Parcel'!U24</f>
        <v>0</v>
      </c>
      <c r="T475" s="358">
        <f>'ExIntl Parcel'!V24</f>
        <v>4.45</v>
      </c>
      <c r="U475" s="358">
        <f>'ExIntl Parcel'!W24</f>
        <v>0</v>
      </c>
      <c r="V475" s="365">
        <f>'ExIntl Parcel'!X24</f>
        <v>0</v>
      </c>
      <c r="W475" s="358">
        <f>'ExIntl Parcel'!Y24</f>
        <v>0</v>
      </c>
      <c r="X475" s="358">
        <f>'ExIntl Parcel'!Z24</f>
        <v>0</v>
      </c>
      <c r="Y475" s="358">
        <f>'ExIntl Parcel'!AA24</f>
        <v>0</v>
      </c>
    </row>
    <row r="476" spans="1:25" x14ac:dyDescent="0.35">
      <c r="A476">
        <v>475</v>
      </c>
      <c r="B476" t="s">
        <v>1350</v>
      </c>
      <c r="C476" t="s">
        <v>953</v>
      </c>
      <c r="D476" t="s">
        <v>14</v>
      </c>
      <c r="E476" t="s">
        <v>955</v>
      </c>
      <c r="F476" t="s">
        <v>957</v>
      </c>
      <c r="G476" s="63" t="s">
        <v>1481</v>
      </c>
      <c r="H476" s="358">
        <v>49</v>
      </c>
      <c r="I476" s="358">
        <v>0.49</v>
      </c>
      <c r="J476" s="357">
        <v>0</v>
      </c>
      <c r="K476" s="358">
        <v>3.0000000000000027E-2</v>
      </c>
      <c r="L476" s="358">
        <v>49</v>
      </c>
      <c r="M476" s="358">
        <v>0.52</v>
      </c>
      <c r="N476" s="361">
        <f>'ExIntl Parcel'!P25</f>
        <v>0</v>
      </c>
      <c r="O476" s="361">
        <f>'ExIntl Parcel'!Q25</f>
        <v>0</v>
      </c>
      <c r="P476" s="358">
        <f>'ExIntl Parcel'!R25</f>
        <v>49</v>
      </c>
      <c r="Q476" s="358">
        <f>'ExIntl Parcel'!S25</f>
        <v>0.52</v>
      </c>
      <c r="R476" s="358">
        <f>'ExIntl Parcel'!T25</f>
        <v>0</v>
      </c>
      <c r="S476" s="358">
        <f>'ExIntl Parcel'!U25</f>
        <v>0</v>
      </c>
      <c r="T476" s="358">
        <f>'ExIntl Parcel'!V25</f>
        <v>49</v>
      </c>
      <c r="U476" s="358">
        <f>'ExIntl Parcel'!W25</f>
        <v>0.52</v>
      </c>
      <c r="V476" s="365">
        <f>'ExIntl Parcel'!X25</f>
        <v>0</v>
      </c>
      <c r="W476" s="358">
        <f>'ExIntl Parcel'!Y25</f>
        <v>0</v>
      </c>
      <c r="X476" s="358">
        <f>'ExIntl Parcel'!Z25</f>
        <v>0</v>
      </c>
      <c r="Y476" s="358">
        <f>'ExIntl Parcel'!AA25</f>
        <v>0</v>
      </c>
    </row>
    <row r="477" spans="1:25" x14ac:dyDescent="0.35">
      <c r="A477">
        <v>476</v>
      </c>
      <c r="B477" t="s">
        <v>1350</v>
      </c>
      <c r="C477" t="s">
        <v>953</v>
      </c>
      <c r="D477" t="s">
        <v>14</v>
      </c>
      <c r="E477" t="s">
        <v>955</v>
      </c>
      <c r="F477" t="s">
        <v>958</v>
      </c>
      <c r="G477" s="63" t="s">
        <v>1482</v>
      </c>
      <c r="H477" s="358">
        <v>64</v>
      </c>
      <c r="I477" s="358">
        <v>0.64</v>
      </c>
      <c r="J477" s="357">
        <v>4</v>
      </c>
      <c r="K477" s="358">
        <v>4.0000000000000036E-2</v>
      </c>
      <c r="L477" s="358">
        <v>68</v>
      </c>
      <c r="M477" s="358">
        <v>0.68</v>
      </c>
      <c r="N477" s="361">
        <f>'ExIntl Parcel'!P26</f>
        <v>0</v>
      </c>
      <c r="O477" s="361">
        <f>'ExIntl Parcel'!Q26</f>
        <v>0</v>
      </c>
      <c r="P477" s="358">
        <f>'ExIntl Parcel'!R26</f>
        <v>68</v>
      </c>
      <c r="Q477" s="358">
        <f>'ExIntl Parcel'!S26</f>
        <v>0.68</v>
      </c>
      <c r="R477" s="358">
        <f>'ExIntl Parcel'!T26</f>
        <v>0</v>
      </c>
      <c r="S477" s="358">
        <f>'ExIntl Parcel'!U26</f>
        <v>0</v>
      </c>
      <c r="T477" s="358">
        <f>'ExIntl Parcel'!V26</f>
        <v>68</v>
      </c>
      <c r="U477" s="358">
        <f>'ExIntl Parcel'!W26</f>
        <v>0.68</v>
      </c>
      <c r="V477" s="365">
        <f>'ExIntl Parcel'!X26</f>
        <v>0</v>
      </c>
      <c r="W477" s="358">
        <f>'ExIntl Parcel'!Y26</f>
        <v>0</v>
      </c>
      <c r="X477" s="358">
        <f>'ExIntl Parcel'!Z26</f>
        <v>0</v>
      </c>
      <c r="Y477" s="358">
        <f>'ExIntl Parcel'!AA26</f>
        <v>0</v>
      </c>
    </row>
    <row r="478" spans="1:25" x14ac:dyDescent="0.35">
      <c r="A478">
        <v>477</v>
      </c>
      <c r="B478" t="s">
        <v>1350</v>
      </c>
      <c r="C478" t="s">
        <v>953</v>
      </c>
      <c r="D478" t="s">
        <v>14</v>
      </c>
      <c r="E478" t="s">
        <v>959</v>
      </c>
      <c r="F478" t="s">
        <v>960</v>
      </c>
      <c r="G478" s="63" t="s">
        <v>1483</v>
      </c>
      <c r="H478" s="358">
        <v>4.2</v>
      </c>
      <c r="I478" s="358">
        <v>0</v>
      </c>
      <c r="J478" s="357">
        <v>0.25</v>
      </c>
      <c r="K478" s="358">
        <v>0</v>
      </c>
      <c r="L478" s="358">
        <v>4.45</v>
      </c>
      <c r="M478" s="358">
        <v>0</v>
      </c>
      <c r="N478" s="361">
        <f>'ExIntl Parcel'!P28</f>
        <v>0</v>
      </c>
      <c r="O478" s="361">
        <f>'ExIntl Parcel'!Q28</f>
        <v>0</v>
      </c>
      <c r="P478" s="358">
        <f>'ExIntl Parcel'!R28</f>
        <v>4.45</v>
      </c>
      <c r="Q478" s="358">
        <f>'ExIntl Parcel'!S28</f>
        <v>0</v>
      </c>
      <c r="R478" s="358">
        <f>'ExIntl Parcel'!T28</f>
        <v>0</v>
      </c>
      <c r="S478" s="358">
        <f>'ExIntl Parcel'!U28</f>
        <v>0</v>
      </c>
      <c r="T478" s="358">
        <f>'ExIntl Parcel'!V28</f>
        <v>4.45</v>
      </c>
      <c r="U478" s="358">
        <f>'ExIntl Parcel'!W28</f>
        <v>0</v>
      </c>
      <c r="V478" s="365">
        <f>'ExIntl Parcel'!X28</f>
        <v>0</v>
      </c>
      <c r="W478" s="358">
        <f>'ExIntl Parcel'!Y28</f>
        <v>0</v>
      </c>
      <c r="X478" s="358">
        <f>'ExIntl Parcel'!Z28</f>
        <v>0</v>
      </c>
      <c r="Y478" s="358">
        <f>'ExIntl Parcel'!AA28</f>
        <v>0</v>
      </c>
    </row>
    <row r="479" spans="1:25" x14ac:dyDescent="0.35">
      <c r="A479">
        <v>478</v>
      </c>
      <c r="B479" t="s">
        <v>1350</v>
      </c>
      <c r="C479" t="s">
        <v>953</v>
      </c>
      <c r="D479" t="s">
        <v>14</v>
      </c>
      <c r="E479" t="s">
        <v>959</v>
      </c>
      <c r="F479" t="s">
        <v>961</v>
      </c>
      <c r="G479" s="63" t="s">
        <v>1484</v>
      </c>
      <c r="H479" s="358">
        <v>49</v>
      </c>
      <c r="I479" s="358">
        <v>0.49</v>
      </c>
      <c r="J479" s="357">
        <v>0</v>
      </c>
      <c r="K479" s="358">
        <v>3.0000000000000027E-2</v>
      </c>
      <c r="L479" s="358">
        <v>49</v>
      </c>
      <c r="M479" s="358">
        <v>0.52</v>
      </c>
      <c r="N479" s="361">
        <f>'ExIntl Parcel'!P29</f>
        <v>0</v>
      </c>
      <c r="O479" s="361">
        <f>'ExIntl Parcel'!Q29</f>
        <v>0</v>
      </c>
      <c r="P479" s="358">
        <f>'ExIntl Parcel'!R29</f>
        <v>49</v>
      </c>
      <c r="Q479" s="358">
        <f>'ExIntl Parcel'!S29</f>
        <v>0.52</v>
      </c>
      <c r="R479" s="358">
        <f>'ExIntl Parcel'!T29</f>
        <v>0</v>
      </c>
      <c r="S479" s="358">
        <f>'ExIntl Parcel'!U29</f>
        <v>0</v>
      </c>
      <c r="T479" s="358">
        <f>'ExIntl Parcel'!V29</f>
        <v>49</v>
      </c>
      <c r="U479" s="358">
        <f>'ExIntl Parcel'!W29</f>
        <v>0.52</v>
      </c>
      <c r="V479" s="365">
        <f>'ExIntl Parcel'!X29</f>
        <v>0</v>
      </c>
      <c r="W479" s="358">
        <f>'ExIntl Parcel'!Y29</f>
        <v>0</v>
      </c>
      <c r="X479" s="358">
        <f>'ExIntl Parcel'!Z29</f>
        <v>0</v>
      </c>
      <c r="Y479" s="358">
        <f>'ExIntl Parcel'!AA29</f>
        <v>0</v>
      </c>
    </row>
    <row r="480" spans="1:25" x14ac:dyDescent="0.35">
      <c r="A480">
        <v>479</v>
      </c>
      <c r="B480" t="s">
        <v>1350</v>
      </c>
      <c r="C480" t="s">
        <v>953</v>
      </c>
      <c r="D480" t="s">
        <v>14</v>
      </c>
      <c r="E480" t="s">
        <v>959</v>
      </c>
      <c r="F480" t="s">
        <v>962</v>
      </c>
      <c r="G480" s="63" t="s">
        <v>1485</v>
      </c>
      <c r="H480" s="358">
        <v>64</v>
      </c>
      <c r="I480" s="358">
        <v>0.64</v>
      </c>
      <c r="J480" s="357">
        <v>4</v>
      </c>
      <c r="K480" s="358">
        <v>4.0000000000000036E-2</v>
      </c>
      <c r="L480" s="358">
        <v>68</v>
      </c>
      <c r="M480" s="358">
        <v>0.68</v>
      </c>
      <c r="N480" s="361">
        <f>'ExIntl Parcel'!P30</f>
        <v>0</v>
      </c>
      <c r="O480" s="361">
        <f>'ExIntl Parcel'!Q30</f>
        <v>0</v>
      </c>
      <c r="P480" s="358">
        <f>'ExIntl Parcel'!R30</f>
        <v>68</v>
      </c>
      <c r="Q480" s="358">
        <f>'ExIntl Parcel'!S30</f>
        <v>0.68</v>
      </c>
      <c r="R480" s="358">
        <f>'ExIntl Parcel'!T30</f>
        <v>0</v>
      </c>
      <c r="S480" s="358">
        <f>'ExIntl Parcel'!U30</f>
        <v>0</v>
      </c>
      <c r="T480" s="358">
        <f>'ExIntl Parcel'!V30</f>
        <v>68</v>
      </c>
      <c r="U480" s="358">
        <f>'ExIntl Parcel'!W30</f>
        <v>0.68</v>
      </c>
      <c r="V480" s="365">
        <f>'ExIntl Parcel'!X30</f>
        <v>0</v>
      </c>
      <c r="W480" s="358">
        <f>'ExIntl Parcel'!Y30</f>
        <v>0</v>
      </c>
      <c r="X480" s="358">
        <f>'ExIntl Parcel'!Z30</f>
        <v>0</v>
      </c>
      <c r="Y480" s="358">
        <f>'ExIntl Parcel'!AA30</f>
        <v>0</v>
      </c>
    </row>
    <row r="481" spans="1:25" x14ac:dyDescent="0.35">
      <c r="A481">
        <v>480</v>
      </c>
      <c r="B481" t="s">
        <v>1350</v>
      </c>
      <c r="C481" t="s">
        <v>953</v>
      </c>
      <c r="D481" t="s">
        <v>14</v>
      </c>
      <c r="E481" t="s">
        <v>1514</v>
      </c>
      <c r="F481" t="s">
        <v>1193</v>
      </c>
      <c r="G481" s="63" t="s">
        <v>1523</v>
      </c>
      <c r="H481" s="358">
        <v>190</v>
      </c>
      <c r="I481" s="358">
        <v>0</v>
      </c>
      <c r="J481" s="357">
        <v>18</v>
      </c>
      <c r="K481" s="358">
        <v>0</v>
      </c>
      <c r="L481" s="358">
        <v>208</v>
      </c>
      <c r="M481" s="358">
        <v>0</v>
      </c>
      <c r="N481" s="361">
        <f>'ExIntl Parcel'!P31</f>
        <v>0</v>
      </c>
      <c r="O481" s="361">
        <f>'ExIntl Parcel'!Q31</f>
        <v>0</v>
      </c>
      <c r="P481" s="358">
        <f>'ExIntl Parcel'!R31</f>
        <v>208</v>
      </c>
      <c r="Q481" s="358">
        <f>'ExIntl Parcel'!S31</f>
        <v>0</v>
      </c>
      <c r="R481" s="358">
        <f>'ExIntl Parcel'!T31</f>
        <v>0</v>
      </c>
      <c r="S481" s="358">
        <f>'ExIntl Parcel'!U31</f>
        <v>0</v>
      </c>
      <c r="T481" s="358">
        <f>'ExIntl Parcel'!V31</f>
        <v>208</v>
      </c>
      <c r="U481" s="358">
        <f>'ExIntl Parcel'!W31</f>
        <v>0</v>
      </c>
      <c r="V481" s="365">
        <f>'ExIntl Parcel'!X31</f>
        <v>0</v>
      </c>
      <c r="W481" s="358">
        <f>'ExIntl Parcel'!Y31</f>
        <v>0</v>
      </c>
      <c r="X481" s="358">
        <f>'ExIntl Parcel'!Z31</f>
        <v>0</v>
      </c>
      <c r="Y481" s="358">
        <f>'ExIntl Parcel'!AA31</f>
        <v>0</v>
      </c>
    </row>
    <row r="482" spans="1:25" x14ac:dyDescent="0.35">
      <c r="A482">
        <v>481</v>
      </c>
      <c r="B482" t="s">
        <v>1350</v>
      </c>
      <c r="C482" t="s">
        <v>953</v>
      </c>
      <c r="D482" t="s">
        <v>14</v>
      </c>
      <c r="E482" t="s">
        <v>852</v>
      </c>
      <c r="F482" t="s">
        <v>852</v>
      </c>
      <c r="G482" s="63" t="s">
        <v>1486</v>
      </c>
      <c r="H482" s="358">
        <v>24</v>
      </c>
      <c r="I482" s="358">
        <v>0</v>
      </c>
      <c r="J482" s="357">
        <v>1.5</v>
      </c>
      <c r="K482" s="358">
        <v>0</v>
      </c>
      <c r="L482" s="358">
        <v>25.5</v>
      </c>
      <c r="M482" s="358">
        <v>0</v>
      </c>
      <c r="N482" s="361">
        <f>'ExIntl Parcel'!P32</f>
        <v>0</v>
      </c>
      <c r="O482" s="361">
        <f>'ExIntl Parcel'!Q32</f>
        <v>0</v>
      </c>
      <c r="P482" s="358">
        <f>'ExIntl Parcel'!R32</f>
        <v>25.5</v>
      </c>
      <c r="Q482" s="358">
        <f>'ExIntl Parcel'!S32</f>
        <v>0</v>
      </c>
      <c r="R482" s="358">
        <f>'ExIntl Parcel'!T32</f>
        <v>0</v>
      </c>
      <c r="S482" s="358">
        <f>'ExIntl Parcel'!U32</f>
        <v>0</v>
      </c>
      <c r="T482" s="358">
        <f>'ExIntl Parcel'!V32</f>
        <v>25.5</v>
      </c>
      <c r="U482" s="358">
        <f>'ExIntl Parcel'!W32</f>
        <v>0</v>
      </c>
      <c r="V482" s="365">
        <f>'ExIntl Parcel'!X32</f>
        <v>0</v>
      </c>
      <c r="W482" s="358">
        <f>'ExIntl Parcel'!Y32</f>
        <v>0</v>
      </c>
      <c r="X482" s="358">
        <f>'ExIntl Parcel'!Z32</f>
        <v>0</v>
      </c>
      <c r="Y482" s="358">
        <f>'ExIntl Parcel'!AA32</f>
        <v>0</v>
      </c>
    </row>
    <row r="483" spans="1:25" x14ac:dyDescent="0.35">
      <c r="A483">
        <v>482</v>
      </c>
      <c r="B483" t="s">
        <v>1350</v>
      </c>
      <c r="C483" t="s">
        <v>953</v>
      </c>
      <c r="D483" t="s">
        <v>14</v>
      </c>
      <c r="E483" t="s">
        <v>25</v>
      </c>
      <c r="F483" t="s">
        <v>25</v>
      </c>
      <c r="G483" s="63" t="s">
        <v>1487</v>
      </c>
      <c r="H483" s="358">
        <v>6.55</v>
      </c>
      <c r="I483" s="358">
        <v>0</v>
      </c>
      <c r="J483" s="357">
        <v>0.40000000000000036</v>
      </c>
      <c r="K483" s="358">
        <v>0</v>
      </c>
      <c r="L483" s="358">
        <v>6.95</v>
      </c>
      <c r="M483" s="358">
        <v>0</v>
      </c>
      <c r="N483" s="361">
        <f>'ExIntl Parcel'!P33</f>
        <v>0</v>
      </c>
      <c r="O483" s="361">
        <f>'ExIntl Parcel'!Q33</f>
        <v>0</v>
      </c>
      <c r="P483" s="358">
        <f>'ExIntl Parcel'!R33</f>
        <v>6.95</v>
      </c>
      <c r="Q483" s="358">
        <f>'ExIntl Parcel'!S33</f>
        <v>0</v>
      </c>
      <c r="R483" s="358">
        <f>'ExIntl Parcel'!T33</f>
        <v>0</v>
      </c>
      <c r="S483" s="358">
        <f>'ExIntl Parcel'!U33</f>
        <v>0</v>
      </c>
      <c r="T483" s="358">
        <f>'ExIntl Parcel'!V33</f>
        <v>6.95</v>
      </c>
      <c r="U483" s="358">
        <f>'ExIntl Parcel'!W33</f>
        <v>0</v>
      </c>
      <c r="V483" s="365">
        <f>'ExIntl Parcel'!X33</f>
        <v>0</v>
      </c>
      <c r="W483" s="358">
        <f>'ExIntl Parcel'!Y33</f>
        <v>0</v>
      </c>
      <c r="X483" s="358">
        <f>'ExIntl Parcel'!Z33</f>
        <v>0</v>
      </c>
      <c r="Y483" s="358">
        <f>'ExIntl Parcel'!AA33</f>
        <v>0</v>
      </c>
    </row>
    <row r="484" spans="1:25" x14ac:dyDescent="0.35">
      <c r="A484">
        <v>483</v>
      </c>
      <c r="B484" t="s">
        <v>1350</v>
      </c>
      <c r="C484" t="s">
        <v>953</v>
      </c>
      <c r="D484" t="s">
        <v>14</v>
      </c>
      <c r="E484" t="s">
        <v>283</v>
      </c>
      <c r="F484" t="s">
        <v>1003</v>
      </c>
      <c r="G484" s="63" t="s">
        <v>1488</v>
      </c>
      <c r="H484" s="358">
        <v>1.05</v>
      </c>
      <c r="I484" s="358">
        <v>0</v>
      </c>
      <c r="J484" s="357">
        <v>0</v>
      </c>
      <c r="K484" s="358">
        <v>0</v>
      </c>
      <c r="L484" s="358">
        <v>1.05</v>
      </c>
      <c r="M484" s="358">
        <v>0</v>
      </c>
      <c r="N484" s="361">
        <f>'ExIntl Parcel'!P36</f>
        <v>0</v>
      </c>
      <c r="O484" s="361">
        <f>'ExIntl Parcel'!Q36</f>
        <v>0</v>
      </c>
      <c r="P484" s="358">
        <f>'ExIntl Parcel'!R36</f>
        <v>1.05</v>
      </c>
      <c r="Q484" s="358">
        <f>'ExIntl Parcel'!S36</f>
        <v>0</v>
      </c>
      <c r="R484" s="358">
        <f>'ExIntl Parcel'!T36</f>
        <v>0</v>
      </c>
      <c r="S484" s="358">
        <f>'ExIntl Parcel'!U36</f>
        <v>0</v>
      </c>
      <c r="T484" s="358">
        <f>'ExIntl Parcel'!V36</f>
        <v>1.05</v>
      </c>
      <c r="U484" s="358">
        <f>'ExIntl Parcel'!W36</f>
        <v>0</v>
      </c>
      <c r="V484" s="365">
        <f>'ExIntl Parcel'!X36</f>
        <v>0</v>
      </c>
      <c r="W484" s="358">
        <f>'ExIntl Parcel'!Y36</f>
        <v>0</v>
      </c>
      <c r="X484" s="358">
        <f>'ExIntl Parcel'!Z36</f>
        <v>0</v>
      </c>
      <c r="Y484" s="358">
        <f>'ExIntl Parcel'!AA36</f>
        <v>0</v>
      </c>
    </row>
    <row r="485" spans="1:25" x14ac:dyDescent="0.35">
      <c r="A485">
        <v>484</v>
      </c>
      <c r="B485" t="s">
        <v>1350</v>
      </c>
      <c r="C485" t="s">
        <v>953</v>
      </c>
      <c r="D485" t="s">
        <v>14</v>
      </c>
      <c r="E485" t="s">
        <v>283</v>
      </c>
      <c r="F485" t="s">
        <v>1005</v>
      </c>
      <c r="G485" s="63" t="s">
        <v>1489</v>
      </c>
      <c r="H485" s="358">
        <v>1.05</v>
      </c>
      <c r="I485" s="358">
        <v>0</v>
      </c>
      <c r="J485" s="357">
        <v>0</v>
      </c>
      <c r="K485" s="358">
        <v>0</v>
      </c>
      <c r="L485" s="358">
        <v>1.05</v>
      </c>
      <c r="M485" s="358">
        <v>0</v>
      </c>
      <c r="N485" s="361">
        <f>'ExIntl Parcel'!P37</f>
        <v>0</v>
      </c>
      <c r="O485" s="361">
        <f>'ExIntl Parcel'!Q37</f>
        <v>0</v>
      </c>
      <c r="P485" s="358">
        <f>'ExIntl Parcel'!R37</f>
        <v>1.05</v>
      </c>
      <c r="Q485" s="358">
        <f>'ExIntl Parcel'!S37</f>
        <v>0</v>
      </c>
      <c r="R485" s="358">
        <f>'ExIntl Parcel'!T37</f>
        <v>0</v>
      </c>
      <c r="S485" s="358">
        <f>'ExIntl Parcel'!U37</f>
        <v>0</v>
      </c>
      <c r="T485" s="358">
        <f>'ExIntl Parcel'!V37</f>
        <v>1.05</v>
      </c>
      <c r="U485" s="358">
        <f>'ExIntl Parcel'!W37</f>
        <v>0</v>
      </c>
      <c r="V485" s="365">
        <f>'ExIntl Parcel'!X37</f>
        <v>0</v>
      </c>
      <c r="W485" s="358">
        <f>'ExIntl Parcel'!Y37</f>
        <v>0</v>
      </c>
      <c r="X485" s="358">
        <f>'ExIntl Parcel'!Z37</f>
        <v>0</v>
      </c>
      <c r="Y485" s="358">
        <f>'ExIntl Parcel'!AA37</f>
        <v>0</v>
      </c>
    </row>
    <row r="486" spans="1:25" x14ac:dyDescent="0.35">
      <c r="A486">
        <v>485</v>
      </c>
      <c r="B486" t="s">
        <v>1350</v>
      </c>
      <c r="C486" t="s">
        <v>953</v>
      </c>
      <c r="D486" t="s">
        <v>14</v>
      </c>
      <c r="E486" t="s">
        <v>46</v>
      </c>
      <c r="F486" t="s">
        <v>46</v>
      </c>
      <c r="G486" s="63" t="s">
        <v>1490</v>
      </c>
      <c r="H486" s="358">
        <v>16</v>
      </c>
      <c r="I486" s="358">
        <v>0</v>
      </c>
      <c r="J486" s="357">
        <v>0</v>
      </c>
      <c r="K486" s="358">
        <v>0</v>
      </c>
      <c r="L486" s="358">
        <v>16</v>
      </c>
      <c r="M486" s="358">
        <v>0</v>
      </c>
      <c r="N486" s="361">
        <f>'ExIntl Parcel'!P38</f>
        <v>0</v>
      </c>
      <c r="O486" s="361">
        <f>'ExIntl Parcel'!Q38</f>
        <v>0</v>
      </c>
      <c r="P486" s="358">
        <f>'ExIntl Parcel'!R38</f>
        <v>16</v>
      </c>
      <c r="Q486" s="358">
        <f>'ExIntl Parcel'!S38</f>
        <v>0</v>
      </c>
      <c r="R486" s="358">
        <f>'ExIntl Parcel'!T38</f>
        <v>0</v>
      </c>
      <c r="S486" s="358">
        <f>'ExIntl Parcel'!U38</f>
        <v>0</v>
      </c>
      <c r="T486" s="358">
        <f>'ExIntl Parcel'!V38</f>
        <v>16</v>
      </c>
      <c r="U486" s="358">
        <f>'ExIntl Parcel'!W38</f>
        <v>0</v>
      </c>
      <c r="V486" s="365">
        <f>'ExIntl Parcel'!X38</f>
        <v>0</v>
      </c>
      <c r="W486" s="358">
        <f>'ExIntl Parcel'!Y38</f>
        <v>0</v>
      </c>
      <c r="X486" s="358">
        <f>'ExIntl Parcel'!Z38</f>
        <v>0</v>
      </c>
      <c r="Y486" s="358">
        <f>'ExIntl Parcel'!AA38</f>
        <v>0</v>
      </c>
    </row>
    <row r="487" spans="1:25" x14ac:dyDescent="0.35">
      <c r="A487">
        <v>486</v>
      </c>
      <c r="B487" t="s">
        <v>1350</v>
      </c>
      <c r="C487" t="s">
        <v>953</v>
      </c>
      <c r="D487" t="s">
        <v>14</v>
      </c>
      <c r="E487" t="s">
        <v>24</v>
      </c>
      <c r="F487" t="s">
        <v>24</v>
      </c>
      <c r="G487" s="63" t="s">
        <v>1491</v>
      </c>
      <c r="H487" s="358">
        <v>16</v>
      </c>
      <c r="I487" s="358">
        <v>0</v>
      </c>
      <c r="J487" s="357">
        <v>0</v>
      </c>
      <c r="K487" s="358">
        <v>0</v>
      </c>
      <c r="L487" s="358">
        <v>16</v>
      </c>
      <c r="M487" s="358">
        <v>0</v>
      </c>
      <c r="N487" s="361">
        <f>'ExIntl Parcel'!P39</f>
        <v>0</v>
      </c>
      <c r="O487" s="361">
        <f>'ExIntl Parcel'!Q39</f>
        <v>0</v>
      </c>
      <c r="P487" s="358">
        <f>'ExIntl Parcel'!R39</f>
        <v>16</v>
      </c>
      <c r="Q487" s="358">
        <f>'ExIntl Parcel'!S39</f>
        <v>0</v>
      </c>
      <c r="R487" s="358">
        <f>'ExIntl Parcel'!T39</f>
        <v>0</v>
      </c>
      <c r="S487" s="358">
        <f>'ExIntl Parcel'!U39</f>
        <v>0</v>
      </c>
      <c r="T487" s="358">
        <f>'ExIntl Parcel'!V39</f>
        <v>16</v>
      </c>
      <c r="U487" s="358">
        <f>'ExIntl Parcel'!W39</f>
        <v>0</v>
      </c>
      <c r="V487" s="365">
        <f>'ExIntl Parcel'!X39</f>
        <v>0</v>
      </c>
      <c r="W487" s="358">
        <f>'ExIntl Parcel'!Y39</f>
        <v>0</v>
      </c>
      <c r="X487" s="358">
        <f>'ExIntl Parcel'!Z39</f>
        <v>0</v>
      </c>
      <c r="Y487" s="358">
        <f>'ExIntl Parcel'!AA39</f>
        <v>0</v>
      </c>
    </row>
    <row r="488" spans="1:25" x14ac:dyDescent="0.35">
      <c r="A488">
        <v>487</v>
      </c>
      <c r="B488" t="s">
        <v>1351</v>
      </c>
      <c r="C488" t="s">
        <v>953</v>
      </c>
      <c r="D488" t="s">
        <v>14</v>
      </c>
      <c r="E488" t="s">
        <v>66</v>
      </c>
      <c r="F488" t="s">
        <v>290</v>
      </c>
      <c r="G488" s="63" t="s">
        <v>1466</v>
      </c>
      <c r="H488" s="358">
        <v>27</v>
      </c>
      <c r="I488" s="358">
        <v>0</v>
      </c>
      <c r="J488" s="357">
        <v>2.5</v>
      </c>
      <c r="K488" s="358">
        <v>0</v>
      </c>
      <c r="L488" s="358">
        <v>29.5</v>
      </c>
      <c r="M488" s="358">
        <v>0</v>
      </c>
      <c r="N488" s="361">
        <f>'ExIntl Parcel'!AB6</f>
        <v>0</v>
      </c>
      <c r="O488" s="361">
        <f>'ExIntl Parcel'!AC6</f>
        <v>0</v>
      </c>
      <c r="P488" s="358">
        <f>'ExIntl Parcel'!AD6</f>
        <v>29.5</v>
      </c>
      <c r="Q488" s="358">
        <f>'ExIntl Parcel'!AE6</f>
        <v>0</v>
      </c>
      <c r="R488" s="358">
        <f>'ExIntl Parcel'!AF6</f>
        <v>0</v>
      </c>
      <c r="S488" s="358">
        <f>'ExIntl Parcel'!AG6</f>
        <v>0</v>
      </c>
      <c r="T488" s="358">
        <f>'ExIntl Parcel'!AH6</f>
        <v>29.5</v>
      </c>
      <c r="U488" s="358">
        <f>'ExIntl Parcel'!AI6</f>
        <v>0</v>
      </c>
      <c r="V488" s="365">
        <f>'ExIntl Parcel'!AJ6</f>
        <v>0</v>
      </c>
      <c r="W488" s="358">
        <f>'ExIntl Parcel'!AK6</f>
        <v>0</v>
      </c>
      <c r="X488" s="358">
        <f>'ExIntl Parcel'!AL6</f>
        <v>0</v>
      </c>
      <c r="Y488" s="358">
        <f>'ExIntl Parcel'!AM6</f>
        <v>0</v>
      </c>
    </row>
    <row r="489" spans="1:25" x14ac:dyDescent="0.35">
      <c r="A489">
        <v>488</v>
      </c>
      <c r="B489" t="s">
        <v>1351</v>
      </c>
      <c r="C489" t="s">
        <v>953</v>
      </c>
      <c r="D489" t="s">
        <v>14</v>
      </c>
      <c r="E489" t="s">
        <v>66</v>
      </c>
      <c r="F489" t="s">
        <v>68</v>
      </c>
      <c r="G489" s="63" t="s">
        <v>1467</v>
      </c>
      <c r="H489" s="358">
        <v>27</v>
      </c>
      <c r="I489" s="358">
        <v>0</v>
      </c>
      <c r="J489" s="357">
        <v>2.5</v>
      </c>
      <c r="K489" s="358">
        <v>0</v>
      </c>
      <c r="L489" s="358">
        <v>29.5</v>
      </c>
      <c r="M489" s="358">
        <v>0</v>
      </c>
      <c r="N489" s="361">
        <f>'ExIntl Parcel'!AB7</f>
        <v>0</v>
      </c>
      <c r="O489" s="361">
        <f>'ExIntl Parcel'!AC7</f>
        <v>0</v>
      </c>
      <c r="P489" s="358">
        <f>'ExIntl Parcel'!AD7</f>
        <v>29.5</v>
      </c>
      <c r="Q489" s="358">
        <f>'ExIntl Parcel'!AE7</f>
        <v>0</v>
      </c>
      <c r="R489" s="358">
        <f>'ExIntl Parcel'!AF7</f>
        <v>0</v>
      </c>
      <c r="S489" s="358">
        <f>'ExIntl Parcel'!AG7</f>
        <v>0</v>
      </c>
      <c r="T489" s="358">
        <f>'ExIntl Parcel'!AH7</f>
        <v>29.5</v>
      </c>
      <c r="U489" s="358">
        <f>'ExIntl Parcel'!AI7</f>
        <v>0</v>
      </c>
      <c r="V489" s="365">
        <f>'ExIntl Parcel'!AJ7</f>
        <v>0</v>
      </c>
      <c r="W489" s="358">
        <f>'ExIntl Parcel'!AK7</f>
        <v>0</v>
      </c>
      <c r="X489" s="358">
        <f>'ExIntl Parcel'!AL7</f>
        <v>0</v>
      </c>
      <c r="Y489" s="358">
        <f>'ExIntl Parcel'!AM7</f>
        <v>0</v>
      </c>
    </row>
    <row r="490" spans="1:25" x14ac:dyDescent="0.35">
      <c r="A490">
        <v>489</v>
      </c>
      <c r="B490" t="s">
        <v>1351</v>
      </c>
      <c r="C490" t="s">
        <v>953</v>
      </c>
      <c r="D490" t="s">
        <v>14</v>
      </c>
      <c r="E490" t="s">
        <v>66</v>
      </c>
      <c r="F490" t="s">
        <v>67</v>
      </c>
      <c r="G490" s="63" t="s">
        <v>1468</v>
      </c>
      <c r="H490" s="358">
        <v>38</v>
      </c>
      <c r="I490" s="358">
        <v>0</v>
      </c>
      <c r="J490" s="357">
        <v>2</v>
      </c>
      <c r="K490" s="358">
        <v>0</v>
      </c>
      <c r="L490" s="358">
        <v>40</v>
      </c>
      <c r="M490" s="358">
        <v>0</v>
      </c>
      <c r="N490" s="361">
        <f>'ExIntl Parcel'!AB8</f>
        <v>0</v>
      </c>
      <c r="O490" s="361">
        <f>'ExIntl Parcel'!AC8</f>
        <v>0</v>
      </c>
      <c r="P490" s="358">
        <f>'ExIntl Parcel'!AD8</f>
        <v>40</v>
      </c>
      <c r="Q490" s="358">
        <f>'ExIntl Parcel'!AE8</f>
        <v>0</v>
      </c>
      <c r="R490" s="358">
        <f>'ExIntl Parcel'!AF8</f>
        <v>0</v>
      </c>
      <c r="S490" s="358">
        <f>'ExIntl Parcel'!AG8</f>
        <v>0</v>
      </c>
      <c r="T490" s="358">
        <f>'ExIntl Parcel'!AH8</f>
        <v>40</v>
      </c>
      <c r="U490" s="358">
        <f>'ExIntl Parcel'!AI8</f>
        <v>0</v>
      </c>
      <c r="V490" s="365">
        <f>'ExIntl Parcel'!AJ8</f>
        <v>0</v>
      </c>
      <c r="W490" s="358">
        <f>'ExIntl Parcel'!AK8</f>
        <v>0</v>
      </c>
      <c r="X490" s="358">
        <f>'ExIntl Parcel'!AL8</f>
        <v>0</v>
      </c>
      <c r="Y490" s="358">
        <f>'ExIntl Parcel'!AM8</f>
        <v>0</v>
      </c>
    </row>
    <row r="491" spans="1:25" x14ac:dyDescent="0.35">
      <c r="A491">
        <v>490</v>
      </c>
      <c r="B491" t="s">
        <v>1351</v>
      </c>
      <c r="C491" t="s">
        <v>953</v>
      </c>
      <c r="D491" t="s">
        <v>14</v>
      </c>
      <c r="E491" t="s">
        <v>31</v>
      </c>
      <c r="F491" t="s">
        <v>31</v>
      </c>
      <c r="G491" s="63" t="s">
        <v>1469</v>
      </c>
      <c r="H491" s="358">
        <v>24</v>
      </c>
      <c r="I491" s="358">
        <v>0</v>
      </c>
      <c r="J491" s="357">
        <v>1.5</v>
      </c>
      <c r="K491" s="358">
        <v>0</v>
      </c>
      <c r="L491" s="358">
        <v>25.5</v>
      </c>
      <c r="M491" s="358">
        <v>0</v>
      </c>
      <c r="N491" s="361">
        <f>'ExIntl Parcel'!AB9</f>
        <v>0</v>
      </c>
      <c r="O491" s="361">
        <f>'ExIntl Parcel'!AC9</f>
        <v>0</v>
      </c>
      <c r="P491" s="358">
        <f>'ExIntl Parcel'!AD9</f>
        <v>25.5</v>
      </c>
      <c r="Q491" s="358">
        <f>'ExIntl Parcel'!AE9</f>
        <v>0</v>
      </c>
      <c r="R491" s="358">
        <f>'ExIntl Parcel'!AF9</f>
        <v>0</v>
      </c>
      <c r="S491" s="358">
        <f>'ExIntl Parcel'!AG9</f>
        <v>0</v>
      </c>
      <c r="T491" s="358">
        <f>'ExIntl Parcel'!AH9</f>
        <v>25.5</v>
      </c>
      <c r="U491" s="358">
        <f>'ExIntl Parcel'!AI9</f>
        <v>0</v>
      </c>
      <c r="V491" s="365">
        <f>'ExIntl Parcel'!AJ9</f>
        <v>0</v>
      </c>
      <c r="W491" s="358">
        <f>'ExIntl Parcel'!AK9</f>
        <v>0</v>
      </c>
      <c r="X491" s="358">
        <f>'ExIntl Parcel'!AL9</f>
        <v>0</v>
      </c>
      <c r="Y491" s="358">
        <f>'ExIntl Parcel'!AM9</f>
        <v>0</v>
      </c>
    </row>
    <row r="492" spans="1:25" x14ac:dyDescent="0.35">
      <c r="A492">
        <v>491</v>
      </c>
      <c r="B492" t="s">
        <v>1351</v>
      </c>
      <c r="C492" t="s">
        <v>953</v>
      </c>
      <c r="D492" t="s">
        <v>14</v>
      </c>
      <c r="E492" t="s">
        <v>51</v>
      </c>
      <c r="F492" t="s">
        <v>876</v>
      </c>
      <c r="G492" s="63" t="s">
        <v>1470</v>
      </c>
      <c r="H492" s="358">
        <v>240</v>
      </c>
      <c r="I492" s="358">
        <v>1.4</v>
      </c>
      <c r="J492" s="357">
        <v>0</v>
      </c>
      <c r="K492" s="358">
        <v>8.0000000000000071E-2</v>
      </c>
      <c r="L492" s="358">
        <v>240</v>
      </c>
      <c r="M492" s="358">
        <v>1.48</v>
      </c>
      <c r="N492" s="361">
        <f>'ExIntl Parcel'!AB11</f>
        <v>0</v>
      </c>
      <c r="O492" s="361">
        <f>'ExIntl Parcel'!AC11</f>
        <v>0</v>
      </c>
      <c r="P492" s="358">
        <f>'ExIntl Parcel'!AD11</f>
        <v>240</v>
      </c>
      <c r="Q492" s="358">
        <f>'ExIntl Parcel'!AE11</f>
        <v>1.48</v>
      </c>
      <c r="R492" s="358">
        <f>'ExIntl Parcel'!AF11</f>
        <v>0</v>
      </c>
      <c r="S492" s="358">
        <f>'ExIntl Parcel'!AG11</f>
        <v>0</v>
      </c>
      <c r="T492" s="358">
        <f>'ExIntl Parcel'!AH11</f>
        <v>240</v>
      </c>
      <c r="U492" s="358">
        <f>'ExIntl Parcel'!AI11</f>
        <v>1.48</v>
      </c>
      <c r="V492" s="365">
        <f>'ExIntl Parcel'!AJ11</f>
        <v>0</v>
      </c>
      <c r="W492" s="358">
        <f>'ExIntl Parcel'!AK11</f>
        <v>0</v>
      </c>
      <c r="X492" s="358">
        <f>'ExIntl Parcel'!AL11</f>
        <v>0</v>
      </c>
      <c r="Y492" s="358">
        <f>'ExIntl Parcel'!AM11</f>
        <v>0</v>
      </c>
    </row>
    <row r="493" spans="1:25" x14ac:dyDescent="0.35">
      <c r="A493">
        <v>492</v>
      </c>
      <c r="B493" t="s">
        <v>1351</v>
      </c>
      <c r="C493" t="s">
        <v>953</v>
      </c>
      <c r="D493" t="s">
        <v>14</v>
      </c>
      <c r="E493" t="s">
        <v>51</v>
      </c>
      <c r="F493" t="s">
        <v>877</v>
      </c>
      <c r="G493" s="63" t="s">
        <v>1471</v>
      </c>
      <c r="H493" s="358">
        <v>115</v>
      </c>
      <c r="I493" s="358">
        <v>0.67</v>
      </c>
      <c r="J493" s="357">
        <v>0</v>
      </c>
      <c r="K493" s="358">
        <v>3.9999999999999925E-2</v>
      </c>
      <c r="L493" s="358">
        <v>115</v>
      </c>
      <c r="M493" s="358">
        <v>0.71</v>
      </c>
      <c r="N493" s="361">
        <f>'ExIntl Parcel'!AB12</f>
        <v>0</v>
      </c>
      <c r="O493" s="361">
        <f>'ExIntl Parcel'!AC12</f>
        <v>0</v>
      </c>
      <c r="P493" s="358">
        <f>'ExIntl Parcel'!AD12</f>
        <v>115</v>
      </c>
      <c r="Q493" s="358">
        <f>'ExIntl Parcel'!AE12</f>
        <v>0.71</v>
      </c>
      <c r="R493" s="358">
        <f>'ExIntl Parcel'!AF12</f>
        <v>0</v>
      </c>
      <c r="S493" s="358">
        <f>'ExIntl Parcel'!AG12</f>
        <v>0</v>
      </c>
      <c r="T493" s="358">
        <f>'ExIntl Parcel'!AH12</f>
        <v>115</v>
      </c>
      <c r="U493" s="358">
        <f>'ExIntl Parcel'!AI12</f>
        <v>0.71</v>
      </c>
      <c r="V493" s="365">
        <f>'ExIntl Parcel'!AJ12</f>
        <v>0</v>
      </c>
      <c r="W493" s="358">
        <f>'ExIntl Parcel'!AK12</f>
        <v>0</v>
      </c>
      <c r="X493" s="358">
        <f>'ExIntl Parcel'!AL12</f>
        <v>0</v>
      </c>
      <c r="Y493" s="358">
        <f>'ExIntl Parcel'!AM12</f>
        <v>0</v>
      </c>
    </row>
    <row r="494" spans="1:25" x14ac:dyDescent="0.35">
      <c r="A494">
        <v>493</v>
      </c>
      <c r="B494" t="s">
        <v>1351</v>
      </c>
      <c r="C494" t="s">
        <v>953</v>
      </c>
      <c r="D494" t="s">
        <v>14</v>
      </c>
      <c r="E494" t="s">
        <v>51</v>
      </c>
      <c r="F494" t="s">
        <v>878</v>
      </c>
      <c r="G494" s="63" t="s">
        <v>1472</v>
      </c>
      <c r="H494" s="358">
        <v>8</v>
      </c>
      <c r="I494" s="358">
        <v>0</v>
      </c>
      <c r="J494" s="357">
        <v>0.5</v>
      </c>
      <c r="K494" s="358">
        <v>0</v>
      </c>
      <c r="L494" s="358">
        <v>8.5</v>
      </c>
      <c r="M494" s="358">
        <v>0</v>
      </c>
      <c r="N494" s="361">
        <f>'ExIntl Parcel'!AB13</f>
        <v>0</v>
      </c>
      <c r="O494" s="361">
        <f>'ExIntl Parcel'!AC13</f>
        <v>0</v>
      </c>
      <c r="P494" s="358">
        <f>'ExIntl Parcel'!AD13</f>
        <v>8.5</v>
      </c>
      <c r="Q494" s="358">
        <f>'ExIntl Parcel'!AE13</f>
        <v>0</v>
      </c>
      <c r="R494" s="358">
        <f>'ExIntl Parcel'!AF13</f>
        <v>0</v>
      </c>
      <c r="S494" s="358">
        <f>'ExIntl Parcel'!AG13</f>
        <v>0</v>
      </c>
      <c r="T494" s="358">
        <f>'ExIntl Parcel'!AH13</f>
        <v>8.5</v>
      </c>
      <c r="U494" s="358">
        <f>'ExIntl Parcel'!AI13</f>
        <v>0</v>
      </c>
      <c r="V494" s="365">
        <f>'ExIntl Parcel'!AJ13</f>
        <v>0</v>
      </c>
      <c r="W494" s="358">
        <f>'ExIntl Parcel'!AK13</f>
        <v>0</v>
      </c>
      <c r="X494" s="358">
        <f>'ExIntl Parcel'!AL13</f>
        <v>0</v>
      </c>
      <c r="Y494" s="358">
        <f>'ExIntl Parcel'!AM13</f>
        <v>0</v>
      </c>
    </row>
    <row r="495" spans="1:25" x14ac:dyDescent="0.35">
      <c r="A495">
        <v>494</v>
      </c>
      <c r="B495" t="s">
        <v>1351</v>
      </c>
      <c r="C495" t="s">
        <v>953</v>
      </c>
      <c r="D495" t="s">
        <v>14</v>
      </c>
      <c r="E495" t="s">
        <v>28</v>
      </c>
      <c r="F495" t="s">
        <v>28</v>
      </c>
      <c r="G495" s="63" t="s">
        <v>1473</v>
      </c>
      <c r="H495" s="358">
        <v>1.5</v>
      </c>
      <c r="I495" s="358">
        <v>9.07</v>
      </c>
      <c r="J495" s="357">
        <v>0.14999999999999991</v>
      </c>
      <c r="K495" s="358">
        <v>0</v>
      </c>
      <c r="L495" s="358">
        <v>1.65</v>
      </c>
      <c r="M495" s="358">
        <v>9.07</v>
      </c>
      <c r="N495" s="361">
        <f>'ExIntl Parcel'!AB14</f>
        <v>0</v>
      </c>
      <c r="O495" s="361">
        <f>'ExIntl Parcel'!AC14</f>
        <v>0</v>
      </c>
      <c r="P495" s="358">
        <f>'ExIntl Parcel'!AD14</f>
        <v>1.65</v>
      </c>
      <c r="Q495" s="358">
        <f>'ExIntl Parcel'!AE14</f>
        <v>9.07</v>
      </c>
      <c r="R495" s="358">
        <f>'ExIntl Parcel'!AF14</f>
        <v>0</v>
      </c>
      <c r="S495" s="358">
        <f>'ExIntl Parcel'!AG14</f>
        <v>0</v>
      </c>
      <c r="T495" s="358">
        <f>'ExIntl Parcel'!AH14</f>
        <v>1.65</v>
      </c>
      <c r="U495" s="358">
        <f>'ExIntl Parcel'!AI14</f>
        <v>9.07</v>
      </c>
      <c r="V495" s="365">
        <f>'ExIntl Parcel'!AJ14</f>
        <v>0</v>
      </c>
    </row>
    <row r="496" spans="1:25" x14ac:dyDescent="0.35">
      <c r="A496">
        <v>495</v>
      </c>
      <c r="B496" t="s">
        <v>1351</v>
      </c>
      <c r="C496" t="s">
        <v>953</v>
      </c>
      <c r="D496" t="s">
        <v>14</v>
      </c>
      <c r="E496" t="s">
        <v>286</v>
      </c>
      <c r="F496" t="s">
        <v>288</v>
      </c>
      <c r="G496" s="63" t="s">
        <v>1474</v>
      </c>
      <c r="H496" s="358">
        <v>8.65</v>
      </c>
      <c r="I496" s="358">
        <v>0</v>
      </c>
      <c r="J496" s="357">
        <v>1.3499999999999996</v>
      </c>
      <c r="K496" s="358">
        <v>0</v>
      </c>
      <c r="L496" s="358">
        <v>10</v>
      </c>
      <c r="M496" s="358">
        <v>0</v>
      </c>
      <c r="N496" s="361">
        <f>'ExIntl Parcel'!AB16</f>
        <v>0</v>
      </c>
      <c r="O496" s="361">
        <f>'ExIntl Parcel'!AC16</f>
        <v>0</v>
      </c>
      <c r="P496" s="358">
        <f>'ExIntl Parcel'!AD16</f>
        <v>10</v>
      </c>
      <c r="Q496" s="358">
        <f>'ExIntl Parcel'!AE16</f>
        <v>0</v>
      </c>
      <c r="R496" s="358">
        <f>'ExIntl Parcel'!AF16</f>
        <v>0</v>
      </c>
      <c r="S496" s="358">
        <f>'ExIntl Parcel'!AG16</f>
        <v>0</v>
      </c>
      <c r="T496" s="358">
        <f>'ExIntl Parcel'!AH16</f>
        <v>10</v>
      </c>
      <c r="U496" s="358">
        <f>'ExIntl Parcel'!AI16</f>
        <v>0</v>
      </c>
      <c r="V496" s="365">
        <f>'ExIntl Parcel'!AJ16</f>
        <v>0</v>
      </c>
      <c r="W496" s="358">
        <f>'ExIntl Parcel'!AK16</f>
        <v>0</v>
      </c>
      <c r="X496" s="358">
        <f>'ExIntl Parcel'!AL16</f>
        <v>0</v>
      </c>
      <c r="Y496" s="358">
        <f>'ExIntl Parcel'!AM16</f>
        <v>0</v>
      </c>
    </row>
    <row r="497" spans="1:25" x14ac:dyDescent="0.35">
      <c r="A497">
        <v>496</v>
      </c>
      <c r="B497" t="s">
        <v>1351</v>
      </c>
      <c r="C497" t="s">
        <v>953</v>
      </c>
      <c r="D497" t="s">
        <v>14</v>
      </c>
      <c r="E497" t="s">
        <v>286</v>
      </c>
      <c r="F497" t="s">
        <v>285</v>
      </c>
      <c r="G497" s="63" t="s">
        <v>1475</v>
      </c>
      <c r="H497" s="358">
        <v>7.15</v>
      </c>
      <c r="I497" s="358">
        <v>0</v>
      </c>
      <c r="J497" s="357">
        <v>0.44999999999999929</v>
      </c>
      <c r="K497" s="358">
        <v>0</v>
      </c>
      <c r="L497" s="358">
        <v>7.6</v>
      </c>
      <c r="M497" s="358">
        <v>0</v>
      </c>
      <c r="N497" s="361">
        <f>'ExIntl Parcel'!AB17</f>
        <v>0</v>
      </c>
      <c r="O497" s="361">
        <f>'ExIntl Parcel'!AC17</f>
        <v>0</v>
      </c>
      <c r="P497" s="358">
        <f>'ExIntl Parcel'!AD17</f>
        <v>7.6</v>
      </c>
      <c r="Q497" s="358">
        <f>'ExIntl Parcel'!AE17</f>
        <v>0</v>
      </c>
      <c r="R497" s="358">
        <f>'ExIntl Parcel'!AF17</f>
        <v>0</v>
      </c>
      <c r="S497" s="358">
        <f>'ExIntl Parcel'!AG17</f>
        <v>0</v>
      </c>
      <c r="T497" s="358">
        <f>'ExIntl Parcel'!AH17</f>
        <v>7.6</v>
      </c>
      <c r="U497" s="358">
        <f>'ExIntl Parcel'!AI17</f>
        <v>0</v>
      </c>
      <c r="V497" s="365">
        <f>'ExIntl Parcel'!AJ17</f>
        <v>0</v>
      </c>
      <c r="W497" s="358">
        <f>'ExIntl Parcel'!AK17</f>
        <v>0</v>
      </c>
      <c r="X497" s="358">
        <f>'ExIntl Parcel'!AL17</f>
        <v>0</v>
      </c>
      <c r="Y497" s="358">
        <f>'ExIntl Parcel'!AM17</f>
        <v>0</v>
      </c>
    </row>
    <row r="498" spans="1:25" x14ac:dyDescent="0.35">
      <c r="A498">
        <v>497</v>
      </c>
      <c r="B498" t="s">
        <v>1351</v>
      </c>
      <c r="C498" t="s">
        <v>953</v>
      </c>
      <c r="D498" t="s">
        <v>14</v>
      </c>
      <c r="E498" t="s">
        <v>286</v>
      </c>
      <c r="F498" t="s">
        <v>287</v>
      </c>
      <c r="G498" s="63" t="s">
        <v>1476</v>
      </c>
      <c r="H498" s="358">
        <v>7.15</v>
      </c>
      <c r="I498" s="358">
        <v>0</v>
      </c>
      <c r="J498" s="357">
        <v>0.44999999999999929</v>
      </c>
      <c r="K498" s="358">
        <v>0</v>
      </c>
      <c r="L498" s="358">
        <v>7.6</v>
      </c>
      <c r="M498" s="358">
        <v>0</v>
      </c>
      <c r="N498" s="361">
        <f>'ExIntl Parcel'!AB18</f>
        <v>0</v>
      </c>
      <c r="O498" s="361">
        <f>'ExIntl Parcel'!AC18</f>
        <v>0</v>
      </c>
      <c r="P498" s="358">
        <f>'ExIntl Parcel'!AD18</f>
        <v>7.6</v>
      </c>
      <c r="Q498" s="358">
        <f>'ExIntl Parcel'!AE18</f>
        <v>0</v>
      </c>
      <c r="R498" s="358">
        <f>'ExIntl Parcel'!AF18</f>
        <v>0</v>
      </c>
      <c r="S498" s="358">
        <f>'ExIntl Parcel'!AG18</f>
        <v>0</v>
      </c>
      <c r="T498" s="358">
        <f>'ExIntl Parcel'!AH18</f>
        <v>7.6</v>
      </c>
      <c r="U498" s="358">
        <f>'ExIntl Parcel'!AI18</f>
        <v>0</v>
      </c>
      <c r="V498" s="365">
        <f>'ExIntl Parcel'!AJ18</f>
        <v>0</v>
      </c>
      <c r="W498" s="358">
        <f>'ExIntl Parcel'!AK18</f>
        <v>0</v>
      </c>
      <c r="X498" s="358">
        <f>'ExIntl Parcel'!AL18</f>
        <v>0</v>
      </c>
      <c r="Y498" s="358">
        <f>'ExIntl Parcel'!AM18</f>
        <v>0</v>
      </c>
    </row>
    <row r="499" spans="1:25" x14ac:dyDescent="0.35">
      <c r="A499">
        <v>498</v>
      </c>
      <c r="B499" t="s">
        <v>1351</v>
      </c>
      <c r="C499" t="s">
        <v>953</v>
      </c>
      <c r="D499" t="s">
        <v>14</v>
      </c>
      <c r="E499" t="s">
        <v>18</v>
      </c>
      <c r="F499" t="s">
        <v>18</v>
      </c>
      <c r="G499" s="63" t="s">
        <v>1477</v>
      </c>
      <c r="H499" s="358">
        <v>0</v>
      </c>
      <c r="I499" s="358">
        <v>0</v>
      </c>
      <c r="J499" s="357">
        <v>0</v>
      </c>
      <c r="K499" s="358">
        <v>0</v>
      </c>
      <c r="L499" s="358">
        <v>0</v>
      </c>
      <c r="M499" s="358">
        <v>0</v>
      </c>
      <c r="N499" s="361">
        <f>'ExIntl Parcel'!AB19</f>
        <v>0</v>
      </c>
      <c r="O499" s="361">
        <f>'ExIntl Parcel'!AC19</f>
        <v>0</v>
      </c>
      <c r="V499" s="365">
        <f>'ExIntl Parcel'!AJ19</f>
        <v>0</v>
      </c>
    </row>
    <row r="500" spans="1:25" x14ac:dyDescent="0.35">
      <c r="A500">
        <v>499</v>
      </c>
      <c r="B500" t="s">
        <v>1351</v>
      </c>
      <c r="C500" t="s">
        <v>953</v>
      </c>
      <c r="D500" t="s">
        <v>14</v>
      </c>
      <c r="E500" t="s">
        <v>57</v>
      </c>
      <c r="F500" t="s">
        <v>57</v>
      </c>
      <c r="G500" s="63" t="s">
        <v>1478</v>
      </c>
      <c r="H500" s="358">
        <v>24</v>
      </c>
      <c r="I500" s="358">
        <v>0</v>
      </c>
      <c r="J500" s="357">
        <v>1.5</v>
      </c>
      <c r="K500" s="358">
        <v>0</v>
      </c>
      <c r="L500" s="358">
        <v>25.5</v>
      </c>
      <c r="M500" s="358">
        <v>0</v>
      </c>
      <c r="N500" s="361">
        <f>'ExIntl Parcel'!AB20</f>
        <v>0</v>
      </c>
      <c r="O500" s="361">
        <f>'ExIntl Parcel'!AC20</f>
        <v>0</v>
      </c>
      <c r="P500" s="358">
        <f>'ExIntl Parcel'!AD20</f>
        <v>25.5</v>
      </c>
      <c r="Q500" s="358">
        <f>'ExIntl Parcel'!AE20</f>
        <v>0</v>
      </c>
      <c r="R500" s="358">
        <f>'ExIntl Parcel'!AF20</f>
        <v>0</v>
      </c>
      <c r="S500" s="358">
        <f>'ExIntl Parcel'!AG20</f>
        <v>0</v>
      </c>
      <c r="T500" s="358">
        <f>'ExIntl Parcel'!AH20</f>
        <v>25.5</v>
      </c>
      <c r="U500" s="358">
        <f>'ExIntl Parcel'!AI20</f>
        <v>0</v>
      </c>
      <c r="V500" s="365">
        <f>'ExIntl Parcel'!AJ20</f>
        <v>0</v>
      </c>
      <c r="W500" s="358">
        <f>'ExIntl Parcel'!AK20</f>
        <v>0</v>
      </c>
      <c r="X500" s="358">
        <f>'ExIntl Parcel'!AL20</f>
        <v>0</v>
      </c>
      <c r="Y500" s="358">
        <f>'ExIntl Parcel'!AM20</f>
        <v>0</v>
      </c>
    </row>
    <row r="501" spans="1:25" x14ac:dyDescent="0.35">
      <c r="A501">
        <v>500</v>
      </c>
      <c r="B501" t="s">
        <v>1351</v>
      </c>
      <c r="C501" t="s">
        <v>953</v>
      </c>
      <c r="D501" t="s">
        <v>14</v>
      </c>
      <c r="E501" t="s">
        <v>314</v>
      </c>
      <c r="F501" t="s">
        <v>314</v>
      </c>
      <c r="G501" s="63" t="s">
        <v>1479</v>
      </c>
      <c r="H501" s="358">
        <v>170</v>
      </c>
      <c r="I501" s="358">
        <v>3.4</v>
      </c>
      <c r="J501" s="357">
        <v>0</v>
      </c>
      <c r="K501" s="358">
        <v>0</v>
      </c>
      <c r="L501" s="358">
        <v>170</v>
      </c>
      <c r="M501" s="358">
        <v>3.4</v>
      </c>
      <c r="N501" s="361">
        <f>'ExIntl Parcel'!AB22</f>
        <v>0</v>
      </c>
      <c r="O501" s="361">
        <f>'ExIntl Parcel'!AC22</f>
        <v>0</v>
      </c>
      <c r="P501" s="358">
        <f>'ExIntl Parcel'!AD22</f>
        <v>170</v>
      </c>
      <c r="Q501" s="358">
        <f>'ExIntl Parcel'!AE22</f>
        <v>3.4</v>
      </c>
      <c r="R501" s="358">
        <f>'ExIntl Parcel'!AF22</f>
        <v>0</v>
      </c>
      <c r="S501" s="358">
        <f>'ExIntl Parcel'!AG22</f>
        <v>0</v>
      </c>
      <c r="T501" s="358">
        <f>'ExIntl Parcel'!AH22</f>
        <v>170</v>
      </c>
      <c r="U501" s="358">
        <f>'ExIntl Parcel'!AI22</f>
        <v>3.4</v>
      </c>
      <c r="V501" s="365">
        <f>'ExIntl Parcel'!AJ22</f>
        <v>0</v>
      </c>
      <c r="W501" s="358">
        <f>'ExIntl Parcel'!AK22</f>
        <v>0</v>
      </c>
      <c r="X501" s="358">
        <f>'ExIntl Parcel'!AL22</f>
        <v>0</v>
      </c>
      <c r="Y501" s="358">
        <f>'ExIntl Parcel'!AM22</f>
        <v>0</v>
      </c>
    </row>
    <row r="502" spans="1:25" x14ac:dyDescent="0.35">
      <c r="A502">
        <v>501</v>
      </c>
      <c r="B502" t="s">
        <v>1351</v>
      </c>
      <c r="C502" t="s">
        <v>953</v>
      </c>
      <c r="D502" t="s">
        <v>14</v>
      </c>
      <c r="E502" t="s">
        <v>955</v>
      </c>
      <c r="F502" t="s">
        <v>956</v>
      </c>
      <c r="G502" s="63" t="s">
        <v>1480</v>
      </c>
      <c r="H502" s="358">
        <v>4.2</v>
      </c>
      <c r="I502" s="358">
        <v>0</v>
      </c>
      <c r="J502" s="357">
        <v>0.25</v>
      </c>
      <c r="K502" s="358">
        <v>0</v>
      </c>
      <c r="L502" s="358">
        <v>4.45</v>
      </c>
      <c r="M502" s="358">
        <v>0</v>
      </c>
      <c r="N502" s="361">
        <f>'ExIntl Parcel'!AB24</f>
        <v>0</v>
      </c>
      <c r="O502" s="361">
        <f>'ExIntl Parcel'!AC24</f>
        <v>0</v>
      </c>
      <c r="P502" s="358">
        <f>'ExIntl Parcel'!AD24</f>
        <v>4.45</v>
      </c>
      <c r="Q502" s="358">
        <f>'ExIntl Parcel'!AE24</f>
        <v>0</v>
      </c>
      <c r="R502" s="358">
        <f>'ExIntl Parcel'!AF24</f>
        <v>0</v>
      </c>
      <c r="S502" s="358">
        <f>'ExIntl Parcel'!AG24</f>
        <v>0</v>
      </c>
      <c r="T502" s="358">
        <f>'ExIntl Parcel'!AH24</f>
        <v>4.45</v>
      </c>
      <c r="U502" s="358">
        <f>'ExIntl Parcel'!AI24</f>
        <v>0</v>
      </c>
      <c r="V502" s="365">
        <f>'ExIntl Parcel'!AJ24</f>
        <v>0</v>
      </c>
      <c r="W502" s="358">
        <f>'ExIntl Parcel'!AK24</f>
        <v>0</v>
      </c>
      <c r="X502" s="358">
        <f>'ExIntl Parcel'!AL24</f>
        <v>0</v>
      </c>
      <c r="Y502" s="358">
        <f>'ExIntl Parcel'!AM24</f>
        <v>0</v>
      </c>
    </row>
    <row r="503" spans="1:25" x14ac:dyDescent="0.35">
      <c r="A503">
        <v>502</v>
      </c>
      <c r="B503" t="s">
        <v>1351</v>
      </c>
      <c r="C503" t="s">
        <v>953</v>
      </c>
      <c r="D503" t="s">
        <v>14</v>
      </c>
      <c r="E503" t="s">
        <v>955</v>
      </c>
      <c r="F503" t="s">
        <v>957</v>
      </c>
      <c r="G503" s="63" t="s">
        <v>1481</v>
      </c>
      <c r="H503" s="358">
        <v>49</v>
      </c>
      <c r="I503" s="358">
        <v>0.49</v>
      </c>
      <c r="J503" s="357">
        <v>0</v>
      </c>
      <c r="K503" s="358">
        <v>3.0000000000000027E-2</v>
      </c>
      <c r="L503" s="358">
        <v>49</v>
      </c>
      <c r="M503" s="358">
        <v>0.52</v>
      </c>
      <c r="N503" s="361">
        <f>'ExIntl Parcel'!AB25</f>
        <v>0</v>
      </c>
      <c r="O503" s="361">
        <f>'ExIntl Parcel'!AC25</f>
        <v>0</v>
      </c>
      <c r="P503" s="358">
        <f>'ExIntl Parcel'!AD25</f>
        <v>49</v>
      </c>
      <c r="Q503" s="358">
        <f>'ExIntl Parcel'!AE25</f>
        <v>0.52</v>
      </c>
      <c r="R503" s="358">
        <f>'ExIntl Parcel'!AF25</f>
        <v>0</v>
      </c>
      <c r="S503" s="358">
        <f>'ExIntl Parcel'!AG25</f>
        <v>0</v>
      </c>
      <c r="T503" s="358">
        <f>'ExIntl Parcel'!AH25</f>
        <v>49</v>
      </c>
      <c r="U503" s="358">
        <f>'ExIntl Parcel'!AI25</f>
        <v>0.52</v>
      </c>
      <c r="V503" s="365">
        <f>'ExIntl Parcel'!AJ25</f>
        <v>0</v>
      </c>
      <c r="W503" s="358">
        <f>'ExIntl Parcel'!AK25</f>
        <v>0</v>
      </c>
      <c r="X503" s="358">
        <f>'ExIntl Parcel'!AL25</f>
        <v>0</v>
      </c>
      <c r="Y503" s="358">
        <f>'ExIntl Parcel'!AM25</f>
        <v>0</v>
      </c>
    </row>
    <row r="504" spans="1:25" x14ac:dyDescent="0.35">
      <c r="A504">
        <v>503</v>
      </c>
      <c r="B504" t="s">
        <v>1351</v>
      </c>
      <c r="C504" t="s">
        <v>953</v>
      </c>
      <c r="D504" t="s">
        <v>14</v>
      </c>
      <c r="E504" t="s">
        <v>955</v>
      </c>
      <c r="F504" t="s">
        <v>958</v>
      </c>
      <c r="G504" s="63" t="s">
        <v>1482</v>
      </c>
      <c r="H504" s="358">
        <v>64</v>
      </c>
      <c r="I504" s="358">
        <v>0.64</v>
      </c>
      <c r="J504" s="357">
        <v>4</v>
      </c>
      <c r="K504" s="358">
        <v>4.0000000000000036E-2</v>
      </c>
      <c r="L504" s="358">
        <v>68</v>
      </c>
      <c r="M504" s="358">
        <v>0.68</v>
      </c>
      <c r="N504" s="361">
        <f>'ExIntl Parcel'!AB26</f>
        <v>0</v>
      </c>
      <c r="O504" s="361">
        <f>'ExIntl Parcel'!AC26</f>
        <v>0</v>
      </c>
      <c r="P504" s="358">
        <f>'ExIntl Parcel'!AD26</f>
        <v>68</v>
      </c>
      <c r="Q504" s="358">
        <f>'ExIntl Parcel'!AE26</f>
        <v>0.68</v>
      </c>
      <c r="R504" s="358">
        <f>'ExIntl Parcel'!AF26</f>
        <v>0</v>
      </c>
      <c r="S504" s="358">
        <f>'ExIntl Parcel'!AG26</f>
        <v>0</v>
      </c>
      <c r="T504" s="358">
        <f>'ExIntl Parcel'!AH26</f>
        <v>68</v>
      </c>
      <c r="U504" s="358">
        <f>'ExIntl Parcel'!AI26</f>
        <v>0.68</v>
      </c>
      <c r="V504" s="365">
        <f>'ExIntl Parcel'!AJ26</f>
        <v>0</v>
      </c>
      <c r="W504" s="358">
        <f>'ExIntl Parcel'!AK26</f>
        <v>0</v>
      </c>
      <c r="X504" s="358">
        <f>'ExIntl Parcel'!AL26</f>
        <v>0</v>
      </c>
      <c r="Y504" s="358">
        <f>'ExIntl Parcel'!AM26</f>
        <v>0</v>
      </c>
    </row>
    <row r="505" spans="1:25" x14ac:dyDescent="0.35">
      <c r="A505">
        <v>504</v>
      </c>
      <c r="B505" t="s">
        <v>1351</v>
      </c>
      <c r="C505" t="s">
        <v>953</v>
      </c>
      <c r="D505" t="s">
        <v>14</v>
      </c>
      <c r="E505" t="s">
        <v>959</v>
      </c>
      <c r="F505" t="s">
        <v>960</v>
      </c>
      <c r="G505" s="63" t="s">
        <v>1483</v>
      </c>
      <c r="H505" s="358">
        <v>4.2</v>
      </c>
      <c r="I505" s="358">
        <v>0</v>
      </c>
      <c r="J505" s="357">
        <v>0.25</v>
      </c>
      <c r="K505" s="358">
        <v>0</v>
      </c>
      <c r="L505" s="358">
        <v>4.45</v>
      </c>
      <c r="M505" s="358">
        <v>0</v>
      </c>
      <c r="N505" s="361">
        <f>'ExIntl Parcel'!AB28</f>
        <v>0</v>
      </c>
      <c r="O505" s="361">
        <f>'ExIntl Parcel'!AC28</f>
        <v>0</v>
      </c>
      <c r="P505" s="358">
        <f>'ExIntl Parcel'!AD28</f>
        <v>4.45</v>
      </c>
      <c r="Q505" s="358">
        <f>'ExIntl Parcel'!AE28</f>
        <v>0</v>
      </c>
      <c r="R505" s="358">
        <f>'ExIntl Parcel'!AF28</f>
        <v>0</v>
      </c>
      <c r="S505" s="358">
        <f>'ExIntl Parcel'!AG28</f>
        <v>0</v>
      </c>
      <c r="T505" s="358">
        <f>'ExIntl Parcel'!AH28</f>
        <v>4.45</v>
      </c>
      <c r="U505" s="358">
        <f>'ExIntl Parcel'!AI28</f>
        <v>0</v>
      </c>
      <c r="V505" s="365">
        <f>'ExIntl Parcel'!AJ28</f>
        <v>0</v>
      </c>
      <c r="W505" s="358">
        <f>'ExIntl Parcel'!AK28</f>
        <v>0</v>
      </c>
      <c r="X505" s="358">
        <f>'ExIntl Parcel'!AL28</f>
        <v>0</v>
      </c>
      <c r="Y505" s="358">
        <f>'ExIntl Parcel'!AM28</f>
        <v>0</v>
      </c>
    </row>
    <row r="506" spans="1:25" x14ac:dyDescent="0.35">
      <c r="A506">
        <v>505</v>
      </c>
      <c r="B506" t="s">
        <v>1351</v>
      </c>
      <c r="C506" t="s">
        <v>953</v>
      </c>
      <c r="D506" t="s">
        <v>14</v>
      </c>
      <c r="E506" t="s">
        <v>959</v>
      </c>
      <c r="F506" t="s">
        <v>961</v>
      </c>
      <c r="G506" s="63" t="s">
        <v>1484</v>
      </c>
      <c r="H506" s="358">
        <v>49</v>
      </c>
      <c r="I506" s="358">
        <v>0.49</v>
      </c>
      <c r="J506" s="357">
        <v>0</v>
      </c>
      <c r="K506" s="358">
        <v>3.0000000000000027E-2</v>
      </c>
      <c r="L506" s="358">
        <v>49</v>
      </c>
      <c r="M506" s="358">
        <v>0.52</v>
      </c>
      <c r="N506" s="361">
        <f>'ExIntl Parcel'!AB29</f>
        <v>0</v>
      </c>
      <c r="O506" s="361">
        <f>'ExIntl Parcel'!AC29</f>
        <v>0</v>
      </c>
      <c r="P506" s="358">
        <f>'ExIntl Parcel'!AD29</f>
        <v>49</v>
      </c>
      <c r="Q506" s="358">
        <f>'ExIntl Parcel'!AE29</f>
        <v>0.52</v>
      </c>
      <c r="R506" s="358">
        <f>'ExIntl Parcel'!AF29</f>
        <v>0</v>
      </c>
      <c r="S506" s="358">
        <f>'ExIntl Parcel'!AG29</f>
        <v>0</v>
      </c>
      <c r="T506" s="358">
        <f>'ExIntl Parcel'!AH29</f>
        <v>49</v>
      </c>
      <c r="U506" s="358">
        <f>'ExIntl Parcel'!AI29</f>
        <v>0.52</v>
      </c>
      <c r="V506" s="365">
        <f>'ExIntl Parcel'!AJ29</f>
        <v>0</v>
      </c>
      <c r="W506" s="358">
        <f>'ExIntl Parcel'!AK29</f>
        <v>0</v>
      </c>
      <c r="X506" s="358">
        <f>'ExIntl Parcel'!AL29</f>
        <v>0</v>
      </c>
      <c r="Y506" s="358">
        <f>'ExIntl Parcel'!AM29</f>
        <v>0</v>
      </c>
    </row>
    <row r="507" spans="1:25" x14ac:dyDescent="0.35">
      <c r="A507">
        <v>506</v>
      </c>
      <c r="B507" t="s">
        <v>1351</v>
      </c>
      <c r="C507" t="s">
        <v>953</v>
      </c>
      <c r="D507" t="s">
        <v>14</v>
      </c>
      <c r="E507" t="s">
        <v>959</v>
      </c>
      <c r="F507" t="s">
        <v>962</v>
      </c>
      <c r="G507" s="63" t="s">
        <v>1485</v>
      </c>
      <c r="H507" s="358">
        <v>64</v>
      </c>
      <c r="I507" s="358">
        <v>0.64</v>
      </c>
      <c r="J507" s="357">
        <v>4</v>
      </c>
      <c r="K507" s="358">
        <v>4.0000000000000036E-2</v>
      </c>
      <c r="L507" s="358">
        <v>68</v>
      </c>
      <c r="M507" s="358">
        <v>0.68</v>
      </c>
      <c r="N507" s="361">
        <f>'ExIntl Parcel'!AB30</f>
        <v>0</v>
      </c>
      <c r="O507" s="361">
        <f>'ExIntl Parcel'!AC30</f>
        <v>0</v>
      </c>
      <c r="P507" s="358">
        <f>'ExIntl Parcel'!AD30</f>
        <v>68</v>
      </c>
      <c r="Q507" s="358">
        <f>'ExIntl Parcel'!AE30</f>
        <v>0.68</v>
      </c>
      <c r="R507" s="358">
        <f>'ExIntl Parcel'!AF30</f>
        <v>0</v>
      </c>
      <c r="S507" s="358">
        <f>'ExIntl Parcel'!AG30</f>
        <v>0</v>
      </c>
      <c r="T507" s="358">
        <f>'ExIntl Parcel'!AH30</f>
        <v>68</v>
      </c>
      <c r="U507" s="358">
        <f>'ExIntl Parcel'!AI30</f>
        <v>0.68</v>
      </c>
      <c r="V507" s="365">
        <f>'ExIntl Parcel'!AJ30</f>
        <v>0</v>
      </c>
      <c r="W507" s="358">
        <f>'ExIntl Parcel'!AK30</f>
        <v>0</v>
      </c>
      <c r="X507" s="358">
        <f>'ExIntl Parcel'!AL30</f>
        <v>0</v>
      </c>
      <c r="Y507" s="358">
        <f>'ExIntl Parcel'!AM30</f>
        <v>0</v>
      </c>
    </row>
    <row r="508" spans="1:25" x14ac:dyDescent="0.35">
      <c r="A508">
        <v>507</v>
      </c>
      <c r="B508" t="s">
        <v>1351</v>
      </c>
      <c r="C508" t="s">
        <v>953</v>
      </c>
      <c r="D508" t="s">
        <v>14</v>
      </c>
      <c r="E508" t="s">
        <v>1514</v>
      </c>
      <c r="F508" t="s">
        <v>1193</v>
      </c>
      <c r="G508" s="63" t="s">
        <v>1523</v>
      </c>
      <c r="H508" s="358">
        <v>190</v>
      </c>
      <c r="I508" s="358">
        <v>0</v>
      </c>
      <c r="J508" s="357">
        <v>18</v>
      </c>
      <c r="K508" s="358">
        <v>0</v>
      </c>
      <c r="L508" s="358">
        <v>208</v>
      </c>
      <c r="M508" s="358">
        <v>0</v>
      </c>
      <c r="N508" s="361">
        <f>'ExIntl Parcel'!AB31</f>
        <v>0</v>
      </c>
      <c r="O508" s="361">
        <f>'ExIntl Parcel'!AC31</f>
        <v>0</v>
      </c>
      <c r="P508" s="358">
        <f>'ExIntl Parcel'!AD31</f>
        <v>208</v>
      </c>
      <c r="Q508" s="358">
        <f>'ExIntl Parcel'!AE31</f>
        <v>0</v>
      </c>
      <c r="R508" s="358">
        <f>'ExIntl Parcel'!AF31</f>
        <v>0</v>
      </c>
      <c r="S508" s="358">
        <f>'ExIntl Parcel'!AG31</f>
        <v>0</v>
      </c>
      <c r="T508" s="358">
        <f>'ExIntl Parcel'!AH31</f>
        <v>208</v>
      </c>
      <c r="U508" s="358">
        <f>'ExIntl Parcel'!AI31</f>
        <v>0</v>
      </c>
      <c r="V508" s="365">
        <f>'ExIntl Parcel'!AJ31</f>
        <v>0</v>
      </c>
      <c r="W508" s="358">
        <f>'ExIntl Parcel'!AK31</f>
        <v>0</v>
      </c>
      <c r="X508" s="358">
        <f>'ExIntl Parcel'!AL31</f>
        <v>0</v>
      </c>
      <c r="Y508" s="358">
        <f>'ExIntl Parcel'!AM31</f>
        <v>0</v>
      </c>
    </row>
    <row r="509" spans="1:25" x14ac:dyDescent="0.35">
      <c r="A509">
        <v>508</v>
      </c>
      <c r="B509" t="s">
        <v>1351</v>
      </c>
      <c r="C509" t="s">
        <v>953</v>
      </c>
      <c r="D509" t="s">
        <v>14</v>
      </c>
      <c r="E509" t="s">
        <v>852</v>
      </c>
      <c r="F509" t="s">
        <v>852</v>
      </c>
      <c r="G509" s="63" t="s">
        <v>1486</v>
      </c>
      <c r="H509" s="358">
        <v>24</v>
      </c>
      <c r="I509" s="358">
        <v>0</v>
      </c>
      <c r="J509" s="357">
        <v>1.5</v>
      </c>
      <c r="K509" s="358">
        <v>0</v>
      </c>
      <c r="L509" s="358">
        <v>25.5</v>
      </c>
      <c r="M509" s="358">
        <v>0</v>
      </c>
      <c r="N509" s="361">
        <f>'ExIntl Parcel'!AB32</f>
        <v>0</v>
      </c>
      <c r="O509" s="361">
        <f>'ExIntl Parcel'!AC32</f>
        <v>0</v>
      </c>
      <c r="P509" s="358">
        <f>'ExIntl Parcel'!AD32</f>
        <v>25.5</v>
      </c>
      <c r="Q509" s="358">
        <f>'ExIntl Parcel'!AE32</f>
        <v>0</v>
      </c>
      <c r="R509" s="358">
        <f>'ExIntl Parcel'!AF32</f>
        <v>0</v>
      </c>
      <c r="S509" s="358">
        <f>'ExIntl Parcel'!AG32</f>
        <v>0</v>
      </c>
      <c r="T509" s="358">
        <f>'ExIntl Parcel'!AH32</f>
        <v>25.5</v>
      </c>
      <c r="U509" s="358">
        <f>'ExIntl Parcel'!AI32</f>
        <v>0</v>
      </c>
      <c r="V509" s="365">
        <f>'ExIntl Parcel'!AJ32</f>
        <v>0</v>
      </c>
      <c r="W509" s="358">
        <f>'ExIntl Parcel'!AK32</f>
        <v>0</v>
      </c>
      <c r="X509" s="358">
        <f>'ExIntl Parcel'!AL32</f>
        <v>0</v>
      </c>
      <c r="Y509" s="358">
        <f>'ExIntl Parcel'!AM32</f>
        <v>0</v>
      </c>
    </row>
    <row r="510" spans="1:25" x14ac:dyDescent="0.35">
      <c r="A510">
        <v>509</v>
      </c>
      <c r="B510" t="s">
        <v>1351</v>
      </c>
      <c r="C510" t="s">
        <v>953</v>
      </c>
      <c r="D510" t="s">
        <v>14</v>
      </c>
      <c r="E510" t="s">
        <v>25</v>
      </c>
      <c r="F510" t="s">
        <v>25</v>
      </c>
      <c r="G510" s="63" t="s">
        <v>1487</v>
      </c>
      <c r="H510" s="358">
        <v>6.55</v>
      </c>
      <c r="I510" s="358">
        <v>0</v>
      </c>
      <c r="J510" s="357">
        <v>0.40000000000000036</v>
      </c>
      <c r="K510" s="358">
        <v>0</v>
      </c>
      <c r="L510" s="358">
        <v>6.95</v>
      </c>
      <c r="M510" s="358">
        <v>0</v>
      </c>
      <c r="N510" s="361">
        <f>'ExIntl Parcel'!AB33</f>
        <v>0</v>
      </c>
      <c r="O510" s="361">
        <f>'ExIntl Parcel'!AC33</f>
        <v>0</v>
      </c>
      <c r="P510" s="358">
        <f>'ExIntl Parcel'!AD33</f>
        <v>6.95</v>
      </c>
      <c r="Q510" s="358">
        <f>'ExIntl Parcel'!AE33</f>
        <v>0</v>
      </c>
      <c r="R510" s="358">
        <f>'ExIntl Parcel'!AF33</f>
        <v>0</v>
      </c>
      <c r="S510" s="358">
        <f>'ExIntl Parcel'!AG33</f>
        <v>0</v>
      </c>
      <c r="T510" s="358">
        <f>'ExIntl Parcel'!AH33</f>
        <v>6.95</v>
      </c>
      <c r="U510" s="358">
        <f>'ExIntl Parcel'!AI33</f>
        <v>0</v>
      </c>
      <c r="V510" s="365">
        <f>'ExIntl Parcel'!AJ33</f>
        <v>0</v>
      </c>
      <c r="W510" s="358">
        <f>'ExIntl Parcel'!AK33</f>
        <v>0</v>
      </c>
      <c r="X510" s="358">
        <f>'ExIntl Parcel'!AL33</f>
        <v>0</v>
      </c>
      <c r="Y510" s="358">
        <f>'ExIntl Parcel'!AM33</f>
        <v>0</v>
      </c>
    </row>
    <row r="511" spans="1:25" x14ac:dyDescent="0.35">
      <c r="A511">
        <v>510</v>
      </c>
      <c r="B511" t="s">
        <v>1351</v>
      </c>
      <c r="C511" t="s">
        <v>953</v>
      </c>
      <c r="D511" t="s">
        <v>14</v>
      </c>
      <c r="E511" t="s">
        <v>283</v>
      </c>
      <c r="F511" t="s">
        <v>1003</v>
      </c>
      <c r="G511" s="63" t="s">
        <v>1488</v>
      </c>
      <c r="H511" s="358">
        <v>1.05</v>
      </c>
      <c r="I511" s="358">
        <v>0</v>
      </c>
      <c r="J511" s="357">
        <v>0</v>
      </c>
      <c r="K511" s="358">
        <v>0</v>
      </c>
      <c r="L511" s="358">
        <v>1.05</v>
      </c>
      <c r="M511" s="358">
        <v>0</v>
      </c>
      <c r="N511" s="361">
        <f>'ExIntl Parcel'!AB36</f>
        <v>0</v>
      </c>
      <c r="O511" s="361">
        <f>'ExIntl Parcel'!AC36</f>
        <v>0</v>
      </c>
      <c r="P511" s="358">
        <f>'ExIntl Parcel'!AD36</f>
        <v>1.05</v>
      </c>
      <c r="Q511" s="358">
        <f>'ExIntl Parcel'!AE36</f>
        <v>0</v>
      </c>
      <c r="R511" s="358">
        <f>'ExIntl Parcel'!AF36</f>
        <v>0</v>
      </c>
      <c r="S511" s="358">
        <f>'ExIntl Parcel'!AG36</f>
        <v>0</v>
      </c>
      <c r="T511" s="358">
        <f>'ExIntl Parcel'!AH36</f>
        <v>1.05</v>
      </c>
      <c r="U511" s="358">
        <f>'ExIntl Parcel'!AI36</f>
        <v>0</v>
      </c>
      <c r="V511" s="365">
        <f>'ExIntl Parcel'!AJ36</f>
        <v>0</v>
      </c>
      <c r="W511" s="358">
        <f>'ExIntl Parcel'!AK36</f>
        <v>0</v>
      </c>
      <c r="X511" s="358">
        <f>'ExIntl Parcel'!AL36</f>
        <v>0</v>
      </c>
      <c r="Y511" s="358">
        <f>'ExIntl Parcel'!AM36</f>
        <v>0</v>
      </c>
    </row>
    <row r="512" spans="1:25" x14ac:dyDescent="0.35">
      <c r="A512">
        <v>511</v>
      </c>
      <c r="B512" t="s">
        <v>1351</v>
      </c>
      <c r="C512" t="s">
        <v>953</v>
      </c>
      <c r="D512" t="s">
        <v>14</v>
      </c>
      <c r="E512" t="s">
        <v>283</v>
      </c>
      <c r="F512" t="s">
        <v>1005</v>
      </c>
      <c r="G512" s="63" t="s">
        <v>1489</v>
      </c>
      <c r="H512" s="358">
        <v>1.05</v>
      </c>
      <c r="I512" s="358">
        <v>0</v>
      </c>
      <c r="J512" s="357">
        <v>0</v>
      </c>
      <c r="K512" s="358">
        <v>0</v>
      </c>
      <c r="L512" s="358">
        <v>1.05</v>
      </c>
      <c r="M512" s="358">
        <v>0</v>
      </c>
      <c r="N512" s="361">
        <f>'ExIntl Parcel'!AB37</f>
        <v>0</v>
      </c>
      <c r="O512" s="361">
        <f>'ExIntl Parcel'!AC37</f>
        <v>0</v>
      </c>
      <c r="P512" s="358">
        <f>'ExIntl Parcel'!AD37</f>
        <v>1.05</v>
      </c>
      <c r="Q512" s="358">
        <f>'ExIntl Parcel'!AE37</f>
        <v>0</v>
      </c>
      <c r="R512" s="358">
        <f>'ExIntl Parcel'!AF37</f>
        <v>0</v>
      </c>
      <c r="S512" s="358">
        <f>'ExIntl Parcel'!AG37</f>
        <v>0</v>
      </c>
      <c r="T512" s="358">
        <f>'ExIntl Parcel'!AH37</f>
        <v>1.05</v>
      </c>
      <c r="U512" s="358">
        <f>'ExIntl Parcel'!AI37</f>
        <v>0</v>
      </c>
      <c r="V512" s="365">
        <f>'ExIntl Parcel'!AJ37</f>
        <v>0</v>
      </c>
      <c r="W512" s="358">
        <f>'ExIntl Parcel'!AK37</f>
        <v>0</v>
      </c>
      <c r="X512" s="358">
        <f>'ExIntl Parcel'!AL37</f>
        <v>0</v>
      </c>
      <c r="Y512" s="358">
        <f>'ExIntl Parcel'!AM37</f>
        <v>0</v>
      </c>
    </row>
    <row r="513" spans="1:25" x14ac:dyDescent="0.35">
      <c r="A513">
        <v>512</v>
      </c>
      <c r="B513" t="s">
        <v>1351</v>
      </c>
      <c r="C513" t="s">
        <v>953</v>
      </c>
      <c r="D513" t="s">
        <v>14</v>
      </c>
      <c r="E513" t="s">
        <v>46</v>
      </c>
      <c r="F513" t="s">
        <v>46</v>
      </c>
      <c r="G513" s="63" t="s">
        <v>1490</v>
      </c>
      <c r="H513" s="358">
        <v>16</v>
      </c>
      <c r="I513" s="358">
        <v>0</v>
      </c>
      <c r="J513" s="357">
        <v>0</v>
      </c>
      <c r="K513" s="358">
        <v>0</v>
      </c>
      <c r="L513" s="358">
        <v>16</v>
      </c>
      <c r="M513" s="358">
        <v>0</v>
      </c>
      <c r="N513" s="361">
        <f>'ExIntl Parcel'!AB38</f>
        <v>0</v>
      </c>
      <c r="O513" s="361">
        <f>'ExIntl Parcel'!AC38</f>
        <v>0</v>
      </c>
      <c r="P513" s="358">
        <f>'ExIntl Parcel'!AD38</f>
        <v>16</v>
      </c>
      <c r="Q513" s="358">
        <f>'ExIntl Parcel'!AE38</f>
        <v>0</v>
      </c>
      <c r="R513" s="358">
        <f>'ExIntl Parcel'!AF38</f>
        <v>0</v>
      </c>
      <c r="S513" s="358">
        <f>'ExIntl Parcel'!AG38</f>
        <v>0</v>
      </c>
      <c r="T513" s="358">
        <f>'ExIntl Parcel'!AH38</f>
        <v>16</v>
      </c>
      <c r="U513" s="358">
        <f>'ExIntl Parcel'!AI38</f>
        <v>0</v>
      </c>
      <c r="V513" s="365">
        <f>'ExIntl Parcel'!AJ38</f>
        <v>0</v>
      </c>
      <c r="W513" s="358">
        <f>'ExIntl Parcel'!AK38</f>
        <v>0</v>
      </c>
      <c r="X513" s="358">
        <f>'ExIntl Parcel'!AL38</f>
        <v>0</v>
      </c>
      <c r="Y513" s="358">
        <f>'ExIntl Parcel'!AM38</f>
        <v>0</v>
      </c>
    </row>
    <row r="514" spans="1:25" x14ac:dyDescent="0.35">
      <c r="A514">
        <v>513</v>
      </c>
      <c r="B514" t="s">
        <v>1351</v>
      </c>
      <c r="C514" t="s">
        <v>953</v>
      </c>
      <c r="D514" t="s">
        <v>14</v>
      </c>
      <c r="E514" t="s">
        <v>24</v>
      </c>
      <c r="F514" t="s">
        <v>24</v>
      </c>
      <c r="G514" s="63" t="s">
        <v>1491</v>
      </c>
      <c r="H514" s="358">
        <v>16</v>
      </c>
      <c r="I514" s="358">
        <v>0</v>
      </c>
      <c r="J514" s="357">
        <v>0</v>
      </c>
      <c r="K514" s="358">
        <v>0</v>
      </c>
      <c r="L514" s="358">
        <v>16</v>
      </c>
      <c r="M514" s="358">
        <v>0</v>
      </c>
      <c r="N514" s="361">
        <f>'ExIntl Parcel'!AB39</f>
        <v>0</v>
      </c>
      <c r="O514" s="361">
        <f>'ExIntl Parcel'!AC39</f>
        <v>0</v>
      </c>
      <c r="P514" s="358">
        <f>'ExIntl Parcel'!AD39</f>
        <v>16</v>
      </c>
      <c r="Q514" s="358">
        <f>'ExIntl Parcel'!AE39</f>
        <v>0</v>
      </c>
      <c r="R514" s="358">
        <f>'ExIntl Parcel'!AF39</f>
        <v>0</v>
      </c>
      <c r="S514" s="358">
        <f>'ExIntl Parcel'!AG39</f>
        <v>0</v>
      </c>
      <c r="T514" s="358">
        <f>'ExIntl Parcel'!AH39</f>
        <v>16</v>
      </c>
      <c r="U514" s="358">
        <f>'ExIntl Parcel'!AI39</f>
        <v>0</v>
      </c>
      <c r="V514" s="365">
        <f>'ExIntl Parcel'!AJ39</f>
        <v>0</v>
      </c>
      <c r="W514" s="358">
        <f>'ExIntl Parcel'!AK39</f>
        <v>0</v>
      </c>
      <c r="X514" s="358">
        <f>'ExIntl Parcel'!AL39</f>
        <v>0</v>
      </c>
      <c r="Y514" s="358">
        <f>'ExIntl Parcel'!AM39</f>
        <v>0</v>
      </c>
    </row>
    <row r="515" spans="1:25" x14ac:dyDescent="0.35">
      <c r="A515">
        <v>514</v>
      </c>
      <c r="B515" t="s">
        <v>1341</v>
      </c>
      <c r="C515" t="s">
        <v>953</v>
      </c>
      <c r="D515" t="s">
        <v>335</v>
      </c>
      <c r="E515" t="s">
        <v>66</v>
      </c>
      <c r="F515" t="s">
        <v>293</v>
      </c>
      <c r="G515" s="63" t="s">
        <v>1492</v>
      </c>
      <c r="H515" s="358">
        <v>260</v>
      </c>
      <c r="I515" s="358">
        <v>0</v>
      </c>
      <c r="J515" s="357">
        <v>15</v>
      </c>
      <c r="K515" s="358">
        <v>0</v>
      </c>
      <c r="L515" s="358">
        <v>275</v>
      </c>
      <c r="M515" s="358">
        <v>0</v>
      </c>
      <c r="N515" s="361">
        <f>'ExIntl Freight'!D6</f>
        <v>0</v>
      </c>
      <c r="O515" s="361">
        <f>'ExIntl Freight'!E6</f>
        <v>0</v>
      </c>
      <c r="P515" s="358">
        <f>'ExIntl Freight'!F6</f>
        <v>275</v>
      </c>
      <c r="Q515" s="358">
        <f>'ExIntl Freight'!G6</f>
        <v>0</v>
      </c>
      <c r="R515" s="358">
        <f>'ExIntl Freight'!H6</f>
        <v>0</v>
      </c>
      <c r="S515" s="358">
        <f>'ExIntl Freight'!I6</f>
        <v>0</v>
      </c>
      <c r="T515" s="358">
        <f>'ExIntl Freight'!J6</f>
        <v>275</v>
      </c>
      <c r="U515" s="358">
        <f>'ExIntl Freight'!K6</f>
        <v>0</v>
      </c>
      <c r="V515" s="365">
        <f>'ExIntl Freight'!L6</f>
        <v>0</v>
      </c>
      <c r="W515" s="358">
        <f>'ExIntl Freight'!M6</f>
        <v>0</v>
      </c>
      <c r="X515" s="358">
        <f>'ExIntl Freight'!N6</f>
        <v>0</v>
      </c>
      <c r="Y515" s="358">
        <f>'ExIntl Freight'!O6</f>
        <v>0</v>
      </c>
    </row>
    <row r="516" spans="1:25" x14ac:dyDescent="0.35">
      <c r="A516">
        <v>515</v>
      </c>
      <c r="B516" t="s">
        <v>1341</v>
      </c>
      <c r="C516" t="s">
        <v>953</v>
      </c>
      <c r="D516" t="s">
        <v>335</v>
      </c>
      <c r="E516" t="s">
        <v>66</v>
      </c>
      <c r="F516" t="s">
        <v>291</v>
      </c>
      <c r="G516" s="63" t="s">
        <v>1493</v>
      </c>
      <c r="H516" s="358">
        <v>330</v>
      </c>
      <c r="I516" s="358">
        <v>0</v>
      </c>
      <c r="J516" s="357">
        <v>20</v>
      </c>
      <c r="K516" s="358">
        <v>0</v>
      </c>
      <c r="L516" s="358">
        <v>350</v>
      </c>
      <c r="M516" s="358">
        <v>0</v>
      </c>
      <c r="N516" s="361">
        <f>'ExIntl Freight'!D7</f>
        <v>0</v>
      </c>
      <c r="O516" s="361">
        <f>'ExIntl Freight'!E7</f>
        <v>0</v>
      </c>
      <c r="P516" s="358">
        <f>'ExIntl Freight'!F7</f>
        <v>350</v>
      </c>
      <c r="Q516" s="358">
        <f>'ExIntl Freight'!G7</f>
        <v>0</v>
      </c>
      <c r="R516" s="358">
        <f>'ExIntl Freight'!H7</f>
        <v>0</v>
      </c>
      <c r="S516" s="358">
        <f>'ExIntl Freight'!I7</f>
        <v>0</v>
      </c>
      <c r="T516" s="358">
        <f>'ExIntl Freight'!J7</f>
        <v>350</v>
      </c>
      <c r="U516" s="358">
        <f>'ExIntl Freight'!K7</f>
        <v>0</v>
      </c>
      <c r="V516" s="365">
        <f>'ExIntl Freight'!L7</f>
        <v>0</v>
      </c>
      <c r="W516" s="358">
        <f>'ExIntl Freight'!M7</f>
        <v>0</v>
      </c>
      <c r="X516" s="358">
        <f>'ExIntl Freight'!N7</f>
        <v>0</v>
      </c>
      <c r="Y516" s="358">
        <f>'ExIntl Freight'!O7</f>
        <v>0</v>
      </c>
    </row>
    <row r="517" spans="1:25" x14ac:dyDescent="0.35">
      <c r="A517">
        <v>516</v>
      </c>
      <c r="B517" t="s">
        <v>1341</v>
      </c>
      <c r="C517" t="s">
        <v>953</v>
      </c>
      <c r="D517" t="s">
        <v>335</v>
      </c>
      <c r="E517" t="s">
        <v>31</v>
      </c>
      <c r="F517" t="s">
        <v>31</v>
      </c>
      <c r="G517" s="63" t="s">
        <v>1494</v>
      </c>
      <c r="H517" s="358">
        <v>24</v>
      </c>
      <c r="I517" s="358">
        <v>0</v>
      </c>
      <c r="J517" s="357">
        <v>1.5</v>
      </c>
      <c r="K517" s="358">
        <v>0</v>
      </c>
      <c r="L517" s="358">
        <v>25.5</v>
      </c>
      <c r="M517" s="358">
        <v>0</v>
      </c>
      <c r="N517" s="361">
        <f>'ExIntl Freight'!D8</f>
        <v>0</v>
      </c>
      <c r="O517" s="361">
        <f>'ExIntl Freight'!E8</f>
        <v>0</v>
      </c>
      <c r="P517" s="358">
        <f>'ExIntl Freight'!F8</f>
        <v>25.5</v>
      </c>
      <c r="Q517" s="358">
        <f>'ExIntl Freight'!G8</f>
        <v>0</v>
      </c>
      <c r="R517" s="358">
        <f>'ExIntl Freight'!H8</f>
        <v>0</v>
      </c>
      <c r="S517" s="358">
        <f>'ExIntl Freight'!I8</f>
        <v>0</v>
      </c>
      <c r="T517" s="358">
        <f>'ExIntl Freight'!J8</f>
        <v>25.5</v>
      </c>
      <c r="U517" s="358">
        <f>'ExIntl Freight'!K8</f>
        <v>0</v>
      </c>
      <c r="V517" s="365">
        <f>'ExIntl Freight'!L8</f>
        <v>0</v>
      </c>
      <c r="W517" s="358">
        <f>'ExIntl Freight'!M8</f>
        <v>0</v>
      </c>
      <c r="X517" s="358">
        <f>'ExIntl Freight'!N8</f>
        <v>0</v>
      </c>
      <c r="Y517" s="358">
        <f>'ExIntl Freight'!O8</f>
        <v>0</v>
      </c>
    </row>
    <row r="518" spans="1:25" x14ac:dyDescent="0.35">
      <c r="A518">
        <v>517</v>
      </c>
      <c r="B518" t="s">
        <v>1341</v>
      </c>
      <c r="C518" t="s">
        <v>953</v>
      </c>
      <c r="D518" t="s">
        <v>335</v>
      </c>
      <c r="E518" t="s">
        <v>51</v>
      </c>
      <c r="F518" t="s">
        <v>876</v>
      </c>
      <c r="G518" s="63" t="s">
        <v>1495</v>
      </c>
      <c r="H518" s="358">
        <v>255</v>
      </c>
      <c r="I518" s="358">
        <v>1.4</v>
      </c>
      <c r="J518" s="357">
        <v>15</v>
      </c>
      <c r="K518" s="358">
        <v>8.0000000000000071E-2</v>
      </c>
      <c r="L518" s="358">
        <v>270</v>
      </c>
      <c r="M518" s="358">
        <v>1.48</v>
      </c>
      <c r="N518" s="361">
        <f>'ExIntl Freight'!D10</f>
        <v>0</v>
      </c>
      <c r="O518" s="361">
        <f>'ExIntl Freight'!E10</f>
        <v>0</v>
      </c>
      <c r="P518" s="358">
        <f>'ExIntl Freight'!F10</f>
        <v>270</v>
      </c>
      <c r="Q518" s="358">
        <f>'ExIntl Freight'!G10</f>
        <v>1.48</v>
      </c>
      <c r="R518" s="358">
        <f>'ExIntl Freight'!H10</f>
        <v>0</v>
      </c>
      <c r="S518" s="358">
        <f>'ExIntl Freight'!I10</f>
        <v>0</v>
      </c>
      <c r="T518" s="358">
        <f>'ExIntl Freight'!J10</f>
        <v>270</v>
      </c>
      <c r="U518" s="358">
        <f>'ExIntl Freight'!K10</f>
        <v>1.48</v>
      </c>
      <c r="V518" s="365">
        <f>'ExIntl Freight'!L10</f>
        <v>0</v>
      </c>
      <c r="W518" s="358">
        <f>'ExIntl Freight'!M10</f>
        <v>0</v>
      </c>
      <c r="X518" s="358">
        <f>'ExIntl Freight'!N10</f>
        <v>0</v>
      </c>
      <c r="Y518" s="358">
        <f>'ExIntl Freight'!O10</f>
        <v>0</v>
      </c>
    </row>
    <row r="519" spans="1:25" x14ac:dyDescent="0.35">
      <c r="A519">
        <v>518</v>
      </c>
      <c r="B519" t="s">
        <v>1341</v>
      </c>
      <c r="C519" t="s">
        <v>953</v>
      </c>
      <c r="D519" t="s">
        <v>335</v>
      </c>
      <c r="E519" t="s">
        <v>51</v>
      </c>
      <c r="F519" t="s">
        <v>877</v>
      </c>
      <c r="G519" s="63" t="s">
        <v>1496</v>
      </c>
      <c r="H519" s="358">
        <v>145</v>
      </c>
      <c r="I519" s="358">
        <v>0.67</v>
      </c>
      <c r="J519" s="357">
        <v>8.5</v>
      </c>
      <c r="K519" s="358">
        <v>3.9999999999999925E-2</v>
      </c>
      <c r="L519" s="358">
        <v>153.5</v>
      </c>
      <c r="M519" s="358">
        <v>0.71</v>
      </c>
      <c r="N519" s="361">
        <f>'ExIntl Freight'!D11</f>
        <v>0</v>
      </c>
      <c r="O519" s="361">
        <f>'ExIntl Freight'!E11</f>
        <v>0</v>
      </c>
      <c r="P519" s="358">
        <f>'ExIntl Freight'!F11</f>
        <v>153.5</v>
      </c>
      <c r="Q519" s="358">
        <f>'ExIntl Freight'!G11</f>
        <v>0.71</v>
      </c>
      <c r="R519" s="358">
        <f>'ExIntl Freight'!H11</f>
        <v>0</v>
      </c>
      <c r="S519" s="358">
        <f>'ExIntl Freight'!I11</f>
        <v>0</v>
      </c>
      <c r="T519" s="358">
        <f>'ExIntl Freight'!J11</f>
        <v>153.5</v>
      </c>
      <c r="U519" s="358">
        <f>'ExIntl Freight'!K11</f>
        <v>0.71</v>
      </c>
      <c r="V519" s="365">
        <f>'ExIntl Freight'!L11</f>
        <v>0</v>
      </c>
      <c r="W519" s="358">
        <f>'ExIntl Freight'!M11</f>
        <v>0</v>
      </c>
      <c r="X519" s="358">
        <f>'ExIntl Freight'!N11</f>
        <v>0</v>
      </c>
      <c r="Y519" s="358">
        <f>'ExIntl Freight'!O11</f>
        <v>0</v>
      </c>
    </row>
    <row r="520" spans="1:25" x14ac:dyDescent="0.35">
      <c r="A520">
        <v>519</v>
      </c>
      <c r="B520" t="s">
        <v>1341</v>
      </c>
      <c r="C520" t="s">
        <v>953</v>
      </c>
      <c r="D520" t="s">
        <v>335</v>
      </c>
      <c r="E520" t="s">
        <v>28</v>
      </c>
      <c r="F520" t="s">
        <v>28</v>
      </c>
      <c r="G520" s="63" t="s">
        <v>1497</v>
      </c>
      <c r="H520" s="358">
        <v>1.5</v>
      </c>
      <c r="I520" s="358">
        <v>9.07</v>
      </c>
      <c r="J520" s="357">
        <v>0.14999999999999991</v>
      </c>
      <c r="K520" s="358">
        <v>0</v>
      </c>
      <c r="L520" s="358">
        <v>1.65</v>
      </c>
      <c r="M520" s="358">
        <v>9.07</v>
      </c>
      <c r="N520" s="361">
        <f>'ExIntl Freight'!D12</f>
        <v>0</v>
      </c>
      <c r="O520" s="361">
        <f>'ExIntl Freight'!E12</f>
        <v>0</v>
      </c>
      <c r="P520" s="358">
        <f>'ExIntl Freight'!F12</f>
        <v>1.65</v>
      </c>
      <c r="Q520" s="358">
        <f>'ExIntl Freight'!G12</f>
        <v>9.07</v>
      </c>
      <c r="R520" s="358">
        <f>'ExIntl Freight'!H12</f>
        <v>0</v>
      </c>
      <c r="S520" s="358">
        <f>'ExIntl Freight'!I12</f>
        <v>0</v>
      </c>
      <c r="T520" s="358">
        <f>'ExIntl Freight'!J12</f>
        <v>1.65</v>
      </c>
      <c r="U520" s="358">
        <f>'ExIntl Freight'!K12</f>
        <v>9.07</v>
      </c>
      <c r="V520" s="365">
        <f>'ExIntl Freight'!L12</f>
        <v>0</v>
      </c>
    </row>
    <row r="521" spans="1:25" x14ac:dyDescent="0.35">
      <c r="A521">
        <v>520</v>
      </c>
      <c r="B521" t="s">
        <v>1341</v>
      </c>
      <c r="C521" t="s">
        <v>953</v>
      </c>
      <c r="D521" t="s">
        <v>335</v>
      </c>
      <c r="E521" t="s">
        <v>18</v>
      </c>
      <c r="F521" t="s">
        <v>18</v>
      </c>
      <c r="G521" s="63" t="s">
        <v>1498</v>
      </c>
      <c r="H521" s="358">
        <v>0</v>
      </c>
      <c r="I521" s="358">
        <v>0</v>
      </c>
      <c r="J521" s="357">
        <v>0</v>
      </c>
      <c r="K521" s="358">
        <v>0</v>
      </c>
      <c r="L521" s="358">
        <v>0</v>
      </c>
      <c r="M521" s="358">
        <v>0</v>
      </c>
      <c r="N521" s="361">
        <f>'ExIntl Freight'!D13</f>
        <v>0</v>
      </c>
      <c r="O521" s="361">
        <f>'ExIntl Freight'!E13</f>
        <v>0</v>
      </c>
      <c r="V521" s="365">
        <f>'ExIntl Freight'!L13</f>
        <v>0</v>
      </c>
    </row>
    <row r="522" spans="1:25" x14ac:dyDescent="0.35">
      <c r="A522">
        <v>521</v>
      </c>
      <c r="B522" t="s">
        <v>1341</v>
      </c>
      <c r="C522" t="s">
        <v>953</v>
      </c>
      <c r="D522" t="s">
        <v>335</v>
      </c>
      <c r="E522" t="s">
        <v>955</v>
      </c>
      <c r="F522" t="s">
        <v>957</v>
      </c>
      <c r="G522" s="63" t="s">
        <v>1499</v>
      </c>
      <c r="H522" s="358">
        <v>245</v>
      </c>
      <c r="I522" s="358">
        <v>0</v>
      </c>
      <c r="J522" s="357">
        <v>15</v>
      </c>
      <c r="K522" s="358">
        <v>0</v>
      </c>
      <c r="L522" s="358">
        <v>260</v>
      </c>
      <c r="M522" s="358">
        <v>0</v>
      </c>
      <c r="N522" s="361">
        <f>'ExIntl Freight'!D15</f>
        <v>0</v>
      </c>
      <c r="O522" s="361">
        <f>'ExIntl Freight'!E15</f>
        <v>0</v>
      </c>
      <c r="P522" s="358">
        <f>'ExIntl Freight'!F15</f>
        <v>260</v>
      </c>
      <c r="Q522" s="358">
        <f>'ExIntl Freight'!G15</f>
        <v>0</v>
      </c>
      <c r="R522" s="358">
        <f>'ExIntl Freight'!H15</f>
        <v>0</v>
      </c>
      <c r="S522" s="358">
        <f>'ExIntl Freight'!I15</f>
        <v>0</v>
      </c>
      <c r="T522" s="358">
        <f>'ExIntl Freight'!J15</f>
        <v>260</v>
      </c>
      <c r="U522" s="358">
        <f>'ExIntl Freight'!K15</f>
        <v>0</v>
      </c>
      <c r="V522" s="365">
        <f>'ExIntl Freight'!L15</f>
        <v>0</v>
      </c>
      <c r="W522" s="358">
        <f>'ExIntl Freight'!M15</f>
        <v>0</v>
      </c>
      <c r="X522" s="358">
        <f>'ExIntl Freight'!N15</f>
        <v>0</v>
      </c>
      <c r="Y522" s="358">
        <f>'ExIntl Freight'!O15</f>
        <v>0</v>
      </c>
    </row>
    <row r="523" spans="1:25" x14ac:dyDescent="0.35">
      <c r="A523">
        <v>522</v>
      </c>
      <c r="B523" t="s">
        <v>1341</v>
      </c>
      <c r="C523" t="s">
        <v>953</v>
      </c>
      <c r="D523" t="s">
        <v>335</v>
      </c>
      <c r="E523" t="s">
        <v>955</v>
      </c>
      <c r="F523" t="s">
        <v>958</v>
      </c>
      <c r="G523" s="63" t="s">
        <v>1500</v>
      </c>
      <c r="H523" s="358">
        <v>320</v>
      </c>
      <c r="I523" s="358">
        <v>0</v>
      </c>
      <c r="J523" s="357">
        <v>20</v>
      </c>
      <c r="K523" s="358">
        <v>0</v>
      </c>
      <c r="L523" s="358">
        <v>340</v>
      </c>
      <c r="M523" s="358">
        <v>0</v>
      </c>
      <c r="N523" s="361">
        <f>'ExIntl Freight'!D16</f>
        <v>0</v>
      </c>
      <c r="O523" s="361">
        <f>'ExIntl Freight'!E16</f>
        <v>0</v>
      </c>
      <c r="P523" s="358">
        <f>'ExIntl Freight'!F16</f>
        <v>340</v>
      </c>
      <c r="Q523" s="358">
        <f>'ExIntl Freight'!G16</f>
        <v>0</v>
      </c>
      <c r="R523" s="358">
        <f>'ExIntl Freight'!H16</f>
        <v>0</v>
      </c>
      <c r="S523" s="358">
        <f>'ExIntl Freight'!I16</f>
        <v>0</v>
      </c>
      <c r="T523" s="358">
        <f>'ExIntl Freight'!J16</f>
        <v>340</v>
      </c>
      <c r="U523" s="358">
        <f>'ExIntl Freight'!K16</f>
        <v>0</v>
      </c>
      <c r="V523" s="365">
        <f>'ExIntl Freight'!L16</f>
        <v>0</v>
      </c>
      <c r="W523" s="358">
        <f>'ExIntl Freight'!M16</f>
        <v>0</v>
      </c>
      <c r="X523" s="358">
        <f>'ExIntl Freight'!N16</f>
        <v>0</v>
      </c>
      <c r="Y523" s="358">
        <f>'ExIntl Freight'!O16</f>
        <v>0</v>
      </c>
    </row>
    <row r="524" spans="1:25" x14ac:dyDescent="0.35">
      <c r="A524">
        <v>523</v>
      </c>
      <c r="B524" t="s">
        <v>1341</v>
      </c>
      <c r="C524" t="s">
        <v>953</v>
      </c>
      <c r="D524" t="s">
        <v>335</v>
      </c>
      <c r="E524" t="s">
        <v>959</v>
      </c>
      <c r="F524" t="s">
        <v>961</v>
      </c>
      <c r="G524" s="63" t="s">
        <v>1501</v>
      </c>
      <c r="H524" s="358">
        <v>245</v>
      </c>
      <c r="I524" s="358">
        <v>0</v>
      </c>
      <c r="J524" s="357">
        <v>15</v>
      </c>
      <c r="K524" s="358">
        <v>0</v>
      </c>
      <c r="L524" s="358">
        <v>260</v>
      </c>
      <c r="M524" s="358">
        <v>0</v>
      </c>
      <c r="N524" s="361">
        <f>'ExIntl Freight'!D18</f>
        <v>0</v>
      </c>
      <c r="O524" s="361">
        <f>'ExIntl Freight'!E18</f>
        <v>0</v>
      </c>
      <c r="P524" s="358">
        <f>'ExIntl Freight'!F18</f>
        <v>260</v>
      </c>
      <c r="Q524" s="358">
        <f>'ExIntl Freight'!G18</f>
        <v>0</v>
      </c>
      <c r="R524" s="358">
        <f>'ExIntl Freight'!H18</f>
        <v>0</v>
      </c>
      <c r="S524" s="358">
        <f>'ExIntl Freight'!I18</f>
        <v>0</v>
      </c>
      <c r="T524" s="358">
        <f>'ExIntl Freight'!J18</f>
        <v>260</v>
      </c>
      <c r="U524" s="358">
        <f>'ExIntl Freight'!K18</f>
        <v>0</v>
      </c>
      <c r="V524" s="365">
        <f>'ExIntl Freight'!L18</f>
        <v>0</v>
      </c>
      <c r="W524" s="358">
        <f>'ExIntl Freight'!M18</f>
        <v>0</v>
      </c>
      <c r="X524" s="358">
        <f>'ExIntl Freight'!N18</f>
        <v>0</v>
      </c>
      <c r="Y524" s="358">
        <f>'ExIntl Freight'!O18</f>
        <v>0</v>
      </c>
    </row>
    <row r="525" spans="1:25" x14ac:dyDescent="0.35">
      <c r="A525">
        <v>524</v>
      </c>
      <c r="B525" t="s">
        <v>1341</v>
      </c>
      <c r="C525" t="s">
        <v>953</v>
      </c>
      <c r="D525" t="s">
        <v>335</v>
      </c>
      <c r="E525" t="s">
        <v>959</v>
      </c>
      <c r="F525" t="s">
        <v>962</v>
      </c>
      <c r="G525" s="63" t="s">
        <v>1502</v>
      </c>
      <c r="H525" s="358">
        <v>320</v>
      </c>
      <c r="I525" s="358">
        <v>0</v>
      </c>
      <c r="J525" s="357">
        <v>20</v>
      </c>
      <c r="K525" s="358">
        <v>0</v>
      </c>
      <c r="L525" s="358">
        <v>340</v>
      </c>
      <c r="M525" s="358">
        <v>0</v>
      </c>
      <c r="N525" s="361">
        <f>'ExIntl Freight'!D19</f>
        <v>0</v>
      </c>
      <c r="O525" s="361">
        <f>'ExIntl Freight'!E19</f>
        <v>0</v>
      </c>
      <c r="P525" s="358">
        <f>'ExIntl Freight'!F19</f>
        <v>340</v>
      </c>
      <c r="Q525" s="358">
        <f>'ExIntl Freight'!G19</f>
        <v>0</v>
      </c>
      <c r="R525" s="358">
        <f>'ExIntl Freight'!H19</f>
        <v>0</v>
      </c>
      <c r="S525" s="358">
        <f>'ExIntl Freight'!I19</f>
        <v>0</v>
      </c>
      <c r="T525" s="358">
        <f>'ExIntl Freight'!J19</f>
        <v>340</v>
      </c>
      <c r="U525" s="358">
        <f>'ExIntl Freight'!K19</f>
        <v>0</v>
      </c>
      <c r="V525" s="365">
        <f>'ExIntl Freight'!L19</f>
        <v>0</v>
      </c>
      <c r="W525" s="358">
        <f>'ExIntl Freight'!M19</f>
        <v>0</v>
      </c>
      <c r="X525" s="358">
        <f>'ExIntl Freight'!N19</f>
        <v>0</v>
      </c>
      <c r="Y525" s="358">
        <f>'ExIntl Freight'!O19</f>
        <v>0</v>
      </c>
    </row>
    <row r="526" spans="1:25" x14ac:dyDescent="0.35">
      <c r="A526">
        <v>525</v>
      </c>
      <c r="B526" t="s">
        <v>1341</v>
      </c>
      <c r="C526" t="s">
        <v>953</v>
      </c>
      <c r="D526" t="s">
        <v>335</v>
      </c>
      <c r="E526" t="s">
        <v>57</v>
      </c>
      <c r="F526" t="s">
        <v>57</v>
      </c>
      <c r="G526" s="63" t="s">
        <v>1503</v>
      </c>
      <c r="H526" s="358">
        <v>24</v>
      </c>
      <c r="I526" s="358">
        <v>0</v>
      </c>
      <c r="J526" s="357">
        <v>1.5</v>
      </c>
      <c r="K526" s="358">
        <v>0</v>
      </c>
      <c r="L526" s="358">
        <v>25.5</v>
      </c>
      <c r="M526" s="358">
        <v>0</v>
      </c>
      <c r="N526" s="361">
        <f>'ExIntl Freight'!D20</f>
        <v>0</v>
      </c>
      <c r="O526" s="361">
        <f>'ExIntl Freight'!E20</f>
        <v>0</v>
      </c>
      <c r="P526" s="358">
        <f>'ExIntl Freight'!F20</f>
        <v>25.5</v>
      </c>
      <c r="Q526" s="358">
        <f>'ExIntl Freight'!G20</f>
        <v>0</v>
      </c>
      <c r="R526" s="358">
        <f>'ExIntl Freight'!H20</f>
        <v>0</v>
      </c>
      <c r="S526" s="358">
        <f>'ExIntl Freight'!I20</f>
        <v>0</v>
      </c>
      <c r="T526" s="358">
        <f>'ExIntl Freight'!J20</f>
        <v>25.5</v>
      </c>
      <c r="U526" s="358">
        <f>'ExIntl Freight'!K20</f>
        <v>0</v>
      </c>
      <c r="V526" s="365">
        <f>'ExIntl Freight'!L20</f>
        <v>0</v>
      </c>
      <c r="W526" s="358">
        <f>'ExIntl Freight'!M20</f>
        <v>0</v>
      </c>
      <c r="X526" s="358">
        <f>'ExIntl Freight'!N20</f>
        <v>0</v>
      </c>
      <c r="Y526" s="358">
        <f>'ExIntl Freight'!O20</f>
        <v>0</v>
      </c>
    </row>
    <row r="527" spans="1:25" x14ac:dyDescent="0.35">
      <c r="A527">
        <v>526</v>
      </c>
      <c r="B527" t="s">
        <v>1341</v>
      </c>
      <c r="C527" t="s">
        <v>953</v>
      </c>
      <c r="D527" t="s">
        <v>335</v>
      </c>
      <c r="E527" t="s">
        <v>314</v>
      </c>
      <c r="F527" t="s">
        <v>314</v>
      </c>
      <c r="G527" s="63" t="s">
        <v>1504</v>
      </c>
      <c r="H527" s="358">
        <v>690</v>
      </c>
      <c r="I527" s="358">
        <v>0.69</v>
      </c>
      <c r="J527" s="357">
        <v>0</v>
      </c>
      <c r="K527" s="358">
        <v>0</v>
      </c>
      <c r="L527" s="358">
        <v>690</v>
      </c>
      <c r="M527" s="358">
        <v>0.69</v>
      </c>
      <c r="N527" s="361">
        <f>'ExIntl Freight'!D21</f>
        <v>0</v>
      </c>
      <c r="O527" s="361">
        <f>'ExIntl Freight'!E21</f>
        <v>0</v>
      </c>
      <c r="P527" s="358">
        <f>'ExIntl Freight'!F21</f>
        <v>690</v>
      </c>
      <c r="Q527" s="358">
        <f>'ExIntl Freight'!G21</f>
        <v>0.69</v>
      </c>
      <c r="R527" s="358">
        <f>'ExIntl Freight'!H21</f>
        <v>0</v>
      </c>
      <c r="S527" s="358">
        <f>'ExIntl Freight'!I21</f>
        <v>0</v>
      </c>
      <c r="T527" s="358">
        <f>'ExIntl Freight'!J21</f>
        <v>690</v>
      </c>
      <c r="U527" s="358">
        <f>'ExIntl Freight'!K21</f>
        <v>0.69</v>
      </c>
      <c r="V527" s="365">
        <f>'ExIntl Freight'!L21</f>
        <v>0</v>
      </c>
      <c r="W527" s="358">
        <f>'ExIntl Freight'!M21</f>
        <v>0</v>
      </c>
      <c r="X527" s="358">
        <f>'ExIntl Freight'!N21</f>
        <v>0</v>
      </c>
      <c r="Y527" s="358">
        <f>'ExIntl Freight'!O21</f>
        <v>0</v>
      </c>
    </row>
    <row r="528" spans="1:25" x14ac:dyDescent="0.35">
      <c r="A528">
        <v>527</v>
      </c>
      <c r="B528" t="s">
        <v>1341</v>
      </c>
      <c r="C528" t="s">
        <v>953</v>
      </c>
      <c r="D528" t="s">
        <v>335</v>
      </c>
      <c r="E528" t="s">
        <v>852</v>
      </c>
      <c r="F528" t="s">
        <v>852</v>
      </c>
      <c r="G528" s="63" t="s">
        <v>1505</v>
      </c>
      <c r="H528" s="358">
        <v>24</v>
      </c>
      <c r="I528" s="358">
        <v>0</v>
      </c>
      <c r="J528" s="357">
        <v>1.5</v>
      </c>
      <c r="K528" s="358">
        <v>0</v>
      </c>
      <c r="L528" s="358">
        <v>25.5</v>
      </c>
      <c r="M528" s="358">
        <v>0</v>
      </c>
      <c r="N528" s="361">
        <f>'ExIntl Freight'!D22</f>
        <v>0</v>
      </c>
      <c r="O528" s="361">
        <f>'ExIntl Freight'!E22</f>
        <v>0</v>
      </c>
      <c r="P528" s="358">
        <f>'ExIntl Freight'!F22</f>
        <v>25.5</v>
      </c>
      <c r="Q528" s="358">
        <f>'ExIntl Freight'!G22</f>
        <v>0</v>
      </c>
      <c r="R528" s="358">
        <f>'ExIntl Freight'!H22</f>
        <v>0</v>
      </c>
      <c r="S528" s="358">
        <f>'ExIntl Freight'!I22</f>
        <v>0</v>
      </c>
      <c r="T528" s="358">
        <f>'ExIntl Freight'!J22</f>
        <v>25.5</v>
      </c>
      <c r="U528" s="358">
        <f>'ExIntl Freight'!K22</f>
        <v>0</v>
      </c>
      <c r="V528" s="365">
        <f>'ExIntl Freight'!L22</f>
        <v>0</v>
      </c>
      <c r="W528" s="358">
        <f>'ExIntl Freight'!M22</f>
        <v>0</v>
      </c>
      <c r="X528" s="358">
        <f>'ExIntl Freight'!N22</f>
        <v>0</v>
      </c>
      <c r="Y528" s="358">
        <f>'ExIntl Freight'!O22</f>
        <v>0</v>
      </c>
    </row>
    <row r="529" spans="1:25" x14ac:dyDescent="0.35">
      <c r="A529">
        <v>528</v>
      </c>
      <c r="B529" t="s">
        <v>1341</v>
      </c>
      <c r="C529" t="s">
        <v>953</v>
      </c>
      <c r="D529" t="s">
        <v>335</v>
      </c>
      <c r="E529" t="s">
        <v>25</v>
      </c>
      <c r="F529" t="s">
        <v>25</v>
      </c>
      <c r="G529" s="63" t="s">
        <v>1506</v>
      </c>
      <c r="H529" s="358">
        <v>215</v>
      </c>
      <c r="I529" s="358">
        <v>0</v>
      </c>
      <c r="J529" s="357">
        <v>15</v>
      </c>
      <c r="K529" s="358">
        <v>0</v>
      </c>
      <c r="L529" s="358">
        <v>230</v>
      </c>
      <c r="M529" s="358">
        <v>0</v>
      </c>
      <c r="N529" s="361">
        <f>'ExIntl Freight'!D23</f>
        <v>0</v>
      </c>
      <c r="O529" s="361">
        <f>'ExIntl Freight'!E23</f>
        <v>0</v>
      </c>
      <c r="P529" s="358">
        <f>'ExIntl Freight'!F23</f>
        <v>230</v>
      </c>
      <c r="Q529" s="358">
        <f>'ExIntl Freight'!G23</f>
        <v>0</v>
      </c>
      <c r="R529" s="358">
        <f>'ExIntl Freight'!H23</f>
        <v>0</v>
      </c>
      <c r="S529" s="358">
        <f>'ExIntl Freight'!I23</f>
        <v>0</v>
      </c>
      <c r="T529" s="358">
        <f>'ExIntl Freight'!J23</f>
        <v>230</v>
      </c>
      <c r="U529" s="358">
        <f>'ExIntl Freight'!K23</f>
        <v>0</v>
      </c>
      <c r="V529" s="365">
        <f>'ExIntl Freight'!L23</f>
        <v>0</v>
      </c>
      <c r="W529" s="358">
        <f>'ExIntl Freight'!M23</f>
        <v>0</v>
      </c>
      <c r="X529" s="358">
        <f>'ExIntl Freight'!N23</f>
        <v>0</v>
      </c>
      <c r="Y529" s="358">
        <f>'ExIntl Freight'!O23</f>
        <v>0</v>
      </c>
    </row>
    <row r="530" spans="1:25" x14ac:dyDescent="0.35">
      <c r="A530">
        <v>529</v>
      </c>
      <c r="B530" t="s">
        <v>1341</v>
      </c>
      <c r="C530" t="s">
        <v>953</v>
      </c>
      <c r="D530" t="s">
        <v>335</v>
      </c>
      <c r="E530" t="s">
        <v>283</v>
      </c>
      <c r="F530" t="s">
        <v>1003</v>
      </c>
      <c r="G530" s="63" t="s">
        <v>1507</v>
      </c>
      <c r="H530" s="358">
        <v>1.05</v>
      </c>
      <c r="I530" s="358">
        <v>0</v>
      </c>
      <c r="J530" s="357">
        <v>0</v>
      </c>
      <c r="K530" s="358">
        <v>0</v>
      </c>
      <c r="L530" s="358">
        <v>1.05</v>
      </c>
      <c r="M530" s="358">
        <v>0</v>
      </c>
      <c r="N530" s="361">
        <f>'ExIntl Freight'!D26</f>
        <v>0</v>
      </c>
      <c r="O530" s="361">
        <f>'ExIntl Freight'!E26</f>
        <v>0</v>
      </c>
      <c r="P530" s="358">
        <f>'ExIntl Freight'!F26</f>
        <v>1.05</v>
      </c>
      <c r="Q530" s="358">
        <f>'ExIntl Freight'!G26</f>
        <v>0</v>
      </c>
      <c r="R530" s="358">
        <f>'ExIntl Freight'!H26</f>
        <v>0</v>
      </c>
      <c r="S530" s="358">
        <f>'ExIntl Freight'!I26</f>
        <v>0</v>
      </c>
      <c r="T530" s="358">
        <f>'ExIntl Freight'!J26</f>
        <v>1.05</v>
      </c>
      <c r="U530" s="358">
        <f>'ExIntl Freight'!K26</f>
        <v>0</v>
      </c>
      <c r="V530" s="365">
        <f>'ExIntl Freight'!L26</f>
        <v>0</v>
      </c>
      <c r="W530" s="358">
        <f>'ExIntl Freight'!M26</f>
        <v>0</v>
      </c>
      <c r="X530" s="358">
        <f>'ExIntl Freight'!N26</f>
        <v>0</v>
      </c>
      <c r="Y530" s="358">
        <f>'ExIntl Freight'!O26</f>
        <v>0</v>
      </c>
    </row>
    <row r="531" spans="1:25" x14ac:dyDescent="0.35">
      <c r="A531">
        <v>530</v>
      </c>
      <c r="B531" t="s">
        <v>1341</v>
      </c>
      <c r="C531" t="s">
        <v>953</v>
      </c>
      <c r="D531" t="s">
        <v>335</v>
      </c>
      <c r="E531" t="s">
        <v>283</v>
      </c>
      <c r="F531" t="s">
        <v>1005</v>
      </c>
      <c r="G531" s="63" t="s">
        <v>1508</v>
      </c>
      <c r="H531" s="358">
        <v>1.05</v>
      </c>
      <c r="I531" s="358">
        <v>0</v>
      </c>
      <c r="J531" s="357">
        <v>0</v>
      </c>
      <c r="K531" s="358">
        <v>0</v>
      </c>
      <c r="L531" s="358">
        <v>1.05</v>
      </c>
      <c r="M531" s="358">
        <v>0</v>
      </c>
      <c r="N531" s="361">
        <f>'ExIntl Freight'!D27</f>
        <v>0</v>
      </c>
      <c r="O531" s="361">
        <f>'ExIntl Freight'!E27</f>
        <v>0</v>
      </c>
      <c r="P531" s="358">
        <f>'ExIntl Freight'!F27</f>
        <v>1.05</v>
      </c>
      <c r="Q531" s="358">
        <f>'ExIntl Freight'!G27</f>
        <v>0</v>
      </c>
      <c r="R531" s="358">
        <f>'ExIntl Freight'!H27</f>
        <v>0</v>
      </c>
      <c r="S531" s="358">
        <f>'ExIntl Freight'!I27</f>
        <v>0</v>
      </c>
      <c r="T531" s="358">
        <f>'ExIntl Freight'!J27</f>
        <v>1.05</v>
      </c>
      <c r="U531" s="358">
        <f>'ExIntl Freight'!K27</f>
        <v>0</v>
      </c>
      <c r="V531" s="365">
        <f>'ExIntl Freight'!L27</f>
        <v>0</v>
      </c>
      <c r="W531" s="358">
        <f>'ExIntl Freight'!M27</f>
        <v>0</v>
      </c>
      <c r="X531" s="358">
        <f>'ExIntl Freight'!N27</f>
        <v>0</v>
      </c>
      <c r="Y531" s="358">
        <f>'ExIntl Freight'!O27</f>
        <v>0</v>
      </c>
    </row>
    <row r="532" spans="1:25" x14ac:dyDescent="0.35">
      <c r="A532">
        <v>531</v>
      </c>
      <c r="B532" t="s">
        <v>1341</v>
      </c>
      <c r="C532" t="s">
        <v>953</v>
      </c>
      <c r="D532" t="s">
        <v>335</v>
      </c>
      <c r="E532" t="s">
        <v>46</v>
      </c>
      <c r="F532" t="s">
        <v>46</v>
      </c>
      <c r="G532" s="63" t="s">
        <v>1509</v>
      </c>
      <c r="H532" s="358">
        <v>210</v>
      </c>
      <c r="I532" s="358">
        <v>0</v>
      </c>
      <c r="J532" s="357">
        <v>0</v>
      </c>
      <c r="K532" s="358">
        <v>0</v>
      </c>
      <c r="L532" s="358">
        <v>210</v>
      </c>
      <c r="M532" s="358">
        <v>0</v>
      </c>
      <c r="N532" s="361">
        <f>'ExIntl Freight'!D28</f>
        <v>0</v>
      </c>
      <c r="O532" s="361">
        <f>'ExIntl Freight'!E28</f>
        <v>0</v>
      </c>
      <c r="P532" s="358">
        <f>'ExIntl Freight'!F28</f>
        <v>210</v>
      </c>
      <c r="Q532" s="358">
        <f>'ExIntl Freight'!G28</f>
        <v>0</v>
      </c>
      <c r="R532" s="358">
        <f>'ExIntl Freight'!H28</f>
        <v>0</v>
      </c>
      <c r="S532" s="358">
        <f>'ExIntl Freight'!I28</f>
        <v>0</v>
      </c>
      <c r="T532" s="358">
        <f>'ExIntl Freight'!J28</f>
        <v>210</v>
      </c>
      <c r="U532" s="358">
        <f>'ExIntl Freight'!K28</f>
        <v>0</v>
      </c>
      <c r="V532" s="365">
        <f>'ExIntl Freight'!L28</f>
        <v>0</v>
      </c>
      <c r="W532" s="358">
        <f>'ExIntl Freight'!M28</f>
        <v>0</v>
      </c>
      <c r="X532" s="358">
        <f>'ExIntl Freight'!N28</f>
        <v>0</v>
      </c>
      <c r="Y532" s="358">
        <f>'ExIntl Freight'!O28</f>
        <v>0</v>
      </c>
    </row>
    <row r="533" spans="1:25" x14ac:dyDescent="0.35">
      <c r="A533">
        <v>532</v>
      </c>
      <c r="B533" t="s">
        <v>1341</v>
      </c>
      <c r="C533" t="s">
        <v>953</v>
      </c>
      <c r="D533" t="s">
        <v>335</v>
      </c>
      <c r="E533" t="s">
        <v>24</v>
      </c>
      <c r="F533" t="s">
        <v>24</v>
      </c>
      <c r="G533" s="63" t="s">
        <v>1510</v>
      </c>
      <c r="H533" s="358">
        <v>210</v>
      </c>
      <c r="I533" s="358">
        <v>0</v>
      </c>
      <c r="J533" s="357">
        <v>0</v>
      </c>
      <c r="K533" s="358">
        <v>0</v>
      </c>
      <c r="L533" s="358">
        <v>210</v>
      </c>
      <c r="M533" s="358">
        <v>0</v>
      </c>
      <c r="N533" s="361">
        <f>'ExIntl Freight'!D29</f>
        <v>0</v>
      </c>
      <c r="O533" s="361">
        <f>'ExIntl Freight'!E29</f>
        <v>0</v>
      </c>
      <c r="P533" s="358">
        <f>'ExIntl Freight'!F29</f>
        <v>210</v>
      </c>
      <c r="Q533" s="358">
        <f>'ExIntl Freight'!G29</f>
        <v>0</v>
      </c>
      <c r="R533" s="358">
        <f>'ExIntl Freight'!H29</f>
        <v>0</v>
      </c>
      <c r="S533" s="358">
        <f>'ExIntl Freight'!I29</f>
        <v>0</v>
      </c>
      <c r="T533" s="358">
        <f>'ExIntl Freight'!J29</f>
        <v>210</v>
      </c>
      <c r="U533" s="358">
        <f>'ExIntl Freight'!K29</f>
        <v>0</v>
      </c>
      <c r="V533" s="365">
        <f>'ExIntl Freight'!L29</f>
        <v>0</v>
      </c>
      <c r="W533" s="358">
        <f>'ExIntl Freight'!M29</f>
        <v>0</v>
      </c>
      <c r="X533" s="358">
        <f>'ExIntl Freight'!N29</f>
        <v>0</v>
      </c>
      <c r="Y533" s="358">
        <f>'ExIntl Freight'!O29</f>
        <v>0</v>
      </c>
    </row>
    <row r="534" spans="1:25" x14ac:dyDescent="0.35">
      <c r="A534">
        <v>533</v>
      </c>
      <c r="B534" t="s">
        <v>1350</v>
      </c>
      <c r="C534" t="s">
        <v>953</v>
      </c>
      <c r="D534" t="s">
        <v>335</v>
      </c>
      <c r="E534" t="s">
        <v>66</v>
      </c>
      <c r="F534" t="s">
        <v>293</v>
      </c>
      <c r="G534" s="63" t="s">
        <v>1492</v>
      </c>
      <c r="H534" s="358">
        <v>260</v>
      </c>
      <c r="I534" s="358">
        <v>0</v>
      </c>
      <c r="J534" s="357">
        <v>15</v>
      </c>
      <c r="K534" s="358">
        <v>0</v>
      </c>
      <c r="L534" s="358">
        <v>275</v>
      </c>
      <c r="M534" s="358">
        <v>0</v>
      </c>
      <c r="N534" s="361">
        <f>'ExIntl Freight'!P6</f>
        <v>0</v>
      </c>
      <c r="O534" s="361">
        <f>'ExIntl Freight'!Q6</f>
        <v>0</v>
      </c>
      <c r="P534" s="358">
        <f>'ExIntl Freight'!R6</f>
        <v>275</v>
      </c>
      <c r="Q534" s="358">
        <f>'ExIntl Freight'!S6</f>
        <v>0</v>
      </c>
      <c r="R534" s="358">
        <f>'ExIntl Freight'!T6</f>
        <v>0</v>
      </c>
      <c r="S534" s="358">
        <f>'ExIntl Freight'!U6</f>
        <v>0</v>
      </c>
      <c r="T534" s="358">
        <f>'ExIntl Freight'!V6</f>
        <v>275</v>
      </c>
      <c r="U534" s="358">
        <f>'ExIntl Freight'!W6</f>
        <v>0</v>
      </c>
      <c r="V534" s="365">
        <f>'ExIntl Freight'!X6</f>
        <v>0</v>
      </c>
      <c r="W534" s="358">
        <f>'ExIntl Freight'!Y6</f>
        <v>0</v>
      </c>
      <c r="X534" s="358">
        <f>'ExIntl Freight'!Z6</f>
        <v>0</v>
      </c>
      <c r="Y534" s="358">
        <f>'ExIntl Freight'!AA6</f>
        <v>0</v>
      </c>
    </row>
    <row r="535" spans="1:25" x14ac:dyDescent="0.35">
      <c r="A535">
        <v>534</v>
      </c>
      <c r="B535" t="s">
        <v>1350</v>
      </c>
      <c r="C535" t="s">
        <v>953</v>
      </c>
      <c r="D535" t="s">
        <v>335</v>
      </c>
      <c r="E535" t="s">
        <v>66</v>
      </c>
      <c r="F535" t="s">
        <v>291</v>
      </c>
      <c r="G535" s="63" t="s">
        <v>1493</v>
      </c>
      <c r="H535" s="358">
        <v>330</v>
      </c>
      <c r="I535" s="358">
        <v>0</v>
      </c>
      <c r="J535" s="357">
        <v>20</v>
      </c>
      <c r="K535" s="358">
        <v>0</v>
      </c>
      <c r="L535" s="358">
        <v>350</v>
      </c>
      <c r="M535" s="358">
        <v>0</v>
      </c>
      <c r="N535" s="361">
        <f>'ExIntl Freight'!P7</f>
        <v>0</v>
      </c>
      <c r="O535" s="361">
        <f>'ExIntl Freight'!Q7</f>
        <v>0</v>
      </c>
      <c r="P535" s="358">
        <f>'ExIntl Freight'!R7</f>
        <v>350</v>
      </c>
      <c r="Q535" s="358">
        <f>'ExIntl Freight'!S7</f>
        <v>0</v>
      </c>
      <c r="R535" s="358">
        <f>'ExIntl Freight'!T7</f>
        <v>0</v>
      </c>
      <c r="S535" s="358">
        <f>'ExIntl Freight'!U7</f>
        <v>0</v>
      </c>
      <c r="T535" s="358">
        <f>'ExIntl Freight'!V7</f>
        <v>350</v>
      </c>
      <c r="U535" s="358">
        <f>'ExIntl Freight'!W7</f>
        <v>0</v>
      </c>
      <c r="V535" s="365">
        <f>'ExIntl Freight'!X7</f>
        <v>0</v>
      </c>
      <c r="W535" s="358">
        <f>'ExIntl Freight'!Y7</f>
        <v>0</v>
      </c>
      <c r="X535" s="358">
        <f>'ExIntl Freight'!Z7</f>
        <v>0</v>
      </c>
      <c r="Y535" s="358">
        <f>'ExIntl Freight'!AA7</f>
        <v>0</v>
      </c>
    </row>
    <row r="536" spans="1:25" x14ac:dyDescent="0.35">
      <c r="A536">
        <v>535</v>
      </c>
      <c r="B536" t="s">
        <v>1350</v>
      </c>
      <c r="C536" t="s">
        <v>953</v>
      </c>
      <c r="D536" t="s">
        <v>335</v>
      </c>
      <c r="E536" t="s">
        <v>31</v>
      </c>
      <c r="F536" t="s">
        <v>31</v>
      </c>
      <c r="G536" s="63" t="s">
        <v>1494</v>
      </c>
      <c r="H536" s="358">
        <v>24</v>
      </c>
      <c r="I536" s="358">
        <v>0</v>
      </c>
      <c r="J536" s="357">
        <v>1.5</v>
      </c>
      <c r="K536" s="358">
        <v>0</v>
      </c>
      <c r="L536" s="358">
        <v>25.5</v>
      </c>
      <c r="M536" s="358">
        <v>0</v>
      </c>
      <c r="N536" s="361">
        <f>'ExIntl Freight'!P8</f>
        <v>0</v>
      </c>
      <c r="O536" s="361">
        <f>'ExIntl Freight'!Q8</f>
        <v>0</v>
      </c>
      <c r="P536" s="358">
        <f>'ExIntl Freight'!R8</f>
        <v>25.5</v>
      </c>
      <c r="Q536" s="358">
        <f>'ExIntl Freight'!S8</f>
        <v>0</v>
      </c>
      <c r="R536" s="358">
        <f>'ExIntl Freight'!T8</f>
        <v>0</v>
      </c>
      <c r="S536" s="358">
        <f>'ExIntl Freight'!U8</f>
        <v>0</v>
      </c>
      <c r="T536" s="358">
        <f>'ExIntl Freight'!V8</f>
        <v>25.5</v>
      </c>
      <c r="U536" s="358">
        <f>'ExIntl Freight'!W8</f>
        <v>0</v>
      </c>
      <c r="V536" s="365">
        <f>'ExIntl Freight'!X8</f>
        <v>0</v>
      </c>
      <c r="W536" s="358">
        <f>'ExIntl Freight'!Y8</f>
        <v>0</v>
      </c>
      <c r="X536" s="358">
        <f>'ExIntl Freight'!Z8</f>
        <v>0</v>
      </c>
      <c r="Y536" s="358">
        <f>'ExIntl Freight'!AA8</f>
        <v>0</v>
      </c>
    </row>
    <row r="537" spans="1:25" x14ac:dyDescent="0.35">
      <c r="A537">
        <v>536</v>
      </c>
      <c r="B537" t="s">
        <v>1350</v>
      </c>
      <c r="C537" t="s">
        <v>953</v>
      </c>
      <c r="D537" t="s">
        <v>335</v>
      </c>
      <c r="E537" t="s">
        <v>51</v>
      </c>
      <c r="F537" t="s">
        <v>876</v>
      </c>
      <c r="G537" s="63" t="s">
        <v>1495</v>
      </c>
      <c r="H537" s="358">
        <v>255</v>
      </c>
      <c r="I537" s="358">
        <v>1.4</v>
      </c>
      <c r="J537" s="357">
        <v>15</v>
      </c>
      <c r="K537" s="358">
        <v>8.0000000000000071E-2</v>
      </c>
      <c r="L537" s="358">
        <v>270</v>
      </c>
      <c r="M537" s="358">
        <v>1.48</v>
      </c>
      <c r="N537" s="361">
        <f>'ExIntl Freight'!P10</f>
        <v>0</v>
      </c>
      <c r="O537" s="361">
        <f>'ExIntl Freight'!Q10</f>
        <v>0</v>
      </c>
      <c r="P537" s="358">
        <f>'ExIntl Freight'!R10</f>
        <v>270</v>
      </c>
      <c r="Q537" s="358">
        <f>'ExIntl Freight'!S10</f>
        <v>1.48</v>
      </c>
      <c r="R537" s="358">
        <f>'ExIntl Freight'!T10</f>
        <v>0</v>
      </c>
      <c r="S537" s="358">
        <f>'ExIntl Freight'!U10</f>
        <v>0</v>
      </c>
      <c r="T537" s="358">
        <f>'ExIntl Freight'!V10</f>
        <v>270</v>
      </c>
      <c r="U537" s="358">
        <f>'ExIntl Freight'!W10</f>
        <v>1.48</v>
      </c>
      <c r="V537" s="365">
        <f>'ExIntl Freight'!X10</f>
        <v>0</v>
      </c>
      <c r="W537" s="358">
        <f>'ExIntl Freight'!Y10</f>
        <v>0</v>
      </c>
      <c r="X537" s="358">
        <f>'ExIntl Freight'!Z10</f>
        <v>0</v>
      </c>
      <c r="Y537" s="358">
        <f>'ExIntl Freight'!AA10</f>
        <v>0</v>
      </c>
    </row>
    <row r="538" spans="1:25" x14ac:dyDescent="0.35">
      <c r="A538">
        <v>537</v>
      </c>
      <c r="B538" t="s">
        <v>1350</v>
      </c>
      <c r="C538" t="s">
        <v>953</v>
      </c>
      <c r="D538" t="s">
        <v>335</v>
      </c>
      <c r="E538" t="s">
        <v>51</v>
      </c>
      <c r="F538" t="s">
        <v>877</v>
      </c>
      <c r="G538" s="63" t="s">
        <v>1496</v>
      </c>
      <c r="H538" s="358">
        <v>145</v>
      </c>
      <c r="I538" s="358">
        <v>0.67</v>
      </c>
      <c r="J538" s="357">
        <v>8.5</v>
      </c>
      <c r="K538" s="358">
        <v>3.9999999999999925E-2</v>
      </c>
      <c r="L538" s="358">
        <v>153.5</v>
      </c>
      <c r="M538" s="358">
        <v>0.71</v>
      </c>
      <c r="N538" s="361">
        <f>'ExIntl Freight'!P11</f>
        <v>0</v>
      </c>
      <c r="O538" s="361">
        <f>'ExIntl Freight'!Q11</f>
        <v>0</v>
      </c>
      <c r="P538" s="358">
        <f>'ExIntl Freight'!R11</f>
        <v>153.5</v>
      </c>
      <c r="Q538" s="358">
        <f>'ExIntl Freight'!S11</f>
        <v>0.71</v>
      </c>
      <c r="R538" s="358">
        <f>'ExIntl Freight'!T11</f>
        <v>0</v>
      </c>
      <c r="S538" s="358">
        <f>'ExIntl Freight'!U11</f>
        <v>0</v>
      </c>
      <c r="T538" s="358">
        <f>'ExIntl Freight'!V11</f>
        <v>153.5</v>
      </c>
      <c r="U538" s="358">
        <f>'ExIntl Freight'!W11</f>
        <v>0.71</v>
      </c>
      <c r="V538" s="365">
        <f>'ExIntl Freight'!X11</f>
        <v>0</v>
      </c>
      <c r="W538" s="358">
        <f>'ExIntl Freight'!Y11</f>
        <v>0</v>
      </c>
      <c r="X538" s="358">
        <f>'ExIntl Freight'!Z11</f>
        <v>0</v>
      </c>
      <c r="Y538" s="358">
        <f>'ExIntl Freight'!AA11</f>
        <v>0</v>
      </c>
    </row>
    <row r="539" spans="1:25" x14ac:dyDescent="0.35">
      <c r="A539">
        <v>538</v>
      </c>
      <c r="B539" t="s">
        <v>1350</v>
      </c>
      <c r="C539" t="s">
        <v>953</v>
      </c>
      <c r="D539" t="s">
        <v>335</v>
      </c>
      <c r="E539" t="s">
        <v>28</v>
      </c>
      <c r="F539" t="s">
        <v>28</v>
      </c>
      <c r="G539" s="63" t="s">
        <v>1497</v>
      </c>
      <c r="H539" s="358">
        <v>1.5</v>
      </c>
      <c r="I539" s="358">
        <v>9.07</v>
      </c>
      <c r="J539" s="357">
        <v>0.14999999999999991</v>
      </c>
      <c r="K539" s="358">
        <v>0</v>
      </c>
      <c r="L539" s="358">
        <v>1.65</v>
      </c>
      <c r="M539" s="358">
        <v>9.07</v>
      </c>
      <c r="N539" s="361">
        <f>'ExIntl Freight'!P12</f>
        <v>0</v>
      </c>
      <c r="O539" s="361">
        <f>'ExIntl Freight'!Q12</f>
        <v>0</v>
      </c>
      <c r="P539" s="358">
        <f>'ExIntl Freight'!R12</f>
        <v>1.65</v>
      </c>
      <c r="Q539" s="358">
        <f>'ExIntl Freight'!S12</f>
        <v>9.07</v>
      </c>
      <c r="R539" s="358">
        <f>'ExIntl Freight'!T12</f>
        <v>0</v>
      </c>
      <c r="S539" s="358">
        <f>'ExIntl Freight'!U12</f>
        <v>0</v>
      </c>
      <c r="T539" s="358">
        <f>'ExIntl Freight'!V12</f>
        <v>1.65</v>
      </c>
      <c r="U539" s="358">
        <f>'ExIntl Freight'!W12</f>
        <v>9.07</v>
      </c>
      <c r="V539" s="365">
        <f>'ExIntl Freight'!X12</f>
        <v>0</v>
      </c>
    </row>
    <row r="540" spans="1:25" x14ac:dyDescent="0.35">
      <c r="A540">
        <v>539</v>
      </c>
      <c r="B540" t="s">
        <v>1350</v>
      </c>
      <c r="C540" t="s">
        <v>953</v>
      </c>
      <c r="D540" t="s">
        <v>335</v>
      </c>
      <c r="E540" t="s">
        <v>18</v>
      </c>
      <c r="F540" t="s">
        <v>18</v>
      </c>
      <c r="G540" s="63" t="s">
        <v>1498</v>
      </c>
      <c r="H540" s="358">
        <v>0</v>
      </c>
      <c r="I540" s="358">
        <v>0</v>
      </c>
      <c r="J540" s="357">
        <v>0</v>
      </c>
      <c r="K540" s="358">
        <v>0</v>
      </c>
      <c r="L540" s="358">
        <v>0</v>
      </c>
      <c r="M540" s="358">
        <v>0</v>
      </c>
      <c r="N540" s="361">
        <f>'ExIntl Freight'!P13</f>
        <v>0</v>
      </c>
      <c r="O540" s="361">
        <f>'ExIntl Freight'!Q13</f>
        <v>0</v>
      </c>
      <c r="V540" s="365">
        <f>'ExIntl Freight'!X13</f>
        <v>0</v>
      </c>
    </row>
    <row r="541" spans="1:25" x14ac:dyDescent="0.35">
      <c r="A541">
        <v>540</v>
      </c>
      <c r="B541" t="s">
        <v>1350</v>
      </c>
      <c r="C541" t="s">
        <v>953</v>
      </c>
      <c r="D541" t="s">
        <v>335</v>
      </c>
      <c r="E541" t="s">
        <v>955</v>
      </c>
      <c r="F541" t="s">
        <v>957</v>
      </c>
      <c r="G541" s="63" t="s">
        <v>1499</v>
      </c>
      <c r="H541" s="358">
        <v>245</v>
      </c>
      <c r="I541" s="358">
        <v>0</v>
      </c>
      <c r="J541" s="357">
        <v>15</v>
      </c>
      <c r="K541" s="358">
        <v>0</v>
      </c>
      <c r="L541" s="358">
        <v>260</v>
      </c>
      <c r="M541" s="358">
        <v>0</v>
      </c>
      <c r="N541" s="361">
        <f>'ExIntl Freight'!P15</f>
        <v>0</v>
      </c>
      <c r="O541" s="361">
        <f>'ExIntl Freight'!Q15</f>
        <v>0</v>
      </c>
      <c r="P541" s="358">
        <f>'ExIntl Freight'!R15</f>
        <v>260</v>
      </c>
      <c r="Q541" s="358">
        <f>'ExIntl Freight'!S15</f>
        <v>0</v>
      </c>
      <c r="R541" s="358">
        <f>'ExIntl Freight'!T15</f>
        <v>0</v>
      </c>
      <c r="S541" s="358">
        <f>'ExIntl Freight'!U15</f>
        <v>0</v>
      </c>
      <c r="T541" s="358">
        <f>'ExIntl Freight'!V15</f>
        <v>260</v>
      </c>
      <c r="U541" s="358">
        <f>'ExIntl Freight'!W15</f>
        <v>0</v>
      </c>
      <c r="V541" s="365">
        <f>'ExIntl Freight'!X15</f>
        <v>0</v>
      </c>
      <c r="W541" s="358">
        <f>'ExIntl Freight'!Y15</f>
        <v>0</v>
      </c>
      <c r="X541" s="358">
        <f>'ExIntl Freight'!Z15</f>
        <v>0</v>
      </c>
      <c r="Y541" s="358">
        <f>'ExIntl Freight'!AA15</f>
        <v>0</v>
      </c>
    </row>
    <row r="542" spans="1:25" x14ac:dyDescent="0.35">
      <c r="A542">
        <v>541</v>
      </c>
      <c r="B542" t="s">
        <v>1350</v>
      </c>
      <c r="C542" t="s">
        <v>953</v>
      </c>
      <c r="D542" t="s">
        <v>335</v>
      </c>
      <c r="E542" t="s">
        <v>955</v>
      </c>
      <c r="F542" t="s">
        <v>958</v>
      </c>
      <c r="G542" s="63" t="s">
        <v>1500</v>
      </c>
      <c r="H542" s="358">
        <v>320</v>
      </c>
      <c r="I542" s="358">
        <v>0</v>
      </c>
      <c r="J542" s="357">
        <v>20</v>
      </c>
      <c r="K542" s="358">
        <v>0</v>
      </c>
      <c r="L542" s="358">
        <v>340</v>
      </c>
      <c r="M542" s="358">
        <v>0</v>
      </c>
      <c r="N542" s="361">
        <f>'ExIntl Freight'!P16</f>
        <v>0</v>
      </c>
      <c r="O542" s="361">
        <f>'ExIntl Freight'!Q16</f>
        <v>0</v>
      </c>
      <c r="P542" s="358">
        <f>'ExIntl Freight'!R16</f>
        <v>340</v>
      </c>
      <c r="Q542" s="358">
        <f>'ExIntl Freight'!S16</f>
        <v>0</v>
      </c>
      <c r="R542" s="358">
        <f>'ExIntl Freight'!T16</f>
        <v>0</v>
      </c>
      <c r="S542" s="358">
        <f>'ExIntl Freight'!U16</f>
        <v>0</v>
      </c>
      <c r="T542" s="358">
        <f>'ExIntl Freight'!V16</f>
        <v>340</v>
      </c>
      <c r="U542" s="358">
        <f>'ExIntl Freight'!W16</f>
        <v>0</v>
      </c>
      <c r="V542" s="365">
        <f>'ExIntl Freight'!X16</f>
        <v>0</v>
      </c>
      <c r="W542" s="358">
        <f>'ExIntl Freight'!Y16</f>
        <v>0</v>
      </c>
      <c r="X542" s="358">
        <f>'ExIntl Freight'!Z16</f>
        <v>0</v>
      </c>
      <c r="Y542" s="358">
        <f>'ExIntl Freight'!AA16</f>
        <v>0</v>
      </c>
    </row>
    <row r="543" spans="1:25" x14ac:dyDescent="0.35">
      <c r="A543">
        <v>542</v>
      </c>
      <c r="B543" t="s">
        <v>1350</v>
      </c>
      <c r="C543" t="s">
        <v>953</v>
      </c>
      <c r="D543" t="s">
        <v>335</v>
      </c>
      <c r="E543" t="s">
        <v>959</v>
      </c>
      <c r="F543" t="s">
        <v>961</v>
      </c>
      <c r="G543" s="63" t="s">
        <v>1501</v>
      </c>
      <c r="H543" s="358">
        <v>245</v>
      </c>
      <c r="I543" s="358">
        <v>0</v>
      </c>
      <c r="J543" s="357">
        <v>15</v>
      </c>
      <c r="K543" s="358">
        <v>0</v>
      </c>
      <c r="L543" s="358">
        <v>260</v>
      </c>
      <c r="M543" s="358">
        <v>0</v>
      </c>
      <c r="N543" s="361">
        <f>'ExIntl Freight'!P18</f>
        <v>0</v>
      </c>
      <c r="O543" s="361">
        <f>'ExIntl Freight'!Q18</f>
        <v>0</v>
      </c>
      <c r="P543" s="358">
        <f>'ExIntl Freight'!R18</f>
        <v>260</v>
      </c>
      <c r="Q543" s="358">
        <f>'ExIntl Freight'!S18</f>
        <v>0</v>
      </c>
      <c r="R543" s="358">
        <f>'ExIntl Freight'!T18</f>
        <v>0</v>
      </c>
      <c r="S543" s="358">
        <f>'ExIntl Freight'!U18</f>
        <v>0</v>
      </c>
      <c r="T543" s="358">
        <f>'ExIntl Freight'!V18</f>
        <v>260</v>
      </c>
      <c r="U543" s="358">
        <f>'ExIntl Freight'!W18</f>
        <v>0</v>
      </c>
      <c r="V543" s="365">
        <f>'ExIntl Freight'!X18</f>
        <v>0</v>
      </c>
      <c r="W543" s="358">
        <f>'ExIntl Freight'!Y18</f>
        <v>0</v>
      </c>
      <c r="X543" s="358">
        <f>'ExIntl Freight'!Z18</f>
        <v>0</v>
      </c>
      <c r="Y543" s="358">
        <f>'ExIntl Freight'!AA18</f>
        <v>0</v>
      </c>
    </row>
    <row r="544" spans="1:25" x14ac:dyDescent="0.35">
      <c r="A544">
        <v>543</v>
      </c>
      <c r="B544" t="s">
        <v>1350</v>
      </c>
      <c r="C544" t="s">
        <v>953</v>
      </c>
      <c r="D544" t="s">
        <v>335</v>
      </c>
      <c r="E544" t="s">
        <v>959</v>
      </c>
      <c r="F544" t="s">
        <v>962</v>
      </c>
      <c r="G544" s="63" t="s">
        <v>1502</v>
      </c>
      <c r="H544" s="358">
        <v>320</v>
      </c>
      <c r="I544" s="358">
        <v>0</v>
      </c>
      <c r="J544" s="357">
        <v>20</v>
      </c>
      <c r="K544" s="358">
        <v>0</v>
      </c>
      <c r="L544" s="358">
        <v>340</v>
      </c>
      <c r="M544" s="358">
        <v>0</v>
      </c>
      <c r="N544" s="361">
        <f>'ExIntl Freight'!P19</f>
        <v>0</v>
      </c>
      <c r="O544" s="361">
        <f>'ExIntl Freight'!Q19</f>
        <v>0</v>
      </c>
      <c r="P544" s="358">
        <f>'ExIntl Freight'!R19</f>
        <v>340</v>
      </c>
      <c r="Q544" s="358">
        <f>'ExIntl Freight'!S19</f>
        <v>0</v>
      </c>
      <c r="R544" s="358">
        <f>'ExIntl Freight'!T19</f>
        <v>0</v>
      </c>
      <c r="S544" s="358">
        <f>'ExIntl Freight'!U19</f>
        <v>0</v>
      </c>
      <c r="T544" s="358">
        <f>'ExIntl Freight'!V19</f>
        <v>340</v>
      </c>
      <c r="U544" s="358">
        <f>'ExIntl Freight'!W19</f>
        <v>0</v>
      </c>
      <c r="V544" s="365">
        <f>'ExIntl Freight'!X19</f>
        <v>0</v>
      </c>
      <c r="W544" s="358">
        <f>'ExIntl Freight'!Y19</f>
        <v>0</v>
      </c>
      <c r="X544" s="358">
        <f>'ExIntl Freight'!Z19</f>
        <v>0</v>
      </c>
      <c r="Y544" s="358">
        <f>'ExIntl Freight'!AA19</f>
        <v>0</v>
      </c>
    </row>
    <row r="545" spans="1:25" x14ac:dyDescent="0.35">
      <c r="A545">
        <v>544</v>
      </c>
      <c r="B545" t="s">
        <v>1350</v>
      </c>
      <c r="C545" t="s">
        <v>953</v>
      </c>
      <c r="D545" t="s">
        <v>335</v>
      </c>
      <c r="E545" t="s">
        <v>57</v>
      </c>
      <c r="F545" t="s">
        <v>57</v>
      </c>
      <c r="G545" s="63" t="s">
        <v>1503</v>
      </c>
      <c r="H545" s="358">
        <v>24</v>
      </c>
      <c r="I545" s="358">
        <v>0</v>
      </c>
      <c r="J545" s="357">
        <v>1.5</v>
      </c>
      <c r="K545" s="358">
        <v>0</v>
      </c>
      <c r="L545" s="358">
        <v>25.5</v>
      </c>
      <c r="M545" s="358">
        <v>0</v>
      </c>
      <c r="N545" s="361">
        <f>'ExIntl Freight'!P20</f>
        <v>0</v>
      </c>
      <c r="O545" s="361">
        <f>'ExIntl Freight'!Q20</f>
        <v>0</v>
      </c>
      <c r="P545" s="358">
        <f>'ExIntl Freight'!R20</f>
        <v>25.5</v>
      </c>
      <c r="Q545" s="358">
        <f>'ExIntl Freight'!S20</f>
        <v>0</v>
      </c>
      <c r="R545" s="358">
        <f>'ExIntl Freight'!T20</f>
        <v>0</v>
      </c>
      <c r="S545" s="358">
        <f>'ExIntl Freight'!U20</f>
        <v>0</v>
      </c>
      <c r="T545" s="358">
        <f>'ExIntl Freight'!V20</f>
        <v>25.5</v>
      </c>
      <c r="U545" s="358">
        <f>'ExIntl Freight'!W20</f>
        <v>0</v>
      </c>
      <c r="V545" s="365">
        <f>'ExIntl Freight'!X20</f>
        <v>0</v>
      </c>
      <c r="W545" s="358">
        <f>'ExIntl Freight'!Y20</f>
        <v>0</v>
      </c>
      <c r="X545" s="358">
        <f>'ExIntl Freight'!Z20</f>
        <v>0</v>
      </c>
      <c r="Y545" s="358">
        <f>'ExIntl Freight'!AA20</f>
        <v>0</v>
      </c>
    </row>
    <row r="546" spans="1:25" x14ac:dyDescent="0.35">
      <c r="A546">
        <v>545</v>
      </c>
      <c r="B546" t="s">
        <v>1350</v>
      </c>
      <c r="C546" t="s">
        <v>953</v>
      </c>
      <c r="D546" t="s">
        <v>335</v>
      </c>
      <c r="E546" t="s">
        <v>314</v>
      </c>
      <c r="F546" t="s">
        <v>314</v>
      </c>
      <c r="G546" s="63" t="s">
        <v>1504</v>
      </c>
      <c r="H546" s="358">
        <v>690</v>
      </c>
      <c r="I546" s="358">
        <v>0.69</v>
      </c>
      <c r="J546" s="357">
        <v>0</v>
      </c>
      <c r="K546" s="358">
        <v>0</v>
      </c>
      <c r="L546" s="358">
        <v>690</v>
      </c>
      <c r="M546" s="358">
        <v>0.69</v>
      </c>
      <c r="N546" s="361">
        <f>'ExIntl Freight'!P21</f>
        <v>0</v>
      </c>
      <c r="O546" s="361">
        <f>'ExIntl Freight'!Q21</f>
        <v>0</v>
      </c>
      <c r="P546" s="358">
        <f>'ExIntl Freight'!R21</f>
        <v>690</v>
      </c>
      <c r="Q546" s="358">
        <f>'ExIntl Freight'!S21</f>
        <v>0.69</v>
      </c>
      <c r="R546" s="358">
        <f>'ExIntl Freight'!T21</f>
        <v>0</v>
      </c>
      <c r="S546" s="358">
        <f>'ExIntl Freight'!U21</f>
        <v>0</v>
      </c>
      <c r="T546" s="358">
        <f>'ExIntl Freight'!V21</f>
        <v>690</v>
      </c>
      <c r="U546" s="358">
        <f>'ExIntl Freight'!W21</f>
        <v>0.69</v>
      </c>
      <c r="V546" s="365">
        <f>'ExIntl Freight'!X21</f>
        <v>0</v>
      </c>
      <c r="W546" s="358">
        <f>'ExIntl Freight'!Y21</f>
        <v>0</v>
      </c>
      <c r="X546" s="358">
        <f>'ExIntl Freight'!Z21</f>
        <v>0</v>
      </c>
      <c r="Y546" s="358">
        <f>'ExIntl Freight'!AA21</f>
        <v>0</v>
      </c>
    </row>
    <row r="547" spans="1:25" x14ac:dyDescent="0.35">
      <c r="A547">
        <v>546</v>
      </c>
      <c r="B547" t="s">
        <v>1350</v>
      </c>
      <c r="C547" t="s">
        <v>953</v>
      </c>
      <c r="D547" t="s">
        <v>335</v>
      </c>
      <c r="E547" t="s">
        <v>852</v>
      </c>
      <c r="F547" t="s">
        <v>852</v>
      </c>
      <c r="G547" s="63" t="s">
        <v>1505</v>
      </c>
      <c r="H547" s="358">
        <v>24</v>
      </c>
      <c r="I547" s="358">
        <v>0</v>
      </c>
      <c r="J547" s="357">
        <v>1.5</v>
      </c>
      <c r="K547" s="358">
        <v>0</v>
      </c>
      <c r="L547" s="358">
        <v>25.5</v>
      </c>
      <c r="M547" s="358">
        <v>0</v>
      </c>
      <c r="N547" s="361">
        <f>'ExIntl Freight'!P22</f>
        <v>0</v>
      </c>
      <c r="O547" s="361">
        <f>'ExIntl Freight'!Q22</f>
        <v>0</v>
      </c>
      <c r="P547" s="358">
        <f>'ExIntl Freight'!R22</f>
        <v>25.5</v>
      </c>
      <c r="Q547" s="358">
        <f>'ExIntl Freight'!S22</f>
        <v>0</v>
      </c>
      <c r="R547" s="358">
        <f>'ExIntl Freight'!T22</f>
        <v>0</v>
      </c>
      <c r="S547" s="358">
        <f>'ExIntl Freight'!U22</f>
        <v>0</v>
      </c>
      <c r="T547" s="358">
        <f>'ExIntl Freight'!V22</f>
        <v>25.5</v>
      </c>
      <c r="U547" s="358">
        <f>'ExIntl Freight'!W22</f>
        <v>0</v>
      </c>
      <c r="V547" s="365">
        <f>'ExIntl Freight'!X22</f>
        <v>0</v>
      </c>
      <c r="W547" s="358">
        <f>'ExIntl Freight'!Y22</f>
        <v>0</v>
      </c>
      <c r="X547" s="358">
        <f>'ExIntl Freight'!Z22</f>
        <v>0</v>
      </c>
      <c r="Y547" s="358">
        <f>'ExIntl Freight'!AA22</f>
        <v>0</v>
      </c>
    </row>
    <row r="548" spans="1:25" x14ac:dyDescent="0.35">
      <c r="A548">
        <v>547</v>
      </c>
      <c r="B548" t="s">
        <v>1350</v>
      </c>
      <c r="C548" t="s">
        <v>953</v>
      </c>
      <c r="D548" t="s">
        <v>335</v>
      </c>
      <c r="E548" t="s">
        <v>25</v>
      </c>
      <c r="F548" t="s">
        <v>25</v>
      </c>
      <c r="G548" s="63" t="s">
        <v>1506</v>
      </c>
      <c r="H548" s="358">
        <v>215</v>
      </c>
      <c r="I548" s="358">
        <v>0</v>
      </c>
      <c r="J548" s="357">
        <v>15</v>
      </c>
      <c r="K548" s="358">
        <v>0</v>
      </c>
      <c r="L548" s="358">
        <v>230</v>
      </c>
      <c r="M548" s="358">
        <v>0</v>
      </c>
      <c r="N548" s="361">
        <f>'ExIntl Freight'!P23</f>
        <v>0</v>
      </c>
      <c r="O548" s="361">
        <f>'ExIntl Freight'!Q23</f>
        <v>0</v>
      </c>
      <c r="P548" s="358">
        <f>'ExIntl Freight'!R23</f>
        <v>230</v>
      </c>
      <c r="Q548" s="358">
        <f>'ExIntl Freight'!S23</f>
        <v>0</v>
      </c>
      <c r="R548" s="358">
        <f>'ExIntl Freight'!T23</f>
        <v>0</v>
      </c>
      <c r="S548" s="358">
        <f>'ExIntl Freight'!U23</f>
        <v>0</v>
      </c>
      <c r="T548" s="358">
        <f>'ExIntl Freight'!V23</f>
        <v>230</v>
      </c>
      <c r="U548" s="358">
        <f>'ExIntl Freight'!W23</f>
        <v>0</v>
      </c>
      <c r="V548" s="365">
        <f>'ExIntl Freight'!X23</f>
        <v>0</v>
      </c>
      <c r="W548" s="358">
        <f>'ExIntl Freight'!Y23</f>
        <v>0</v>
      </c>
      <c r="X548" s="358">
        <f>'ExIntl Freight'!Z23</f>
        <v>0</v>
      </c>
      <c r="Y548" s="358">
        <f>'ExIntl Freight'!AA23</f>
        <v>0</v>
      </c>
    </row>
    <row r="549" spans="1:25" x14ac:dyDescent="0.35">
      <c r="A549">
        <v>548</v>
      </c>
      <c r="B549" t="s">
        <v>1350</v>
      </c>
      <c r="C549" t="s">
        <v>953</v>
      </c>
      <c r="D549" t="s">
        <v>335</v>
      </c>
      <c r="E549" t="s">
        <v>283</v>
      </c>
      <c r="F549" t="s">
        <v>1003</v>
      </c>
      <c r="G549" s="63" t="s">
        <v>1507</v>
      </c>
      <c r="H549" s="358">
        <v>1.05</v>
      </c>
      <c r="I549" s="358">
        <v>0</v>
      </c>
      <c r="J549" s="357">
        <v>0</v>
      </c>
      <c r="K549" s="358">
        <v>0</v>
      </c>
      <c r="L549" s="358">
        <v>1.05</v>
      </c>
      <c r="M549" s="358">
        <v>0</v>
      </c>
      <c r="N549" s="361">
        <f>'ExIntl Freight'!P26</f>
        <v>0</v>
      </c>
      <c r="O549" s="361">
        <f>'ExIntl Freight'!Q26</f>
        <v>0</v>
      </c>
      <c r="P549" s="358">
        <f>'ExIntl Freight'!R26</f>
        <v>1.05</v>
      </c>
      <c r="Q549" s="358">
        <f>'ExIntl Freight'!S26</f>
        <v>0</v>
      </c>
      <c r="R549" s="358">
        <f>'ExIntl Freight'!T26</f>
        <v>0</v>
      </c>
      <c r="S549" s="358">
        <f>'ExIntl Freight'!U26</f>
        <v>0</v>
      </c>
      <c r="T549" s="358">
        <f>'ExIntl Freight'!V26</f>
        <v>1.05</v>
      </c>
      <c r="U549" s="358">
        <f>'ExIntl Freight'!W26</f>
        <v>0</v>
      </c>
      <c r="V549" s="365">
        <f>'ExIntl Freight'!X26</f>
        <v>0</v>
      </c>
      <c r="W549" s="358">
        <f>'ExIntl Freight'!Y26</f>
        <v>0</v>
      </c>
      <c r="X549" s="358">
        <f>'ExIntl Freight'!Z26</f>
        <v>0</v>
      </c>
      <c r="Y549" s="358">
        <f>'ExIntl Freight'!AA26</f>
        <v>0</v>
      </c>
    </row>
    <row r="550" spans="1:25" x14ac:dyDescent="0.35">
      <c r="A550">
        <v>549</v>
      </c>
      <c r="B550" t="s">
        <v>1350</v>
      </c>
      <c r="C550" t="s">
        <v>953</v>
      </c>
      <c r="D550" t="s">
        <v>335</v>
      </c>
      <c r="E550" t="s">
        <v>283</v>
      </c>
      <c r="F550" t="s">
        <v>1005</v>
      </c>
      <c r="G550" s="63" t="s">
        <v>1508</v>
      </c>
      <c r="H550" s="358">
        <v>1.05</v>
      </c>
      <c r="I550" s="358">
        <v>0</v>
      </c>
      <c r="J550" s="357">
        <v>0</v>
      </c>
      <c r="K550" s="358">
        <v>0</v>
      </c>
      <c r="L550" s="358">
        <v>1.05</v>
      </c>
      <c r="M550" s="358">
        <v>0</v>
      </c>
      <c r="N550" s="361">
        <f>'ExIntl Freight'!P27</f>
        <v>0</v>
      </c>
      <c r="O550" s="361">
        <f>'ExIntl Freight'!Q27</f>
        <v>0</v>
      </c>
      <c r="P550" s="358">
        <f>'ExIntl Freight'!R27</f>
        <v>1.05</v>
      </c>
      <c r="Q550" s="358">
        <f>'ExIntl Freight'!S27</f>
        <v>0</v>
      </c>
      <c r="R550" s="358">
        <f>'ExIntl Freight'!T27</f>
        <v>0</v>
      </c>
      <c r="S550" s="358">
        <f>'ExIntl Freight'!U27</f>
        <v>0</v>
      </c>
      <c r="T550" s="358">
        <f>'ExIntl Freight'!V27</f>
        <v>1.05</v>
      </c>
      <c r="U550" s="358">
        <f>'ExIntl Freight'!W27</f>
        <v>0</v>
      </c>
      <c r="V550" s="365">
        <f>'ExIntl Freight'!X27</f>
        <v>0</v>
      </c>
      <c r="W550" s="358">
        <f>'ExIntl Freight'!Y27</f>
        <v>0</v>
      </c>
      <c r="X550" s="358">
        <f>'ExIntl Freight'!Z27</f>
        <v>0</v>
      </c>
      <c r="Y550" s="358">
        <f>'ExIntl Freight'!AA27</f>
        <v>0</v>
      </c>
    </row>
    <row r="551" spans="1:25" x14ac:dyDescent="0.35">
      <c r="A551">
        <v>550</v>
      </c>
      <c r="B551" t="s">
        <v>1350</v>
      </c>
      <c r="C551" t="s">
        <v>953</v>
      </c>
      <c r="D551" t="s">
        <v>335</v>
      </c>
      <c r="E551" t="s">
        <v>46</v>
      </c>
      <c r="F551" t="s">
        <v>46</v>
      </c>
      <c r="G551" s="63" t="s">
        <v>1509</v>
      </c>
      <c r="H551" s="358">
        <v>210</v>
      </c>
      <c r="I551" s="358">
        <v>0</v>
      </c>
      <c r="J551" s="357">
        <v>0</v>
      </c>
      <c r="K551" s="358">
        <v>0</v>
      </c>
      <c r="L551" s="358">
        <v>210</v>
      </c>
      <c r="M551" s="358">
        <v>0</v>
      </c>
      <c r="N551" s="361">
        <f>'ExIntl Freight'!P28</f>
        <v>0</v>
      </c>
      <c r="O551" s="361">
        <f>'ExIntl Freight'!Q28</f>
        <v>0</v>
      </c>
      <c r="P551" s="358">
        <f>'ExIntl Freight'!R28</f>
        <v>210</v>
      </c>
      <c r="Q551" s="358">
        <f>'ExIntl Freight'!S28</f>
        <v>0</v>
      </c>
      <c r="R551" s="358">
        <f>'ExIntl Freight'!T28</f>
        <v>0</v>
      </c>
      <c r="S551" s="358">
        <f>'ExIntl Freight'!U28</f>
        <v>0</v>
      </c>
      <c r="T551" s="358">
        <f>'ExIntl Freight'!V28</f>
        <v>210</v>
      </c>
      <c r="U551" s="358">
        <f>'ExIntl Freight'!W28</f>
        <v>0</v>
      </c>
      <c r="V551" s="365">
        <f>'ExIntl Freight'!X28</f>
        <v>0</v>
      </c>
      <c r="W551" s="358">
        <f>'ExIntl Freight'!Y28</f>
        <v>0</v>
      </c>
      <c r="X551" s="358">
        <f>'ExIntl Freight'!Z28</f>
        <v>0</v>
      </c>
      <c r="Y551" s="358">
        <f>'ExIntl Freight'!AA28</f>
        <v>0</v>
      </c>
    </row>
    <row r="552" spans="1:25" x14ac:dyDescent="0.35">
      <c r="A552">
        <v>551</v>
      </c>
      <c r="B552" t="s">
        <v>1350</v>
      </c>
      <c r="C552" t="s">
        <v>953</v>
      </c>
      <c r="D552" t="s">
        <v>335</v>
      </c>
      <c r="E552" t="s">
        <v>24</v>
      </c>
      <c r="F552" t="s">
        <v>24</v>
      </c>
      <c r="G552" s="63" t="s">
        <v>1510</v>
      </c>
      <c r="H552" s="358">
        <v>210</v>
      </c>
      <c r="I552" s="358">
        <v>0</v>
      </c>
      <c r="J552" s="357">
        <v>0</v>
      </c>
      <c r="K552" s="358">
        <v>0</v>
      </c>
      <c r="L552" s="358">
        <v>210</v>
      </c>
      <c r="M552" s="358">
        <v>0</v>
      </c>
      <c r="N552" s="361">
        <f>'ExIntl Freight'!P29</f>
        <v>0</v>
      </c>
      <c r="O552" s="361">
        <f>'ExIntl Freight'!Q29</f>
        <v>0</v>
      </c>
      <c r="P552" s="358">
        <f>'ExIntl Freight'!R29</f>
        <v>210</v>
      </c>
      <c r="Q552" s="358">
        <f>'ExIntl Freight'!S29</f>
        <v>0</v>
      </c>
      <c r="R552" s="358">
        <f>'ExIntl Freight'!T29</f>
        <v>0</v>
      </c>
      <c r="S552" s="358">
        <f>'ExIntl Freight'!U29</f>
        <v>0</v>
      </c>
      <c r="T552" s="358">
        <f>'ExIntl Freight'!V29</f>
        <v>210</v>
      </c>
      <c r="U552" s="358">
        <f>'ExIntl Freight'!W29</f>
        <v>0</v>
      </c>
      <c r="V552" s="365">
        <f>'ExIntl Freight'!X29</f>
        <v>0</v>
      </c>
      <c r="W552" s="358">
        <f>'ExIntl Freight'!Y29</f>
        <v>0</v>
      </c>
      <c r="X552" s="358">
        <f>'ExIntl Freight'!Z29</f>
        <v>0</v>
      </c>
      <c r="Y552" s="358">
        <f>'ExIntl Freight'!AA29</f>
        <v>0</v>
      </c>
    </row>
    <row r="553" spans="1:25" x14ac:dyDescent="0.35">
      <c r="A553">
        <v>552</v>
      </c>
      <c r="B553" t="s">
        <v>1351</v>
      </c>
      <c r="C553" t="s">
        <v>953</v>
      </c>
      <c r="D553" t="s">
        <v>335</v>
      </c>
      <c r="E553" t="s">
        <v>66</v>
      </c>
      <c r="F553" t="s">
        <v>293</v>
      </c>
      <c r="G553" s="63" t="s">
        <v>1492</v>
      </c>
      <c r="H553" s="358">
        <v>260</v>
      </c>
      <c r="I553" s="358">
        <v>0</v>
      </c>
      <c r="J553" s="357">
        <v>15</v>
      </c>
      <c r="K553" s="358">
        <v>0</v>
      </c>
      <c r="L553" s="358">
        <v>275</v>
      </c>
      <c r="M553" s="358">
        <v>0</v>
      </c>
      <c r="N553" s="361">
        <f>'ExIntl Freight'!AB6</f>
        <v>0</v>
      </c>
      <c r="O553" s="361">
        <f>'ExIntl Freight'!AC6</f>
        <v>0</v>
      </c>
      <c r="P553" s="358">
        <f>'ExIntl Freight'!AD6</f>
        <v>275</v>
      </c>
      <c r="Q553" s="358">
        <f>'ExIntl Freight'!AE6</f>
        <v>0</v>
      </c>
      <c r="R553" s="358">
        <f>'ExIntl Freight'!AF6</f>
        <v>0</v>
      </c>
      <c r="S553" s="358">
        <f>'ExIntl Freight'!AG6</f>
        <v>0</v>
      </c>
      <c r="T553" s="358">
        <f>'ExIntl Freight'!AH6</f>
        <v>275</v>
      </c>
      <c r="U553" s="358">
        <f>'ExIntl Freight'!AI6</f>
        <v>0</v>
      </c>
      <c r="V553" s="365">
        <f>'ExIntl Freight'!AJ6</f>
        <v>0</v>
      </c>
      <c r="W553" s="358">
        <f>'ExIntl Freight'!AK6</f>
        <v>0</v>
      </c>
      <c r="X553" s="358">
        <f>'ExIntl Freight'!AL6</f>
        <v>0</v>
      </c>
      <c r="Y553" s="358">
        <f>'ExIntl Freight'!AM6</f>
        <v>0</v>
      </c>
    </row>
    <row r="554" spans="1:25" x14ac:dyDescent="0.35">
      <c r="A554">
        <v>553</v>
      </c>
      <c r="B554" t="s">
        <v>1351</v>
      </c>
      <c r="C554" t="s">
        <v>953</v>
      </c>
      <c r="D554" t="s">
        <v>335</v>
      </c>
      <c r="E554" t="s">
        <v>66</v>
      </c>
      <c r="F554" t="s">
        <v>291</v>
      </c>
      <c r="G554" s="63" t="s">
        <v>1493</v>
      </c>
      <c r="H554" s="358">
        <v>330</v>
      </c>
      <c r="I554" s="358">
        <v>0</v>
      </c>
      <c r="J554" s="357">
        <v>20</v>
      </c>
      <c r="K554" s="358">
        <v>0</v>
      </c>
      <c r="L554" s="358">
        <v>350</v>
      </c>
      <c r="M554" s="358">
        <v>0</v>
      </c>
      <c r="N554" s="361">
        <f>'ExIntl Freight'!AB7</f>
        <v>0</v>
      </c>
      <c r="O554" s="361">
        <f>'ExIntl Freight'!AC7</f>
        <v>0</v>
      </c>
      <c r="P554" s="358">
        <f>'ExIntl Freight'!AD7</f>
        <v>350</v>
      </c>
      <c r="Q554" s="358">
        <f>'ExIntl Freight'!AE7</f>
        <v>0</v>
      </c>
      <c r="R554" s="358">
        <f>'ExIntl Freight'!AF7</f>
        <v>0</v>
      </c>
      <c r="S554" s="358">
        <f>'ExIntl Freight'!AG7</f>
        <v>0</v>
      </c>
      <c r="T554" s="358">
        <f>'ExIntl Freight'!AH7</f>
        <v>350</v>
      </c>
      <c r="U554" s="358">
        <f>'ExIntl Freight'!AI7</f>
        <v>0</v>
      </c>
      <c r="V554" s="365">
        <f>'ExIntl Freight'!AJ7</f>
        <v>0</v>
      </c>
      <c r="W554" s="358">
        <f>'ExIntl Freight'!AK7</f>
        <v>0</v>
      </c>
      <c r="X554" s="358">
        <f>'ExIntl Freight'!AL7</f>
        <v>0</v>
      </c>
      <c r="Y554" s="358">
        <f>'ExIntl Freight'!AM7</f>
        <v>0</v>
      </c>
    </row>
    <row r="555" spans="1:25" x14ac:dyDescent="0.35">
      <c r="A555">
        <v>554</v>
      </c>
      <c r="B555" t="s">
        <v>1351</v>
      </c>
      <c r="C555" t="s">
        <v>953</v>
      </c>
      <c r="D555" t="s">
        <v>335</v>
      </c>
      <c r="E555" t="s">
        <v>31</v>
      </c>
      <c r="F555" t="s">
        <v>31</v>
      </c>
      <c r="G555" s="63" t="s">
        <v>1494</v>
      </c>
      <c r="H555" s="358">
        <v>24</v>
      </c>
      <c r="I555" s="358">
        <v>0</v>
      </c>
      <c r="J555" s="357">
        <v>1.5</v>
      </c>
      <c r="K555" s="358">
        <v>0</v>
      </c>
      <c r="L555" s="358">
        <v>25.5</v>
      </c>
      <c r="M555" s="358">
        <v>0</v>
      </c>
      <c r="N555" s="361">
        <f>'ExIntl Freight'!AB8</f>
        <v>0</v>
      </c>
      <c r="O555" s="361">
        <f>'ExIntl Freight'!AC8</f>
        <v>0</v>
      </c>
      <c r="P555" s="358">
        <f>'ExIntl Freight'!AD8</f>
        <v>25.5</v>
      </c>
      <c r="Q555" s="358">
        <f>'ExIntl Freight'!AE8</f>
        <v>0</v>
      </c>
      <c r="R555" s="358">
        <f>'ExIntl Freight'!AF8</f>
        <v>0</v>
      </c>
      <c r="S555" s="358">
        <f>'ExIntl Freight'!AG8</f>
        <v>0</v>
      </c>
      <c r="T555" s="358">
        <f>'ExIntl Freight'!AH8</f>
        <v>25.5</v>
      </c>
      <c r="U555" s="358">
        <f>'ExIntl Freight'!AI8</f>
        <v>0</v>
      </c>
      <c r="V555" s="365">
        <f>'ExIntl Freight'!AJ8</f>
        <v>0</v>
      </c>
      <c r="W555" s="358">
        <f>'ExIntl Freight'!AK8</f>
        <v>0</v>
      </c>
      <c r="X555" s="358">
        <f>'ExIntl Freight'!AL8</f>
        <v>0</v>
      </c>
      <c r="Y555" s="358">
        <f>'ExIntl Freight'!AM8</f>
        <v>0</v>
      </c>
    </row>
    <row r="556" spans="1:25" x14ac:dyDescent="0.35">
      <c r="A556">
        <v>555</v>
      </c>
      <c r="B556" t="s">
        <v>1351</v>
      </c>
      <c r="C556" t="s">
        <v>953</v>
      </c>
      <c r="D556" t="s">
        <v>335</v>
      </c>
      <c r="E556" t="s">
        <v>51</v>
      </c>
      <c r="F556" t="s">
        <v>876</v>
      </c>
      <c r="G556" s="63" t="s">
        <v>1495</v>
      </c>
      <c r="H556" s="358">
        <v>255</v>
      </c>
      <c r="I556" s="358">
        <v>1.4</v>
      </c>
      <c r="J556" s="357">
        <v>15</v>
      </c>
      <c r="K556" s="358">
        <v>8.0000000000000071E-2</v>
      </c>
      <c r="L556" s="358">
        <v>270</v>
      </c>
      <c r="M556" s="358">
        <v>1.48</v>
      </c>
      <c r="N556" s="361">
        <f>'ExIntl Freight'!AB10</f>
        <v>0</v>
      </c>
      <c r="O556" s="361">
        <f>'ExIntl Freight'!AC10</f>
        <v>0</v>
      </c>
      <c r="P556" s="358">
        <f>'ExIntl Freight'!AD10</f>
        <v>270</v>
      </c>
      <c r="Q556" s="358">
        <f>'ExIntl Freight'!AE10</f>
        <v>1.48</v>
      </c>
      <c r="R556" s="358">
        <f>'ExIntl Freight'!AF10</f>
        <v>0</v>
      </c>
      <c r="S556" s="358">
        <f>'ExIntl Freight'!AG10</f>
        <v>0</v>
      </c>
      <c r="T556" s="358">
        <f>'ExIntl Freight'!AH10</f>
        <v>270</v>
      </c>
      <c r="U556" s="358">
        <f>'ExIntl Freight'!AI10</f>
        <v>1.48</v>
      </c>
      <c r="V556" s="365">
        <f>'ExIntl Freight'!AJ10</f>
        <v>0</v>
      </c>
      <c r="W556" s="358">
        <f>'ExIntl Freight'!AK10</f>
        <v>0</v>
      </c>
      <c r="X556" s="358">
        <f>'ExIntl Freight'!AL10</f>
        <v>0</v>
      </c>
      <c r="Y556" s="358">
        <f>'ExIntl Freight'!AM10</f>
        <v>0</v>
      </c>
    </row>
    <row r="557" spans="1:25" x14ac:dyDescent="0.35">
      <c r="A557">
        <v>556</v>
      </c>
      <c r="B557" t="s">
        <v>1351</v>
      </c>
      <c r="C557" t="s">
        <v>953</v>
      </c>
      <c r="D557" t="s">
        <v>335</v>
      </c>
      <c r="E557" t="s">
        <v>51</v>
      </c>
      <c r="F557" t="s">
        <v>877</v>
      </c>
      <c r="G557" s="63" t="s">
        <v>1496</v>
      </c>
      <c r="H557" s="358">
        <v>145</v>
      </c>
      <c r="I557" s="358">
        <v>0.67</v>
      </c>
      <c r="J557" s="357">
        <v>8.5</v>
      </c>
      <c r="K557" s="358">
        <v>3.9999999999999925E-2</v>
      </c>
      <c r="L557" s="358">
        <v>153.5</v>
      </c>
      <c r="M557" s="358">
        <v>0.71</v>
      </c>
      <c r="N557" s="361">
        <f>'ExIntl Freight'!AB11</f>
        <v>0</v>
      </c>
      <c r="O557" s="361">
        <f>'ExIntl Freight'!AC11</f>
        <v>0</v>
      </c>
      <c r="P557" s="358">
        <f>'ExIntl Freight'!AD11</f>
        <v>153.5</v>
      </c>
      <c r="Q557" s="358">
        <f>'ExIntl Freight'!AE11</f>
        <v>0.71</v>
      </c>
      <c r="R557" s="358">
        <f>'ExIntl Freight'!AF11</f>
        <v>0</v>
      </c>
      <c r="S557" s="358">
        <f>'ExIntl Freight'!AG11</f>
        <v>0</v>
      </c>
      <c r="T557" s="358">
        <f>'ExIntl Freight'!AH11</f>
        <v>153.5</v>
      </c>
      <c r="U557" s="358">
        <f>'ExIntl Freight'!AI11</f>
        <v>0.71</v>
      </c>
      <c r="V557" s="365">
        <f>'ExIntl Freight'!AJ11</f>
        <v>0</v>
      </c>
      <c r="W557" s="358">
        <f>'ExIntl Freight'!AK11</f>
        <v>0</v>
      </c>
      <c r="X557" s="358">
        <f>'ExIntl Freight'!AL11</f>
        <v>0</v>
      </c>
      <c r="Y557" s="358">
        <f>'ExIntl Freight'!AM11</f>
        <v>0</v>
      </c>
    </row>
    <row r="558" spans="1:25" x14ac:dyDescent="0.35">
      <c r="A558">
        <v>557</v>
      </c>
      <c r="B558" t="s">
        <v>1351</v>
      </c>
      <c r="C558" t="s">
        <v>953</v>
      </c>
      <c r="D558" t="s">
        <v>335</v>
      </c>
      <c r="E558" t="s">
        <v>28</v>
      </c>
      <c r="F558" t="s">
        <v>28</v>
      </c>
      <c r="G558" s="63" t="s">
        <v>1497</v>
      </c>
      <c r="H558" s="358">
        <v>1.5</v>
      </c>
      <c r="I558" s="358">
        <v>9.07</v>
      </c>
      <c r="J558" s="357">
        <v>0.14999999999999991</v>
      </c>
      <c r="K558" s="358">
        <v>0</v>
      </c>
      <c r="L558" s="358">
        <v>1.65</v>
      </c>
      <c r="M558" s="358">
        <v>9.07</v>
      </c>
      <c r="N558" s="361">
        <f>'ExIntl Freight'!AB12</f>
        <v>0</v>
      </c>
      <c r="O558" s="361">
        <f>'ExIntl Freight'!AC12</f>
        <v>0</v>
      </c>
      <c r="P558" s="358">
        <f>'ExIntl Freight'!AD12</f>
        <v>1.65</v>
      </c>
      <c r="Q558" s="358">
        <f>'ExIntl Freight'!AE12</f>
        <v>9.07</v>
      </c>
      <c r="R558" s="358">
        <f>'ExIntl Freight'!AF12</f>
        <v>0</v>
      </c>
      <c r="S558" s="358">
        <f>'ExIntl Freight'!AG12</f>
        <v>0</v>
      </c>
      <c r="T558" s="358">
        <f>'ExIntl Freight'!AH12</f>
        <v>1.65</v>
      </c>
      <c r="U558" s="358">
        <f>'ExIntl Freight'!AI12</f>
        <v>9.07</v>
      </c>
      <c r="V558" s="365">
        <f>'ExIntl Freight'!AJ12</f>
        <v>0</v>
      </c>
    </row>
    <row r="559" spans="1:25" x14ac:dyDescent="0.35">
      <c r="A559">
        <v>558</v>
      </c>
      <c r="B559" t="s">
        <v>1351</v>
      </c>
      <c r="C559" t="s">
        <v>953</v>
      </c>
      <c r="D559" t="s">
        <v>335</v>
      </c>
      <c r="E559" t="s">
        <v>18</v>
      </c>
      <c r="F559" t="s">
        <v>18</v>
      </c>
      <c r="G559" s="63" t="s">
        <v>1498</v>
      </c>
      <c r="H559" s="358">
        <v>0</v>
      </c>
      <c r="I559" s="358">
        <v>0</v>
      </c>
      <c r="J559" s="357">
        <v>0</v>
      </c>
      <c r="K559" s="358">
        <v>0</v>
      </c>
      <c r="L559" s="358">
        <v>0</v>
      </c>
      <c r="M559" s="358">
        <v>0</v>
      </c>
      <c r="N559" s="361">
        <f>'ExIntl Freight'!AB13</f>
        <v>0</v>
      </c>
      <c r="O559" s="361">
        <f>'ExIntl Freight'!AC13</f>
        <v>0</v>
      </c>
      <c r="V559" s="365">
        <f>'ExIntl Freight'!AJ13</f>
        <v>0</v>
      </c>
    </row>
    <row r="560" spans="1:25" x14ac:dyDescent="0.35">
      <c r="A560">
        <v>559</v>
      </c>
      <c r="B560" t="s">
        <v>1351</v>
      </c>
      <c r="C560" t="s">
        <v>953</v>
      </c>
      <c r="D560" t="s">
        <v>335</v>
      </c>
      <c r="E560" t="s">
        <v>955</v>
      </c>
      <c r="F560" t="s">
        <v>957</v>
      </c>
      <c r="G560" s="63" t="s">
        <v>1499</v>
      </c>
      <c r="H560" s="358">
        <v>245</v>
      </c>
      <c r="I560" s="358">
        <v>0</v>
      </c>
      <c r="J560" s="357">
        <v>15</v>
      </c>
      <c r="K560" s="358">
        <v>0</v>
      </c>
      <c r="L560" s="358">
        <v>260</v>
      </c>
      <c r="M560" s="358">
        <v>0</v>
      </c>
      <c r="N560" s="361">
        <f>'ExIntl Freight'!AB15</f>
        <v>0</v>
      </c>
      <c r="O560" s="361">
        <f>'ExIntl Freight'!AC15</f>
        <v>0</v>
      </c>
      <c r="P560" s="358">
        <f>'ExIntl Freight'!AD15</f>
        <v>260</v>
      </c>
      <c r="Q560" s="358">
        <f>'ExIntl Freight'!AE15</f>
        <v>0</v>
      </c>
      <c r="R560" s="358">
        <f>'ExIntl Freight'!AF15</f>
        <v>0</v>
      </c>
      <c r="S560" s="358">
        <f>'ExIntl Freight'!AG15</f>
        <v>0</v>
      </c>
      <c r="T560" s="358">
        <f>'ExIntl Freight'!AH15</f>
        <v>260</v>
      </c>
      <c r="U560" s="358">
        <f>'ExIntl Freight'!AI15</f>
        <v>0</v>
      </c>
      <c r="V560" s="365">
        <f>'ExIntl Freight'!AJ15</f>
        <v>0</v>
      </c>
      <c r="W560" s="358">
        <f>'ExIntl Freight'!AK15</f>
        <v>0</v>
      </c>
      <c r="X560" s="358">
        <f>'ExIntl Freight'!AL15</f>
        <v>0</v>
      </c>
      <c r="Y560" s="358">
        <f>'ExIntl Freight'!AM15</f>
        <v>0</v>
      </c>
    </row>
    <row r="561" spans="1:25" x14ac:dyDescent="0.35">
      <c r="A561">
        <v>560</v>
      </c>
      <c r="B561" t="s">
        <v>1351</v>
      </c>
      <c r="C561" t="s">
        <v>953</v>
      </c>
      <c r="D561" t="s">
        <v>335</v>
      </c>
      <c r="E561" t="s">
        <v>955</v>
      </c>
      <c r="F561" t="s">
        <v>958</v>
      </c>
      <c r="G561" s="63" t="s">
        <v>1500</v>
      </c>
      <c r="H561" s="358">
        <v>320</v>
      </c>
      <c r="I561" s="358">
        <v>0</v>
      </c>
      <c r="J561" s="357">
        <v>20</v>
      </c>
      <c r="K561" s="358">
        <v>0</v>
      </c>
      <c r="L561" s="358">
        <v>340</v>
      </c>
      <c r="M561" s="358">
        <v>0</v>
      </c>
      <c r="N561" s="361">
        <f>'ExIntl Freight'!AB16</f>
        <v>0</v>
      </c>
      <c r="O561" s="361">
        <f>'ExIntl Freight'!AC16</f>
        <v>0</v>
      </c>
      <c r="P561" s="358">
        <f>'ExIntl Freight'!AD16</f>
        <v>340</v>
      </c>
      <c r="Q561" s="358">
        <f>'ExIntl Freight'!AE16</f>
        <v>0</v>
      </c>
      <c r="R561" s="358">
        <f>'ExIntl Freight'!AF16</f>
        <v>0</v>
      </c>
      <c r="S561" s="358">
        <f>'ExIntl Freight'!AG16</f>
        <v>0</v>
      </c>
      <c r="T561" s="358">
        <f>'ExIntl Freight'!AH16</f>
        <v>340</v>
      </c>
      <c r="U561" s="358">
        <f>'ExIntl Freight'!AI16</f>
        <v>0</v>
      </c>
      <c r="V561" s="365">
        <f>'ExIntl Freight'!AJ16</f>
        <v>0</v>
      </c>
      <c r="W561" s="358">
        <f>'ExIntl Freight'!AK16</f>
        <v>0</v>
      </c>
      <c r="X561" s="358">
        <f>'ExIntl Freight'!AL16</f>
        <v>0</v>
      </c>
      <c r="Y561" s="358">
        <f>'ExIntl Freight'!AM16</f>
        <v>0</v>
      </c>
    </row>
    <row r="562" spans="1:25" x14ac:dyDescent="0.35">
      <c r="A562">
        <v>561</v>
      </c>
      <c r="B562" t="s">
        <v>1351</v>
      </c>
      <c r="C562" t="s">
        <v>953</v>
      </c>
      <c r="D562" t="s">
        <v>335</v>
      </c>
      <c r="E562" t="s">
        <v>959</v>
      </c>
      <c r="F562" t="s">
        <v>961</v>
      </c>
      <c r="G562" s="63" t="s">
        <v>1501</v>
      </c>
      <c r="H562" s="358">
        <v>245</v>
      </c>
      <c r="I562" s="358">
        <v>0</v>
      </c>
      <c r="J562" s="357">
        <v>15</v>
      </c>
      <c r="K562" s="358">
        <v>0</v>
      </c>
      <c r="L562" s="358">
        <v>260</v>
      </c>
      <c r="M562" s="358">
        <v>0</v>
      </c>
      <c r="N562" s="361">
        <f>'ExIntl Freight'!AB18</f>
        <v>0</v>
      </c>
      <c r="O562" s="361">
        <f>'ExIntl Freight'!AC18</f>
        <v>0</v>
      </c>
      <c r="P562" s="358">
        <f>'ExIntl Freight'!AD18</f>
        <v>260</v>
      </c>
      <c r="Q562" s="358">
        <f>'ExIntl Freight'!AE18</f>
        <v>0</v>
      </c>
      <c r="R562" s="358">
        <f>'ExIntl Freight'!AF18</f>
        <v>0</v>
      </c>
      <c r="S562" s="358">
        <f>'ExIntl Freight'!AG18</f>
        <v>0</v>
      </c>
      <c r="T562" s="358">
        <f>'ExIntl Freight'!AH18</f>
        <v>260</v>
      </c>
      <c r="U562" s="358">
        <f>'ExIntl Freight'!AI18</f>
        <v>0</v>
      </c>
      <c r="V562" s="365">
        <f>'ExIntl Freight'!AJ18</f>
        <v>0</v>
      </c>
      <c r="W562" s="358">
        <f>'ExIntl Freight'!AK18</f>
        <v>0</v>
      </c>
      <c r="X562" s="358">
        <f>'ExIntl Freight'!AL18</f>
        <v>0</v>
      </c>
      <c r="Y562" s="358">
        <f>'ExIntl Freight'!AM18</f>
        <v>0</v>
      </c>
    </row>
    <row r="563" spans="1:25" x14ac:dyDescent="0.35">
      <c r="A563">
        <v>562</v>
      </c>
      <c r="B563" t="s">
        <v>1351</v>
      </c>
      <c r="C563" t="s">
        <v>953</v>
      </c>
      <c r="D563" t="s">
        <v>335</v>
      </c>
      <c r="E563" t="s">
        <v>959</v>
      </c>
      <c r="F563" t="s">
        <v>962</v>
      </c>
      <c r="G563" s="63" t="s">
        <v>1502</v>
      </c>
      <c r="H563" s="358">
        <v>320</v>
      </c>
      <c r="I563" s="358">
        <v>0</v>
      </c>
      <c r="J563" s="357">
        <v>20</v>
      </c>
      <c r="K563" s="358">
        <v>0</v>
      </c>
      <c r="L563" s="358">
        <v>340</v>
      </c>
      <c r="M563" s="358">
        <v>0</v>
      </c>
      <c r="N563" s="361">
        <f>'ExIntl Freight'!AB19</f>
        <v>0</v>
      </c>
      <c r="O563" s="361">
        <f>'ExIntl Freight'!AC19</f>
        <v>0</v>
      </c>
      <c r="P563" s="358">
        <f>'ExIntl Freight'!AD19</f>
        <v>340</v>
      </c>
      <c r="Q563" s="358">
        <f>'ExIntl Freight'!AE19</f>
        <v>0</v>
      </c>
      <c r="R563" s="358">
        <f>'ExIntl Freight'!AF19</f>
        <v>0</v>
      </c>
      <c r="S563" s="358">
        <f>'ExIntl Freight'!AG19</f>
        <v>0</v>
      </c>
      <c r="T563" s="358">
        <f>'ExIntl Freight'!AH19</f>
        <v>340</v>
      </c>
      <c r="U563" s="358">
        <f>'ExIntl Freight'!AI19</f>
        <v>0</v>
      </c>
      <c r="V563" s="365">
        <f>'ExIntl Freight'!AJ19</f>
        <v>0</v>
      </c>
      <c r="W563" s="358">
        <f>'ExIntl Freight'!AK19</f>
        <v>0</v>
      </c>
      <c r="X563" s="358">
        <f>'ExIntl Freight'!AL19</f>
        <v>0</v>
      </c>
      <c r="Y563" s="358">
        <f>'ExIntl Freight'!AM19</f>
        <v>0</v>
      </c>
    </row>
    <row r="564" spans="1:25" x14ac:dyDescent="0.35">
      <c r="A564">
        <v>563</v>
      </c>
      <c r="B564" t="s">
        <v>1351</v>
      </c>
      <c r="C564" t="s">
        <v>953</v>
      </c>
      <c r="D564" t="s">
        <v>335</v>
      </c>
      <c r="E564" t="s">
        <v>57</v>
      </c>
      <c r="F564" t="s">
        <v>57</v>
      </c>
      <c r="G564" s="63" t="s">
        <v>1503</v>
      </c>
      <c r="H564" s="358">
        <v>24</v>
      </c>
      <c r="I564" s="358">
        <v>0</v>
      </c>
      <c r="J564" s="357">
        <v>1.5</v>
      </c>
      <c r="K564" s="358">
        <v>0</v>
      </c>
      <c r="L564" s="358">
        <v>25.5</v>
      </c>
      <c r="M564" s="358">
        <v>0</v>
      </c>
      <c r="N564" s="361">
        <f>'ExIntl Freight'!AB20</f>
        <v>0</v>
      </c>
      <c r="O564" s="361">
        <f>'ExIntl Freight'!AC20</f>
        <v>0</v>
      </c>
      <c r="P564" s="358">
        <f>'ExIntl Freight'!AD20</f>
        <v>25.5</v>
      </c>
      <c r="Q564" s="358">
        <f>'ExIntl Freight'!AE20</f>
        <v>0</v>
      </c>
      <c r="R564" s="358">
        <f>'ExIntl Freight'!AF20</f>
        <v>0</v>
      </c>
      <c r="S564" s="358">
        <f>'ExIntl Freight'!AG20</f>
        <v>0</v>
      </c>
      <c r="T564" s="358">
        <f>'ExIntl Freight'!AH20</f>
        <v>25.5</v>
      </c>
      <c r="U564" s="358">
        <f>'ExIntl Freight'!AI20</f>
        <v>0</v>
      </c>
      <c r="V564" s="365">
        <f>'ExIntl Freight'!AJ20</f>
        <v>0</v>
      </c>
      <c r="W564" s="358">
        <f>'ExIntl Freight'!AK20</f>
        <v>0</v>
      </c>
      <c r="X564" s="358">
        <f>'ExIntl Freight'!AL20</f>
        <v>0</v>
      </c>
      <c r="Y564" s="358">
        <f>'ExIntl Freight'!AM20</f>
        <v>0</v>
      </c>
    </row>
    <row r="565" spans="1:25" x14ac:dyDescent="0.35">
      <c r="A565">
        <v>564</v>
      </c>
      <c r="B565" t="s">
        <v>1351</v>
      </c>
      <c r="C565" t="s">
        <v>953</v>
      </c>
      <c r="D565" t="s">
        <v>335</v>
      </c>
      <c r="E565" t="s">
        <v>314</v>
      </c>
      <c r="F565" t="s">
        <v>314</v>
      </c>
      <c r="G565" s="63" t="s">
        <v>1504</v>
      </c>
      <c r="H565" s="358">
        <v>690</v>
      </c>
      <c r="I565" s="358">
        <v>0.69</v>
      </c>
      <c r="J565" s="357">
        <v>0</v>
      </c>
      <c r="K565" s="358">
        <v>0</v>
      </c>
      <c r="L565" s="358">
        <v>690</v>
      </c>
      <c r="M565" s="358">
        <v>0.69</v>
      </c>
      <c r="N565" s="361">
        <f>'ExIntl Freight'!AB21</f>
        <v>0</v>
      </c>
      <c r="O565" s="361">
        <f>'ExIntl Freight'!AC21</f>
        <v>0</v>
      </c>
      <c r="P565" s="358">
        <f>'ExIntl Freight'!AD21</f>
        <v>690</v>
      </c>
      <c r="Q565" s="358">
        <f>'ExIntl Freight'!AE21</f>
        <v>0.69</v>
      </c>
      <c r="R565" s="358">
        <f>'ExIntl Freight'!AF21</f>
        <v>0</v>
      </c>
      <c r="S565" s="358">
        <f>'ExIntl Freight'!AG21</f>
        <v>0</v>
      </c>
      <c r="T565" s="358">
        <f>'ExIntl Freight'!AH21</f>
        <v>690</v>
      </c>
      <c r="U565" s="358">
        <f>'ExIntl Freight'!AI21</f>
        <v>0.69</v>
      </c>
      <c r="V565" s="365">
        <f>'ExIntl Freight'!AJ21</f>
        <v>0</v>
      </c>
      <c r="W565" s="358">
        <f>'ExIntl Freight'!AK21</f>
        <v>0</v>
      </c>
      <c r="X565" s="358">
        <f>'ExIntl Freight'!AL21</f>
        <v>0</v>
      </c>
      <c r="Y565" s="358">
        <f>'ExIntl Freight'!AM21</f>
        <v>0</v>
      </c>
    </row>
    <row r="566" spans="1:25" x14ac:dyDescent="0.35">
      <c r="A566">
        <v>565</v>
      </c>
      <c r="B566" t="s">
        <v>1351</v>
      </c>
      <c r="C566" t="s">
        <v>953</v>
      </c>
      <c r="D566" t="s">
        <v>335</v>
      </c>
      <c r="E566" t="s">
        <v>852</v>
      </c>
      <c r="F566" t="s">
        <v>852</v>
      </c>
      <c r="G566" s="63" t="s">
        <v>1505</v>
      </c>
      <c r="H566" s="358">
        <v>24</v>
      </c>
      <c r="I566" s="358">
        <v>0</v>
      </c>
      <c r="J566" s="357">
        <v>1.5</v>
      </c>
      <c r="K566" s="358">
        <v>0</v>
      </c>
      <c r="L566" s="358">
        <v>25.5</v>
      </c>
      <c r="M566" s="358">
        <v>0</v>
      </c>
      <c r="N566" s="361">
        <f>'ExIntl Freight'!AB22</f>
        <v>0</v>
      </c>
      <c r="O566" s="361">
        <f>'ExIntl Freight'!AC22</f>
        <v>0</v>
      </c>
      <c r="P566" s="358">
        <f>'ExIntl Freight'!AD22</f>
        <v>25.5</v>
      </c>
      <c r="Q566" s="358">
        <f>'ExIntl Freight'!AE22</f>
        <v>0</v>
      </c>
      <c r="R566" s="358">
        <f>'ExIntl Freight'!AF22</f>
        <v>0</v>
      </c>
      <c r="S566" s="358">
        <f>'ExIntl Freight'!AG22</f>
        <v>0</v>
      </c>
      <c r="T566" s="358">
        <f>'ExIntl Freight'!AH22</f>
        <v>25.5</v>
      </c>
      <c r="U566" s="358">
        <f>'ExIntl Freight'!AI22</f>
        <v>0</v>
      </c>
      <c r="V566" s="365">
        <f>'ExIntl Freight'!AJ22</f>
        <v>0</v>
      </c>
      <c r="W566" s="358">
        <f>'ExIntl Freight'!AK22</f>
        <v>0</v>
      </c>
      <c r="X566" s="358">
        <f>'ExIntl Freight'!AL22</f>
        <v>0</v>
      </c>
      <c r="Y566" s="358">
        <f>'ExIntl Freight'!AM22</f>
        <v>0</v>
      </c>
    </row>
    <row r="567" spans="1:25" x14ac:dyDescent="0.35">
      <c r="A567">
        <v>566</v>
      </c>
      <c r="B567" t="s">
        <v>1351</v>
      </c>
      <c r="C567" t="s">
        <v>953</v>
      </c>
      <c r="D567" t="s">
        <v>335</v>
      </c>
      <c r="E567" t="s">
        <v>25</v>
      </c>
      <c r="F567" t="s">
        <v>25</v>
      </c>
      <c r="G567" s="63" t="s">
        <v>1506</v>
      </c>
      <c r="H567" s="358">
        <v>215</v>
      </c>
      <c r="I567" s="358">
        <v>0</v>
      </c>
      <c r="J567" s="357">
        <v>15</v>
      </c>
      <c r="K567" s="358">
        <v>0</v>
      </c>
      <c r="L567" s="358">
        <v>230</v>
      </c>
      <c r="M567" s="358">
        <v>0</v>
      </c>
      <c r="N567" s="361">
        <f>'ExIntl Freight'!AB23</f>
        <v>0</v>
      </c>
      <c r="O567" s="361">
        <f>'ExIntl Freight'!AC23</f>
        <v>0</v>
      </c>
      <c r="P567" s="358">
        <f>'ExIntl Freight'!AD23</f>
        <v>230</v>
      </c>
      <c r="Q567" s="358">
        <f>'ExIntl Freight'!AE23</f>
        <v>0</v>
      </c>
      <c r="R567" s="358">
        <f>'ExIntl Freight'!AF23</f>
        <v>0</v>
      </c>
      <c r="S567" s="358">
        <f>'ExIntl Freight'!AG23</f>
        <v>0</v>
      </c>
      <c r="T567" s="358">
        <f>'ExIntl Freight'!AH23</f>
        <v>230</v>
      </c>
      <c r="U567" s="358">
        <f>'ExIntl Freight'!AI23</f>
        <v>0</v>
      </c>
      <c r="V567" s="365">
        <f>'ExIntl Freight'!AJ23</f>
        <v>0</v>
      </c>
      <c r="W567" s="358">
        <f>'ExIntl Freight'!AK23</f>
        <v>0</v>
      </c>
      <c r="X567" s="358">
        <f>'ExIntl Freight'!AL23</f>
        <v>0</v>
      </c>
      <c r="Y567" s="358">
        <f>'ExIntl Freight'!AM23</f>
        <v>0</v>
      </c>
    </row>
    <row r="568" spans="1:25" x14ac:dyDescent="0.35">
      <c r="A568">
        <v>567</v>
      </c>
      <c r="B568" t="s">
        <v>1351</v>
      </c>
      <c r="C568" t="s">
        <v>953</v>
      </c>
      <c r="D568" t="s">
        <v>335</v>
      </c>
      <c r="E568" t="s">
        <v>283</v>
      </c>
      <c r="F568" t="s">
        <v>1003</v>
      </c>
      <c r="G568" s="63" t="s">
        <v>1507</v>
      </c>
      <c r="H568" s="358">
        <v>1.05</v>
      </c>
      <c r="I568" s="358">
        <v>0</v>
      </c>
      <c r="J568" s="357">
        <v>0</v>
      </c>
      <c r="K568" s="358">
        <v>0</v>
      </c>
      <c r="L568" s="358">
        <v>1.05</v>
      </c>
      <c r="M568" s="358">
        <v>0</v>
      </c>
      <c r="N568" s="361">
        <f>'ExIntl Freight'!AB26</f>
        <v>0</v>
      </c>
      <c r="O568" s="361">
        <f>'ExIntl Freight'!AC26</f>
        <v>0</v>
      </c>
      <c r="P568" s="358">
        <f>'ExIntl Freight'!AD26</f>
        <v>1.05</v>
      </c>
      <c r="Q568" s="358">
        <f>'ExIntl Freight'!AE26</f>
        <v>0</v>
      </c>
      <c r="R568" s="358">
        <f>'ExIntl Freight'!AF26</f>
        <v>0</v>
      </c>
      <c r="S568" s="358">
        <f>'ExIntl Freight'!AG26</f>
        <v>0</v>
      </c>
      <c r="T568" s="358">
        <f>'ExIntl Freight'!AH26</f>
        <v>1.05</v>
      </c>
      <c r="U568" s="358">
        <f>'ExIntl Freight'!AI26</f>
        <v>0</v>
      </c>
      <c r="V568" s="365">
        <f>'ExIntl Freight'!AJ26</f>
        <v>0</v>
      </c>
      <c r="W568" s="358">
        <f>'ExIntl Freight'!AK26</f>
        <v>0</v>
      </c>
      <c r="X568" s="358">
        <f>'ExIntl Freight'!AL26</f>
        <v>0</v>
      </c>
      <c r="Y568" s="358">
        <f>'ExIntl Freight'!AM26</f>
        <v>0</v>
      </c>
    </row>
    <row r="569" spans="1:25" x14ac:dyDescent="0.35">
      <c r="A569">
        <v>568</v>
      </c>
      <c r="B569" t="s">
        <v>1351</v>
      </c>
      <c r="C569" t="s">
        <v>953</v>
      </c>
      <c r="D569" t="s">
        <v>335</v>
      </c>
      <c r="E569" t="s">
        <v>283</v>
      </c>
      <c r="F569" t="s">
        <v>1005</v>
      </c>
      <c r="G569" s="63" t="s">
        <v>1508</v>
      </c>
      <c r="H569" s="358">
        <v>1.05</v>
      </c>
      <c r="I569" s="358">
        <v>0</v>
      </c>
      <c r="J569" s="357">
        <v>0</v>
      </c>
      <c r="K569" s="358">
        <v>0</v>
      </c>
      <c r="L569" s="358">
        <v>1.05</v>
      </c>
      <c r="M569" s="358">
        <v>0</v>
      </c>
      <c r="N569" s="361">
        <f>'ExIntl Freight'!AB27</f>
        <v>0</v>
      </c>
      <c r="O569" s="361">
        <f>'ExIntl Freight'!AC27</f>
        <v>0</v>
      </c>
      <c r="P569" s="358">
        <f>'ExIntl Freight'!AD27</f>
        <v>1.05</v>
      </c>
      <c r="Q569" s="358">
        <f>'ExIntl Freight'!AE27</f>
        <v>0</v>
      </c>
      <c r="R569" s="358">
        <f>'ExIntl Freight'!AF27</f>
        <v>0</v>
      </c>
      <c r="S569" s="358">
        <f>'ExIntl Freight'!AG27</f>
        <v>0</v>
      </c>
      <c r="T569" s="358">
        <f>'ExIntl Freight'!AH27</f>
        <v>1.05</v>
      </c>
      <c r="U569" s="358">
        <f>'ExIntl Freight'!AI27</f>
        <v>0</v>
      </c>
      <c r="V569" s="365">
        <f>'ExIntl Freight'!AJ27</f>
        <v>0</v>
      </c>
      <c r="W569" s="358">
        <f>'ExIntl Freight'!AK27</f>
        <v>0</v>
      </c>
      <c r="X569" s="358">
        <f>'ExIntl Freight'!AL27</f>
        <v>0</v>
      </c>
      <c r="Y569" s="358">
        <f>'ExIntl Freight'!AM27</f>
        <v>0</v>
      </c>
    </row>
    <row r="570" spans="1:25" x14ac:dyDescent="0.35">
      <c r="A570">
        <v>569</v>
      </c>
      <c r="B570" t="s">
        <v>1351</v>
      </c>
      <c r="C570" t="s">
        <v>953</v>
      </c>
      <c r="D570" t="s">
        <v>335</v>
      </c>
      <c r="E570" t="s">
        <v>46</v>
      </c>
      <c r="F570" t="s">
        <v>46</v>
      </c>
      <c r="G570" s="63" t="s">
        <v>1509</v>
      </c>
      <c r="H570" s="358">
        <v>210</v>
      </c>
      <c r="I570" s="358">
        <v>0</v>
      </c>
      <c r="J570" s="357">
        <v>0</v>
      </c>
      <c r="K570" s="358">
        <v>0</v>
      </c>
      <c r="L570" s="358">
        <v>210</v>
      </c>
      <c r="M570" s="358">
        <v>0</v>
      </c>
      <c r="N570" s="361">
        <f>'ExIntl Freight'!AB28</f>
        <v>0</v>
      </c>
      <c r="O570" s="361">
        <f>'ExIntl Freight'!AC28</f>
        <v>0</v>
      </c>
      <c r="P570" s="358">
        <f>'ExIntl Freight'!AD28</f>
        <v>210</v>
      </c>
      <c r="Q570" s="358">
        <f>'ExIntl Freight'!AE28</f>
        <v>0</v>
      </c>
      <c r="R570" s="358">
        <f>'ExIntl Freight'!AF28</f>
        <v>0</v>
      </c>
      <c r="S570" s="358">
        <f>'ExIntl Freight'!AG28</f>
        <v>0</v>
      </c>
      <c r="T570" s="358">
        <f>'ExIntl Freight'!AH28</f>
        <v>210</v>
      </c>
      <c r="U570" s="358">
        <f>'ExIntl Freight'!AI28</f>
        <v>0</v>
      </c>
      <c r="V570" s="365">
        <f>'ExIntl Freight'!AJ28</f>
        <v>0</v>
      </c>
      <c r="W570" s="358">
        <f>'ExIntl Freight'!AK28</f>
        <v>0</v>
      </c>
      <c r="X570" s="358">
        <f>'ExIntl Freight'!AL28</f>
        <v>0</v>
      </c>
      <c r="Y570" s="358">
        <f>'ExIntl Freight'!AM28</f>
        <v>0</v>
      </c>
    </row>
    <row r="571" spans="1:25" x14ac:dyDescent="0.35">
      <c r="A571">
        <v>570</v>
      </c>
      <c r="B571" t="s">
        <v>1351</v>
      </c>
      <c r="C571" t="s">
        <v>953</v>
      </c>
      <c r="D571" t="s">
        <v>335</v>
      </c>
      <c r="E571" t="s">
        <v>24</v>
      </c>
      <c r="F571" t="s">
        <v>24</v>
      </c>
      <c r="G571" s="63" t="s">
        <v>1510</v>
      </c>
      <c r="H571" s="358">
        <v>210</v>
      </c>
      <c r="I571" s="358">
        <v>0</v>
      </c>
      <c r="J571" s="357">
        <v>0</v>
      </c>
      <c r="K571" s="358">
        <v>0</v>
      </c>
      <c r="L571" s="358">
        <v>210</v>
      </c>
      <c r="M571" s="358">
        <v>0</v>
      </c>
      <c r="N571" s="361">
        <f>'ExIntl Freight'!AB29</f>
        <v>0</v>
      </c>
      <c r="O571" s="361">
        <f>'ExIntl Freight'!AC29</f>
        <v>0</v>
      </c>
      <c r="P571" s="358">
        <f>'ExIntl Freight'!AD29</f>
        <v>210</v>
      </c>
      <c r="Q571" s="358">
        <f>'ExIntl Freight'!AE29</f>
        <v>0</v>
      </c>
      <c r="R571" s="358">
        <f>'ExIntl Freight'!AF29</f>
        <v>0</v>
      </c>
      <c r="S571" s="358">
        <f>'ExIntl Freight'!AG29</f>
        <v>0</v>
      </c>
      <c r="T571" s="358">
        <f>'ExIntl Freight'!AH29</f>
        <v>210</v>
      </c>
      <c r="U571" s="358">
        <f>'ExIntl Freight'!AI29</f>
        <v>0</v>
      </c>
      <c r="V571" s="365">
        <f>'ExIntl Freight'!AJ29</f>
        <v>0</v>
      </c>
      <c r="W571" s="358">
        <f>'ExIntl Freight'!AK29</f>
        <v>0</v>
      </c>
      <c r="X571" s="358">
        <f>'ExIntl Freight'!AL29</f>
        <v>0</v>
      </c>
      <c r="Y571" s="358">
        <f>'ExIntl Freight'!AM29</f>
        <v>0</v>
      </c>
    </row>
    <row r="572" spans="1:25" x14ac:dyDescent="0.35">
      <c r="A572">
        <v>571</v>
      </c>
      <c r="B572" t="s">
        <v>1341</v>
      </c>
      <c r="C572" t="s">
        <v>953</v>
      </c>
      <c r="D572" t="s">
        <v>14</v>
      </c>
      <c r="E572" t="s">
        <v>1733</v>
      </c>
      <c r="F572" t="s">
        <v>1733</v>
      </c>
      <c r="G572" s="63" t="s">
        <v>1735</v>
      </c>
      <c r="H572" s="358">
        <v>2.5</v>
      </c>
      <c r="I572" s="358">
        <v>0</v>
      </c>
      <c r="J572" s="357">
        <v>0.14999999999999991</v>
      </c>
      <c r="K572" s="358">
        <v>0</v>
      </c>
      <c r="L572" s="358">
        <v>2.65</v>
      </c>
      <c r="M572" s="358">
        <v>0</v>
      </c>
      <c r="N572" s="361">
        <f>'ExIntl Parcel'!D34</f>
        <v>0</v>
      </c>
      <c r="O572" s="361">
        <f>'ExIntl Parcel'!E34</f>
        <v>0</v>
      </c>
      <c r="P572" s="358">
        <f>'ExIntl Parcel'!F34</f>
        <v>2.65</v>
      </c>
      <c r="Q572" s="358">
        <f>'ExIntl Parcel'!G34</f>
        <v>0</v>
      </c>
      <c r="R572" s="358">
        <f>'ExIntl Parcel'!H34</f>
        <v>0</v>
      </c>
      <c r="S572" s="358">
        <f>'ExIntl Parcel'!I34</f>
        <v>0</v>
      </c>
      <c r="T572" s="358">
        <f>'ExIntl Parcel'!J34</f>
        <v>2.65</v>
      </c>
      <c r="U572" s="358">
        <f>'ExIntl Parcel'!K34</f>
        <v>0</v>
      </c>
      <c r="V572" s="365">
        <f>'ExIntl Parcel'!L34</f>
        <v>0</v>
      </c>
      <c r="W572" s="358">
        <f>'ExIntl Parcel'!M34</f>
        <v>0</v>
      </c>
      <c r="X572" s="358">
        <f>'ExIntl Parcel'!N34</f>
        <v>0</v>
      </c>
      <c r="Y572" s="358">
        <f>'ExIntl Parcel'!O34</f>
        <v>0</v>
      </c>
    </row>
    <row r="573" spans="1:25" x14ac:dyDescent="0.35">
      <c r="A573">
        <v>572</v>
      </c>
      <c r="B573" t="s">
        <v>1350</v>
      </c>
      <c r="C573" t="s">
        <v>953</v>
      </c>
      <c r="D573" t="s">
        <v>14</v>
      </c>
      <c r="E573" t="s">
        <v>1733</v>
      </c>
      <c r="F573" t="s">
        <v>1733</v>
      </c>
      <c r="G573" s="63" t="s">
        <v>1735</v>
      </c>
      <c r="H573" s="358">
        <v>2.5</v>
      </c>
      <c r="I573" s="358">
        <v>0</v>
      </c>
      <c r="J573" s="357">
        <v>0.14999999999999991</v>
      </c>
      <c r="K573" s="358">
        <v>0</v>
      </c>
      <c r="L573" s="358">
        <v>2.65</v>
      </c>
      <c r="M573" s="358">
        <v>0</v>
      </c>
      <c r="N573" s="361">
        <f>'ExIntl Parcel'!P34</f>
        <v>0</v>
      </c>
      <c r="O573" s="361">
        <f>'ExIntl Parcel'!Q34</f>
        <v>0</v>
      </c>
      <c r="P573" s="358">
        <f>'ExIntl Parcel'!R34</f>
        <v>2.65</v>
      </c>
      <c r="Q573" s="358">
        <f>'ExIntl Parcel'!S34</f>
        <v>0</v>
      </c>
      <c r="R573" s="358">
        <f>'ExIntl Parcel'!T34</f>
        <v>0</v>
      </c>
      <c r="S573" s="358">
        <f>'ExIntl Parcel'!U34</f>
        <v>0</v>
      </c>
      <c r="T573" s="358">
        <f>'ExIntl Parcel'!V34</f>
        <v>2.65</v>
      </c>
      <c r="U573" s="358">
        <f>'ExIntl Parcel'!W34</f>
        <v>0</v>
      </c>
      <c r="V573" s="365">
        <f>'ExIntl Parcel'!X34</f>
        <v>0</v>
      </c>
      <c r="W573" s="358">
        <f>'ExIntl Parcel'!Y34</f>
        <v>0</v>
      </c>
      <c r="X573" s="358">
        <f>'ExIntl Parcel'!Z34</f>
        <v>0</v>
      </c>
      <c r="Y573" s="358">
        <f>'ExIntl Parcel'!AA34</f>
        <v>0</v>
      </c>
    </row>
    <row r="574" spans="1:25" x14ac:dyDescent="0.35">
      <c r="A574">
        <v>573</v>
      </c>
      <c r="B574" t="s">
        <v>1351</v>
      </c>
      <c r="C574" t="s">
        <v>953</v>
      </c>
      <c r="D574" t="s">
        <v>14</v>
      </c>
      <c r="E574" t="s">
        <v>1733</v>
      </c>
      <c r="F574" t="s">
        <v>1733</v>
      </c>
      <c r="G574" s="63" t="s">
        <v>1735</v>
      </c>
      <c r="H574" s="358">
        <v>2.5</v>
      </c>
      <c r="I574" s="358">
        <v>0</v>
      </c>
      <c r="J574" s="357">
        <v>0.14999999999999991</v>
      </c>
      <c r="K574" s="358">
        <v>0</v>
      </c>
      <c r="L574" s="358">
        <v>2.65</v>
      </c>
      <c r="M574" s="358">
        <v>0</v>
      </c>
      <c r="N574" s="361">
        <f>'ExIntl Parcel'!AB34</f>
        <v>0</v>
      </c>
      <c r="O574" s="361">
        <f>'ExIntl Parcel'!AC34</f>
        <v>0</v>
      </c>
      <c r="P574" s="358">
        <f>'ExIntl Parcel'!AD34</f>
        <v>2.65</v>
      </c>
      <c r="Q574" s="358">
        <f>'ExIntl Parcel'!AE34</f>
        <v>0</v>
      </c>
      <c r="R574" s="358">
        <f>'ExIntl Parcel'!AF34</f>
        <v>0</v>
      </c>
      <c r="S574" s="358">
        <f>'ExIntl Parcel'!AG34</f>
        <v>0</v>
      </c>
      <c r="T574" s="358">
        <f>'ExIntl Parcel'!AH34</f>
        <v>2.65</v>
      </c>
      <c r="U574" s="358">
        <f>'ExIntl Parcel'!AI34</f>
        <v>0</v>
      </c>
      <c r="V574" s="365">
        <f>'ExIntl Parcel'!AJ34</f>
        <v>0</v>
      </c>
      <c r="W574" s="358">
        <f>'ExIntl Parcel'!AK34</f>
        <v>0</v>
      </c>
      <c r="X574" s="358">
        <f>'ExIntl Parcel'!AL34</f>
        <v>0</v>
      </c>
      <c r="Y574" s="358">
        <f>'ExIntl Parcel'!AM34</f>
        <v>0</v>
      </c>
    </row>
    <row r="575" spans="1:25" x14ac:dyDescent="0.35">
      <c r="A575">
        <v>574</v>
      </c>
      <c r="B575" t="s">
        <v>1341</v>
      </c>
      <c r="C575" t="s">
        <v>953</v>
      </c>
      <c r="D575" t="s">
        <v>335</v>
      </c>
      <c r="E575" t="s">
        <v>1733</v>
      </c>
      <c r="F575" t="s">
        <v>1733</v>
      </c>
      <c r="G575" s="63" t="s">
        <v>1734</v>
      </c>
      <c r="H575" s="358">
        <v>2.5</v>
      </c>
      <c r="I575" s="358">
        <v>0</v>
      </c>
      <c r="J575" s="357">
        <v>0.14999999999999991</v>
      </c>
      <c r="K575" s="358">
        <v>0</v>
      </c>
      <c r="L575" s="358">
        <v>2.65</v>
      </c>
      <c r="M575" s="358">
        <v>0</v>
      </c>
      <c r="N575" s="361">
        <f>'ExIntl Freight'!D24</f>
        <v>0</v>
      </c>
      <c r="O575" s="361">
        <f>'ExIntl Freight'!E24</f>
        <v>0</v>
      </c>
      <c r="P575" s="358">
        <f>'ExIntl Freight'!F24</f>
        <v>2.65</v>
      </c>
      <c r="Q575" s="358">
        <f>'ExIntl Freight'!G24</f>
        <v>0</v>
      </c>
      <c r="R575" s="358">
        <f>'ExIntl Freight'!H24</f>
        <v>0</v>
      </c>
      <c r="S575" s="358">
        <f>'ExIntl Freight'!I24</f>
        <v>0</v>
      </c>
      <c r="T575" s="358">
        <f>'ExIntl Freight'!J24</f>
        <v>2.65</v>
      </c>
      <c r="U575" s="358">
        <f>'ExIntl Freight'!K24</f>
        <v>0</v>
      </c>
      <c r="V575" s="365">
        <f>'ExIntl Freight'!L24</f>
        <v>0</v>
      </c>
      <c r="W575" s="358">
        <f>'ExIntl Freight'!M24</f>
        <v>0</v>
      </c>
      <c r="X575" s="358">
        <f>'ExIntl Freight'!N24</f>
        <v>0</v>
      </c>
      <c r="Y575" s="358">
        <f>'ExIntl Freight'!O24</f>
        <v>0</v>
      </c>
    </row>
    <row r="576" spans="1:25" x14ac:dyDescent="0.35">
      <c r="A576">
        <v>575</v>
      </c>
      <c r="B576" t="s">
        <v>1350</v>
      </c>
      <c r="C576" t="s">
        <v>953</v>
      </c>
      <c r="D576" t="s">
        <v>335</v>
      </c>
      <c r="E576" t="s">
        <v>1733</v>
      </c>
      <c r="F576" t="s">
        <v>1733</v>
      </c>
      <c r="G576" s="63" t="s">
        <v>1734</v>
      </c>
      <c r="H576" s="358">
        <v>2.5</v>
      </c>
      <c r="I576" s="358">
        <v>0</v>
      </c>
      <c r="J576" s="357">
        <v>0.14999999999999991</v>
      </c>
      <c r="K576" s="358">
        <v>0</v>
      </c>
      <c r="L576" s="358">
        <v>2.65</v>
      </c>
      <c r="M576" s="358">
        <v>0</v>
      </c>
      <c r="N576" s="361">
        <f>'ExIntl Freight'!P24</f>
        <v>0</v>
      </c>
      <c r="O576" s="361">
        <f>'ExIntl Freight'!Q24</f>
        <v>0</v>
      </c>
      <c r="P576" s="358">
        <f>'ExIntl Freight'!R24</f>
        <v>2.65</v>
      </c>
      <c r="Q576" s="358">
        <f>'ExIntl Freight'!S24</f>
        <v>0</v>
      </c>
      <c r="R576" s="358">
        <f>'ExIntl Freight'!T24</f>
        <v>0</v>
      </c>
      <c r="S576" s="358">
        <f>'ExIntl Freight'!U24</f>
        <v>0</v>
      </c>
      <c r="T576" s="358">
        <f>'ExIntl Freight'!V24</f>
        <v>2.65</v>
      </c>
      <c r="U576" s="358">
        <f>'ExIntl Freight'!W24</f>
        <v>0</v>
      </c>
      <c r="V576" s="365">
        <f>'ExIntl Freight'!X24</f>
        <v>0</v>
      </c>
      <c r="W576" s="358">
        <f>'ExIntl Freight'!Y24</f>
        <v>0</v>
      </c>
      <c r="X576" s="358">
        <f>'ExIntl Freight'!Z24</f>
        <v>0</v>
      </c>
      <c r="Y576" s="358">
        <f>'ExIntl Freight'!AA24</f>
        <v>0</v>
      </c>
    </row>
    <row r="577" spans="1:25" x14ac:dyDescent="0.35">
      <c r="A577">
        <v>576</v>
      </c>
      <c r="B577" t="s">
        <v>1351</v>
      </c>
      <c r="C577" t="s">
        <v>953</v>
      </c>
      <c r="D577" t="s">
        <v>335</v>
      </c>
      <c r="E577" t="s">
        <v>1733</v>
      </c>
      <c r="F577" t="s">
        <v>1733</v>
      </c>
      <c r="G577" s="63" t="s">
        <v>1734</v>
      </c>
      <c r="H577" s="358">
        <v>2.5</v>
      </c>
      <c r="I577" s="358">
        <v>0</v>
      </c>
      <c r="J577" s="357">
        <v>0.14999999999999991</v>
      </c>
      <c r="K577" s="358">
        <v>0</v>
      </c>
      <c r="L577" s="358">
        <v>2.65</v>
      </c>
      <c r="M577" s="358">
        <v>0</v>
      </c>
      <c r="N577" s="361">
        <f>'ExIntl Freight'!AB24</f>
        <v>0</v>
      </c>
      <c r="O577" s="361">
        <f>'ExIntl Freight'!AC24</f>
        <v>0</v>
      </c>
      <c r="P577" s="358">
        <f>'ExIntl Freight'!AD24</f>
        <v>2.65</v>
      </c>
      <c r="Q577" s="358">
        <f>'ExIntl Freight'!AE24</f>
        <v>0</v>
      </c>
      <c r="R577" s="358">
        <f>'ExIntl Freight'!AF24</f>
        <v>0</v>
      </c>
      <c r="S577" s="358">
        <f>'ExIntl Freight'!AG24</f>
        <v>0</v>
      </c>
      <c r="T577" s="358">
        <f>'ExIntl Freight'!AH24</f>
        <v>2.65</v>
      </c>
      <c r="U577" s="358">
        <f>'ExIntl Freight'!AI24</f>
        <v>0</v>
      </c>
      <c r="V577" s="365">
        <f>'ExIntl Freight'!AJ24</f>
        <v>0</v>
      </c>
      <c r="W577" s="358">
        <f>'ExIntl Freight'!AK24</f>
        <v>0</v>
      </c>
      <c r="X577" s="358">
        <f>'ExIntl Freight'!AL24</f>
        <v>0</v>
      </c>
      <c r="Y577" s="358">
        <f>'ExIntl Freight'!AM24</f>
        <v>0</v>
      </c>
    </row>
    <row r="578" spans="1:25" x14ac:dyDescent="0.35">
      <c r="A578">
        <v>577</v>
      </c>
      <c r="B578" t="s">
        <v>1341</v>
      </c>
      <c r="C578" t="s">
        <v>953</v>
      </c>
      <c r="D578" t="s">
        <v>15</v>
      </c>
      <c r="E578" t="s">
        <v>1733</v>
      </c>
      <c r="F578" t="s">
        <v>1733</v>
      </c>
      <c r="G578" s="63" t="s">
        <v>1736</v>
      </c>
      <c r="H578" s="358">
        <v>2.5</v>
      </c>
      <c r="J578" s="357">
        <v>0.14999999999999991</v>
      </c>
      <c r="L578" s="358">
        <v>2.65</v>
      </c>
      <c r="N578" s="361">
        <f>Ground!C53</f>
        <v>0</v>
      </c>
      <c r="O578" s="361">
        <f>Ground!D53</f>
        <v>0</v>
      </c>
      <c r="P578" s="358">
        <f>Ground!E53</f>
        <v>2.65</v>
      </c>
      <c r="R578" s="358">
        <f>Ground!F53</f>
        <v>0</v>
      </c>
      <c r="T578" s="358">
        <f>Ground!G53</f>
        <v>2.65</v>
      </c>
      <c r="V578" s="365">
        <f>Ground!H53</f>
        <v>0</v>
      </c>
      <c r="W578" s="358">
        <f>Ground!I53</f>
        <v>0</v>
      </c>
      <c r="X578" s="358">
        <f>Ground!J53</f>
        <v>0</v>
      </c>
      <c r="Y578" s="358">
        <f>Ground!K53</f>
        <v>0</v>
      </c>
    </row>
    <row r="579" spans="1:25" x14ac:dyDescent="0.35">
      <c r="A579">
        <v>578</v>
      </c>
      <c r="B579" t="s">
        <v>1350</v>
      </c>
      <c r="C579" t="s">
        <v>953</v>
      </c>
      <c r="D579" t="s">
        <v>15</v>
      </c>
      <c r="E579" t="s">
        <v>1733</v>
      </c>
      <c r="F579" t="s">
        <v>1733</v>
      </c>
      <c r="G579" s="63" t="s">
        <v>1736</v>
      </c>
      <c r="H579" s="358">
        <v>2.5</v>
      </c>
      <c r="J579" s="357">
        <v>0.14999999999999991</v>
      </c>
      <c r="L579" s="358">
        <v>2.65</v>
      </c>
      <c r="N579" s="361">
        <f>Ground!L53</f>
        <v>0</v>
      </c>
      <c r="O579" s="361">
        <f>Ground!M53</f>
        <v>0</v>
      </c>
      <c r="P579" s="358">
        <f>Ground!N53</f>
        <v>2.65</v>
      </c>
      <c r="R579" s="358">
        <f>Ground!O53</f>
        <v>0</v>
      </c>
      <c r="T579" s="358">
        <f>Ground!P53</f>
        <v>2.65</v>
      </c>
      <c r="V579" s="365">
        <f>Ground!Q53</f>
        <v>0</v>
      </c>
      <c r="W579" s="358">
        <f>Ground!R53</f>
        <v>0</v>
      </c>
      <c r="X579" s="358">
        <f>Ground!S53</f>
        <v>0</v>
      </c>
      <c r="Y579" s="358">
        <f>Ground!T53</f>
        <v>0</v>
      </c>
    </row>
    <row r="580" spans="1:25" x14ac:dyDescent="0.35">
      <c r="A580">
        <v>579</v>
      </c>
      <c r="B580" t="s">
        <v>1351</v>
      </c>
      <c r="C580" t="s">
        <v>953</v>
      </c>
      <c r="D580" t="s">
        <v>15</v>
      </c>
      <c r="E580" t="s">
        <v>1733</v>
      </c>
      <c r="F580" t="s">
        <v>1733</v>
      </c>
      <c r="G580" s="63" t="s">
        <v>1736</v>
      </c>
      <c r="H580" s="358">
        <v>2.5</v>
      </c>
      <c r="J580" s="357">
        <v>0.14999999999999991</v>
      </c>
      <c r="L580" s="358">
        <v>2.65</v>
      </c>
      <c r="N580" s="361">
        <f>Ground!U53</f>
        <v>0</v>
      </c>
      <c r="O580" s="361">
        <f>Ground!V53</f>
        <v>0</v>
      </c>
      <c r="P580" s="358">
        <f>Ground!W53</f>
        <v>2.65</v>
      </c>
      <c r="R580" s="358">
        <f>Ground!X53</f>
        <v>0</v>
      </c>
      <c r="T580" s="358">
        <f>Ground!Y53</f>
        <v>2.65</v>
      </c>
      <c r="V580" s="365">
        <f>Ground!Z53</f>
        <v>0</v>
      </c>
      <c r="W580" s="358">
        <f>Ground!AA53</f>
        <v>0</v>
      </c>
      <c r="X580" s="358">
        <f>Ground!AB53</f>
        <v>0</v>
      </c>
      <c r="Y580" s="358">
        <f>Ground!AC53</f>
        <v>0</v>
      </c>
    </row>
    <row r="581" spans="1:25" x14ac:dyDescent="0.35">
      <c r="A581">
        <v>580</v>
      </c>
      <c r="B581" t="s">
        <v>1341</v>
      </c>
      <c r="C581" t="s">
        <v>953</v>
      </c>
      <c r="D581" t="s">
        <v>14</v>
      </c>
      <c r="E581" t="s">
        <v>338</v>
      </c>
      <c r="F581" t="s">
        <v>338</v>
      </c>
      <c r="G581" s="63" t="s">
        <v>1751</v>
      </c>
      <c r="H581" s="57">
        <v>4</v>
      </c>
      <c r="I581" s="358">
        <v>0</v>
      </c>
      <c r="J581" s="358">
        <v>0</v>
      </c>
      <c r="K581" s="358">
        <v>0</v>
      </c>
      <c r="L581" s="358">
        <v>4</v>
      </c>
      <c r="M581" s="358">
        <v>0</v>
      </c>
      <c r="N581" s="361">
        <f>'ExIntl Parcel'!D22</f>
        <v>0</v>
      </c>
      <c r="O581" s="361">
        <f>'ExIntl Parcel'!E22</f>
        <v>0</v>
      </c>
      <c r="P581" s="358">
        <f>'ExIntl Parcel'!F21</f>
        <v>4</v>
      </c>
      <c r="R581" s="358">
        <f>'ExIntl Parcel'!H21</f>
        <v>0</v>
      </c>
      <c r="T581" s="358">
        <f>'ExIntl Parcel'!J21</f>
        <v>4</v>
      </c>
      <c r="V581" s="365">
        <f>'ExIntl Parcel'!L21</f>
        <v>0</v>
      </c>
      <c r="W581" s="358">
        <f>'ExIntl Parcel'!M21</f>
        <v>0</v>
      </c>
      <c r="X581" s="358">
        <f>'ExIntl Parcel'!N21</f>
        <v>0</v>
      </c>
      <c r="Y581" s="358">
        <f>'ExIntl Parcel'!O21</f>
        <v>0</v>
      </c>
    </row>
    <row r="582" spans="1:25" x14ac:dyDescent="0.35">
      <c r="A582">
        <v>581</v>
      </c>
      <c r="B582" t="s">
        <v>1350</v>
      </c>
      <c r="C582" t="s">
        <v>953</v>
      </c>
      <c r="D582" t="s">
        <v>14</v>
      </c>
      <c r="E582" t="s">
        <v>338</v>
      </c>
      <c r="F582" t="s">
        <v>338</v>
      </c>
      <c r="G582" s="63" t="s">
        <v>1751</v>
      </c>
      <c r="H582" s="57">
        <v>4</v>
      </c>
      <c r="I582" s="358">
        <v>0</v>
      </c>
      <c r="J582" s="358">
        <v>0</v>
      </c>
      <c r="K582" s="358">
        <v>0</v>
      </c>
      <c r="L582" s="358">
        <v>4</v>
      </c>
      <c r="M582" s="358">
        <v>0</v>
      </c>
      <c r="N582" s="361">
        <f>'ExIntl Parcel'!P21</f>
        <v>0</v>
      </c>
      <c r="O582" s="361">
        <f>'ExIntl Parcel'!Q21</f>
        <v>0</v>
      </c>
      <c r="P582" s="358">
        <f>'ExIntl Parcel'!R21</f>
        <v>4</v>
      </c>
      <c r="R582" s="358">
        <f>'ExIntl Parcel'!T21</f>
        <v>0</v>
      </c>
      <c r="T582" s="358">
        <f>'ExIntl Parcel'!V21</f>
        <v>4</v>
      </c>
      <c r="V582" s="365">
        <f>'ExIntl Parcel'!X21</f>
        <v>0</v>
      </c>
      <c r="W582" s="358">
        <f>'ExIntl Parcel'!Y21</f>
        <v>0</v>
      </c>
      <c r="X582" s="358">
        <f>'ExIntl Parcel'!Z21</f>
        <v>0</v>
      </c>
      <c r="Y582" s="358">
        <f>'ExIntl Parcel'!AA21</f>
        <v>0</v>
      </c>
    </row>
    <row r="583" spans="1:25" x14ac:dyDescent="0.35">
      <c r="A583">
        <v>582</v>
      </c>
      <c r="B583" t="s">
        <v>1351</v>
      </c>
      <c r="C583" t="s">
        <v>953</v>
      </c>
      <c r="D583" t="s">
        <v>14</v>
      </c>
      <c r="E583" t="s">
        <v>338</v>
      </c>
      <c r="F583" t="s">
        <v>338</v>
      </c>
      <c r="G583" s="63" t="s">
        <v>1751</v>
      </c>
      <c r="H583" s="57">
        <v>4</v>
      </c>
      <c r="I583" s="358">
        <v>0</v>
      </c>
      <c r="J583" s="358">
        <v>0</v>
      </c>
      <c r="K583" s="358">
        <v>0</v>
      </c>
      <c r="L583" s="358">
        <v>4</v>
      </c>
      <c r="M583" s="358">
        <v>0</v>
      </c>
      <c r="N583" s="361">
        <f>'ExIntl Parcel'!AB21</f>
        <v>0</v>
      </c>
      <c r="O583" s="361">
        <f>'ExIntl Parcel'!AC21</f>
        <v>0</v>
      </c>
      <c r="P583" s="358">
        <f>'ExIntl Parcel'!AD21</f>
        <v>4</v>
      </c>
      <c r="R583" s="358">
        <f>'ExIntl Parcel'!AF21</f>
        <v>0</v>
      </c>
      <c r="T583" s="358">
        <f>'ExIntl Parcel'!AH21</f>
        <v>4</v>
      </c>
      <c r="V583" s="365">
        <f>'ExIntl Parcel'!AJ21</f>
        <v>0</v>
      </c>
      <c r="W583" s="358">
        <f>'ExIntl Parcel'!AK21</f>
        <v>0</v>
      </c>
      <c r="X583" s="358">
        <f>'ExIntl Parcel'!AL21</f>
        <v>0</v>
      </c>
      <c r="Y583" s="358">
        <f>'ExIntl Parcel'!AM21</f>
        <v>0</v>
      </c>
    </row>
    <row r="584" spans="1:25" x14ac:dyDescent="0.35">
      <c r="A584">
        <v>583</v>
      </c>
      <c r="B584" t="s">
        <v>1341</v>
      </c>
      <c r="C584" t="s">
        <v>946</v>
      </c>
      <c r="D584" t="s">
        <v>1788</v>
      </c>
      <c r="E584" t="s">
        <v>1811</v>
      </c>
      <c r="F584" t="s">
        <v>1756</v>
      </c>
      <c r="G584" t="s">
        <v>1756</v>
      </c>
      <c r="H584" s="358">
        <f>'Pickup Fee'!$B$6</f>
        <v>19</v>
      </c>
      <c r="I584" s="358">
        <v>0</v>
      </c>
      <c r="J584" s="358">
        <v>0</v>
      </c>
      <c r="K584" s="358">
        <v>0</v>
      </c>
      <c r="L584" s="358">
        <f>'Pickup Fee'!$B$6</f>
        <v>19</v>
      </c>
      <c r="M584" s="358">
        <v>0</v>
      </c>
      <c r="N584" s="361">
        <f>'Pickup Fee'!C6</f>
        <v>0</v>
      </c>
      <c r="O584" s="361">
        <f>'Pickup Fee'!D6</f>
        <v>0</v>
      </c>
      <c r="P584" s="358">
        <f>'Pickup Fee'!E6</f>
        <v>19</v>
      </c>
      <c r="R584" s="358">
        <f>'Pickup Fee'!F6</f>
        <v>0</v>
      </c>
      <c r="T584" s="358">
        <f>'Pickup Fee'!G6</f>
        <v>19</v>
      </c>
      <c r="V584" s="358">
        <f>'Pickup Fee'!H6</f>
        <v>0</v>
      </c>
      <c r="W584" s="358">
        <f>'Pickup Fee'!I6</f>
        <v>0</v>
      </c>
      <c r="X584" s="358">
        <f>'Pickup Fee'!J6</f>
        <v>0</v>
      </c>
      <c r="Y584" s="358">
        <f>'Pickup Fee'!K6</f>
        <v>0</v>
      </c>
    </row>
    <row r="585" spans="1:25" x14ac:dyDescent="0.35">
      <c r="A585">
        <v>584</v>
      </c>
      <c r="B585" t="s">
        <v>1350</v>
      </c>
      <c r="C585" t="s">
        <v>946</v>
      </c>
      <c r="D585" t="s">
        <v>1788</v>
      </c>
      <c r="E585" t="s">
        <v>1811</v>
      </c>
      <c r="F585" t="s">
        <v>1756</v>
      </c>
      <c r="G585" t="s">
        <v>1756</v>
      </c>
      <c r="H585" s="358">
        <f>'Pickup Fee'!$B$6</f>
        <v>19</v>
      </c>
      <c r="I585" s="358">
        <v>0</v>
      </c>
      <c r="J585" s="358">
        <v>0</v>
      </c>
      <c r="K585" s="358">
        <v>0</v>
      </c>
      <c r="L585" s="358">
        <f>'Pickup Fee'!$B$6</f>
        <v>19</v>
      </c>
      <c r="M585" s="358">
        <v>0</v>
      </c>
      <c r="N585" s="361">
        <f>'Pickup Fee'!L6</f>
        <v>0</v>
      </c>
      <c r="O585" s="361">
        <f>'Pickup Fee'!M6</f>
        <v>0</v>
      </c>
      <c r="P585" s="358">
        <f>'Pickup Fee'!N6</f>
        <v>19</v>
      </c>
      <c r="R585" s="358">
        <f>'Pickup Fee'!O6</f>
        <v>0</v>
      </c>
      <c r="T585" s="358">
        <f>'Pickup Fee'!P6</f>
        <v>19</v>
      </c>
      <c r="V585" s="358">
        <f>'Pickup Fee'!Q6</f>
        <v>0</v>
      </c>
      <c r="W585" s="358">
        <f>'Pickup Fee'!R6</f>
        <v>0</v>
      </c>
      <c r="X585" s="358">
        <f>'Pickup Fee'!S6</f>
        <v>0</v>
      </c>
      <c r="Y585" s="358">
        <f>'Pickup Fee'!T6</f>
        <v>0</v>
      </c>
    </row>
    <row r="586" spans="1:25" x14ac:dyDescent="0.35">
      <c r="A586">
        <v>585</v>
      </c>
      <c r="B586" t="s">
        <v>1351</v>
      </c>
      <c r="C586" t="s">
        <v>946</v>
      </c>
      <c r="D586" t="s">
        <v>1788</v>
      </c>
      <c r="E586" t="s">
        <v>1811</v>
      </c>
      <c r="F586" t="s">
        <v>1756</v>
      </c>
      <c r="G586" t="s">
        <v>1756</v>
      </c>
      <c r="H586" s="358">
        <f>'Pickup Fee'!$B$6</f>
        <v>19</v>
      </c>
      <c r="I586" s="358">
        <v>0</v>
      </c>
      <c r="J586" s="358">
        <v>0</v>
      </c>
      <c r="K586" s="358">
        <v>0</v>
      </c>
      <c r="L586" s="358">
        <f>'Pickup Fee'!$B$6</f>
        <v>19</v>
      </c>
      <c r="M586" s="358">
        <v>0</v>
      </c>
      <c r="N586" s="361">
        <f>'Pickup Fee'!U6</f>
        <v>0</v>
      </c>
      <c r="O586" s="361">
        <f>'Pickup Fee'!V6</f>
        <v>0</v>
      </c>
      <c r="P586" s="358">
        <f>'Pickup Fee'!W6</f>
        <v>19</v>
      </c>
      <c r="R586" s="358">
        <f>'Pickup Fee'!X6</f>
        <v>0</v>
      </c>
      <c r="T586" s="358">
        <f>'Pickup Fee'!Y6</f>
        <v>19</v>
      </c>
      <c r="V586" s="358">
        <f>'Pickup Fee'!Z6</f>
        <v>0</v>
      </c>
      <c r="W586" s="358">
        <f>'Pickup Fee'!AA6</f>
        <v>0</v>
      </c>
      <c r="X586" s="358">
        <f>'Pickup Fee'!AB6</f>
        <v>0</v>
      </c>
      <c r="Y586" s="358">
        <f>'Pickup Fee'!AC6</f>
        <v>0</v>
      </c>
    </row>
    <row r="587" spans="1:25" x14ac:dyDescent="0.35">
      <c r="A587">
        <v>586</v>
      </c>
      <c r="B587" t="s">
        <v>1341</v>
      </c>
      <c r="C587" t="s">
        <v>946</v>
      </c>
      <c r="D587" t="s">
        <v>1788</v>
      </c>
      <c r="E587" t="s">
        <v>1811</v>
      </c>
      <c r="F587" t="s">
        <v>1758</v>
      </c>
      <c r="G587" t="s">
        <v>1758</v>
      </c>
      <c r="H587" s="358">
        <f>'Pickup Fee'!$B$8</f>
        <v>9</v>
      </c>
      <c r="I587" s="358">
        <v>0</v>
      </c>
      <c r="J587" s="358">
        <v>0</v>
      </c>
      <c r="K587" s="358">
        <v>0</v>
      </c>
      <c r="L587" s="358">
        <f>'Pickup Fee'!$B$8</f>
        <v>9</v>
      </c>
      <c r="M587" s="358">
        <v>0</v>
      </c>
      <c r="N587" s="361">
        <f>'Pickup Fee'!C8</f>
        <v>0</v>
      </c>
      <c r="O587" s="361">
        <f>'Pickup Fee'!D8</f>
        <v>0</v>
      </c>
      <c r="P587" s="358">
        <f>'Pickup Fee'!E8</f>
        <v>9</v>
      </c>
      <c r="R587" s="358">
        <f>'Pickup Fee'!F8</f>
        <v>0</v>
      </c>
      <c r="T587" s="358">
        <f>'Pickup Fee'!G8</f>
        <v>9</v>
      </c>
      <c r="V587" s="358">
        <f>'Pickup Fee'!H8</f>
        <v>0</v>
      </c>
      <c r="W587" s="358">
        <f>'Pickup Fee'!I8</f>
        <v>0</v>
      </c>
      <c r="X587" s="358">
        <f>'Pickup Fee'!J8</f>
        <v>0</v>
      </c>
      <c r="Y587" s="358">
        <f>'Pickup Fee'!K8</f>
        <v>0</v>
      </c>
    </row>
    <row r="588" spans="1:25" x14ac:dyDescent="0.35">
      <c r="A588">
        <v>587</v>
      </c>
      <c r="B588" t="s">
        <v>1350</v>
      </c>
      <c r="C588" t="s">
        <v>946</v>
      </c>
      <c r="D588" t="s">
        <v>1788</v>
      </c>
      <c r="E588" t="s">
        <v>1811</v>
      </c>
      <c r="F588" t="s">
        <v>1758</v>
      </c>
      <c r="G588" t="s">
        <v>1758</v>
      </c>
      <c r="H588" s="358">
        <f>'Pickup Fee'!$B$8</f>
        <v>9</v>
      </c>
      <c r="I588" s="358">
        <v>0</v>
      </c>
      <c r="J588" s="358">
        <v>0</v>
      </c>
      <c r="K588" s="358">
        <v>0</v>
      </c>
      <c r="L588" s="358">
        <f>'Pickup Fee'!$B$8</f>
        <v>9</v>
      </c>
      <c r="M588" s="358">
        <v>0</v>
      </c>
      <c r="N588" s="361">
        <f>'Pickup Fee'!L8</f>
        <v>0</v>
      </c>
      <c r="O588" s="361">
        <f>'Pickup Fee'!M8</f>
        <v>0</v>
      </c>
      <c r="P588" s="358">
        <f>'Pickup Fee'!N8</f>
        <v>9</v>
      </c>
      <c r="R588" s="358">
        <f>'Pickup Fee'!O8</f>
        <v>0</v>
      </c>
      <c r="T588" s="358">
        <f>'Pickup Fee'!P8</f>
        <v>9</v>
      </c>
      <c r="V588" s="358">
        <f>'Pickup Fee'!Q8</f>
        <v>0</v>
      </c>
      <c r="W588" s="358">
        <f>'Pickup Fee'!R8</f>
        <v>0</v>
      </c>
      <c r="X588" s="358">
        <f>'Pickup Fee'!S8</f>
        <v>0</v>
      </c>
      <c r="Y588" s="358">
        <f>'Pickup Fee'!T8</f>
        <v>0</v>
      </c>
    </row>
    <row r="589" spans="1:25" x14ac:dyDescent="0.35">
      <c r="A589">
        <v>588</v>
      </c>
      <c r="B589" t="s">
        <v>1351</v>
      </c>
      <c r="C589" t="s">
        <v>946</v>
      </c>
      <c r="D589" t="s">
        <v>1788</v>
      </c>
      <c r="E589" t="s">
        <v>1811</v>
      </c>
      <c r="F589" t="s">
        <v>1758</v>
      </c>
      <c r="G589" t="s">
        <v>1758</v>
      </c>
      <c r="H589" s="358">
        <f>'Pickup Fee'!$B$8</f>
        <v>9</v>
      </c>
      <c r="I589" s="358">
        <v>0</v>
      </c>
      <c r="J589" s="358">
        <v>0</v>
      </c>
      <c r="K589" s="358">
        <v>0</v>
      </c>
      <c r="L589" s="358">
        <f>'Pickup Fee'!$B$8</f>
        <v>9</v>
      </c>
      <c r="M589" s="358">
        <v>0</v>
      </c>
      <c r="N589" s="361">
        <f>'Pickup Fee'!U8</f>
        <v>0</v>
      </c>
      <c r="O589" s="361">
        <f>'Pickup Fee'!V8</f>
        <v>0</v>
      </c>
      <c r="P589" s="358">
        <f>'Pickup Fee'!W8</f>
        <v>9</v>
      </c>
      <c r="R589" s="358">
        <f>'Pickup Fee'!X8</f>
        <v>0</v>
      </c>
      <c r="T589" s="358">
        <f>'Pickup Fee'!Y8</f>
        <v>9</v>
      </c>
      <c r="V589" s="358">
        <f>'Pickup Fee'!Z8</f>
        <v>0</v>
      </c>
      <c r="W589" s="358">
        <f>'Pickup Fee'!AA8</f>
        <v>0</v>
      </c>
      <c r="X589" s="358">
        <f>'Pickup Fee'!AB8</f>
        <v>0</v>
      </c>
      <c r="Y589" s="358">
        <f>'Pickup Fee'!AC8</f>
        <v>0</v>
      </c>
    </row>
    <row r="590" spans="1:25" x14ac:dyDescent="0.35">
      <c r="A590">
        <v>589</v>
      </c>
      <c r="B590" t="s">
        <v>1341</v>
      </c>
      <c r="C590" t="s">
        <v>946</v>
      </c>
      <c r="D590" t="s">
        <v>1788</v>
      </c>
      <c r="E590" t="s">
        <v>1811</v>
      </c>
      <c r="F590" t="s">
        <v>1759</v>
      </c>
      <c r="G590" t="s">
        <v>1759</v>
      </c>
      <c r="H590" s="358">
        <f>'Pickup Fee'!$B$9</f>
        <v>15.5</v>
      </c>
      <c r="I590" s="358">
        <v>0</v>
      </c>
      <c r="J590" s="358">
        <v>0</v>
      </c>
      <c r="K590" s="358">
        <v>0</v>
      </c>
      <c r="L590" s="358">
        <f>'Pickup Fee'!$B$9</f>
        <v>15.5</v>
      </c>
      <c r="M590" s="358">
        <v>0</v>
      </c>
      <c r="N590" s="361">
        <f>'Pickup Fee'!C9</f>
        <v>0</v>
      </c>
      <c r="O590" s="361">
        <f>'Pickup Fee'!D9</f>
        <v>0</v>
      </c>
      <c r="P590" s="358">
        <f>'Pickup Fee'!E9</f>
        <v>15.5</v>
      </c>
      <c r="R590" s="358">
        <f>'Pickup Fee'!F11</f>
        <v>0</v>
      </c>
      <c r="T590" s="358">
        <f>'Pickup Fee'!G11</f>
        <v>10.5</v>
      </c>
      <c r="V590" s="358">
        <f>'Pickup Fee'!H11</f>
        <v>0</v>
      </c>
      <c r="W590" s="358">
        <f>'Pickup Fee'!I11</f>
        <v>0</v>
      </c>
      <c r="X590" s="358">
        <f>'Pickup Fee'!J11</f>
        <v>0</v>
      </c>
      <c r="Y590" s="358">
        <f>'Pickup Fee'!K11</f>
        <v>0</v>
      </c>
    </row>
    <row r="591" spans="1:25" x14ac:dyDescent="0.35">
      <c r="A591">
        <v>590</v>
      </c>
      <c r="B591" t="s">
        <v>1350</v>
      </c>
      <c r="C591" t="s">
        <v>946</v>
      </c>
      <c r="D591" t="s">
        <v>1788</v>
      </c>
      <c r="E591" t="s">
        <v>1811</v>
      </c>
      <c r="F591" t="s">
        <v>1759</v>
      </c>
      <c r="G591" t="s">
        <v>1759</v>
      </c>
      <c r="H591" s="358">
        <f>'Pickup Fee'!$B$9</f>
        <v>15.5</v>
      </c>
      <c r="I591" s="358">
        <v>0</v>
      </c>
      <c r="J591" s="358">
        <v>0</v>
      </c>
      <c r="K591" s="358">
        <v>0</v>
      </c>
      <c r="L591" s="358">
        <f>'Pickup Fee'!$B$9</f>
        <v>15.5</v>
      </c>
      <c r="M591" s="358">
        <v>0</v>
      </c>
      <c r="N591" s="361">
        <f>'Pickup Fee'!L9</f>
        <v>0</v>
      </c>
      <c r="O591" s="361">
        <f>'Pickup Fee'!M9</f>
        <v>0</v>
      </c>
      <c r="P591" s="358">
        <f>'Pickup Fee'!N9</f>
        <v>15.5</v>
      </c>
      <c r="R591" s="358">
        <f>'Pickup Fee'!O11</f>
        <v>0</v>
      </c>
      <c r="T591" s="358">
        <f>'Pickup Fee'!P11</f>
        <v>10.5</v>
      </c>
      <c r="V591" s="358">
        <f>'Pickup Fee'!Q11</f>
        <v>0</v>
      </c>
      <c r="W591" s="358">
        <f>'Pickup Fee'!R11</f>
        <v>0</v>
      </c>
      <c r="X591" s="358">
        <f>'Pickup Fee'!S11</f>
        <v>0</v>
      </c>
      <c r="Y591" s="358">
        <f>'Pickup Fee'!T11</f>
        <v>0</v>
      </c>
    </row>
    <row r="592" spans="1:25" x14ac:dyDescent="0.35">
      <c r="A592">
        <v>591</v>
      </c>
      <c r="B592" t="s">
        <v>1351</v>
      </c>
      <c r="C592" t="s">
        <v>946</v>
      </c>
      <c r="D592" t="s">
        <v>1788</v>
      </c>
      <c r="E592" t="s">
        <v>1811</v>
      </c>
      <c r="F592" t="s">
        <v>1759</v>
      </c>
      <c r="G592" t="s">
        <v>1759</v>
      </c>
      <c r="H592" s="358">
        <f>'Pickup Fee'!$B$9</f>
        <v>15.5</v>
      </c>
      <c r="I592" s="358">
        <v>0</v>
      </c>
      <c r="J592" s="358">
        <v>0</v>
      </c>
      <c r="K592" s="358">
        <v>0</v>
      </c>
      <c r="L592" s="358">
        <f>'Pickup Fee'!$B$9</f>
        <v>15.5</v>
      </c>
      <c r="M592" s="358">
        <v>0</v>
      </c>
      <c r="N592" s="361">
        <f>'Pickup Fee'!U9</f>
        <v>0</v>
      </c>
      <c r="O592" s="361">
        <f>'Pickup Fee'!V9</f>
        <v>0</v>
      </c>
      <c r="P592" s="358">
        <f>'Pickup Fee'!W9</f>
        <v>15.5</v>
      </c>
      <c r="R592" s="358">
        <f>'Pickup Fee'!X11</f>
        <v>0</v>
      </c>
      <c r="T592" s="358">
        <f>'Pickup Fee'!Y11</f>
        <v>10.5</v>
      </c>
      <c r="V592" s="358">
        <f>'Pickup Fee'!Z11</f>
        <v>0</v>
      </c>
      <c r="W592" s="358">
        <f>'Pickup Fee'!AA11</f>
        <v>0</v>
      </c>
      <c r="X592" s="358">
        <f>'Pickup Fee'!AB11</f>
        <v>0</v>
      </c>
      <c r="Y592" s="358">
        <f>'Pickup Fee'!AC11</f>
        <v>0</v>
      </c>
    </row>
    <row r="593" spans="1:25" x14ac:dyDescent="0.35">
      <c r="A593">
        <v>592</v>
      </c>
      <c r="B593" t="s">
        <v>1341</v>
      </c>
      <c r="C593" t="s">
        <v>946</v>
      </c>
      <c r="D593" t="s">
        <v>1788</v>
      </c>
      <c r="E593" t="s">
        <v>1811</v>
      </c>
      <c r="F593" t="s">
        <v>1760</v>
      </c>
      <c r="G593" t="s">
        <v>1760</v>
      </c>
      <c r="H593" s="358">
        <f>'Pickup Fee'!$B$10</f>
        <v>15.5</v>
      </c>
      <c r="I593" s="358">
        <v>0</v>
      </c>
      <c r="J593" s="358">
        <v>0</v>
      </c>
      <c r="K593" s="358">
        <v>0</v>
      </c>
      <c r="L593" s="358">
        <f>'Pickup Fee'!$B$10</f>
        <v>15.5</v>
      </c>
      <c r="M593" s="358">
        <v>0</v>
      </c>
      <c r="N593" s="361">
        <f>'Pickup Fee'!C10</f>
        <v>0</v>
      </c>
      <c r="O593" s="361">
        <f>'Pickup Fee'!D10</f>
        <v>0</v>
      </c>
      <c r="P593" s="358">
        <f>'Pickup Fee'!E10</f>
        <v>15.5</v>
      </c>
      <c r="R593" s="358">
        <f>'Pickup Fee'!F10</f>
        <v>0</v>
      </c>
      <c r="S593" s="361"/>
      <c r="T593" s="358">
        <f>'Pickup Fee'!G10</f>
        <v>15.5</v>
      </c>
      <c r="V593" s="358">
        <f>'Pickup Fee'!H10</f>
        <v>0</v>
      </c>
      <c r="W593" s="358">
        <f>'Pickup Fee'!I10</f>
        <v>0</v>
      </c>
      <c r="X593" s="358">
        <f>'Pickup Fee'!J10</f>
        <v>0</v>
      </c>
      <c r="Y593" s="358">
        <f>'Pickup Fee'!K10</f>
        <v>0</v>
      </c>
    </row>
    <row r="594" spans="1:25" x14ac:dyDescent="0.35">
      <c r="A594">
        <v>593</v>
      </c>
      <c r="B594" t="s">
        <v>1350</v>
      </c>
      <c r="C594" t="s">
        <v>946</v>
      </c>
      <c r="D594" t="s">
        <v>1788</v>
      </c>
      <c r="E594" t="s">
        <v>1811</v>
      </c>
      <c r="F594" t="s">
        <v>1760</v>
      </c>
      <c r="G594" t="s">
        <v>1760</v>
      </c>
      <c r="H594" s="358">
        <f>'Pickup Fee'!$B$10</f>
        <v>15.5</v>
      </c>
      <c r="I594" s="358">
        <v>0</v>
      </c>
      <c r="J594" s="358">
        <v>0</v>
      </c>
      <c r="K594" s="358">
        <v>0</v>
      </c>
      <c r="L594" s="358">
        <f>'Pickup Fee'!$B$10</f>
        <v>15.5</v>
      </c>
      <c r="M594" s="358">
        <v>0</v>
      </c>
      <c r="N594" s="361">
        <f>'Pickup Fee'!L10</f>
        <v>0</v>
      </c>
      <c r="O594" s="361">
        <f>'Pickup Fee'!M10</f>
        <v>0</v>
      </c>
      <c r="P594" s="358">
        <f>'Pickup Fee'!N10</f>
        <v>15.5</v>
      </c>
      <c r="R594" s="358">
        <f>'Pickup Fee'!O10</f>
        <v>0</v>
      </c>
      <c r="S594" s="361"/>
      <c r="T594" s="358">
        <f>'Pickup Fee'!P10</f>
        <v>15.5</v>
      </c>
      <c r="V594" s="358">
        <f>'Pickup Fee'!Q10</f>
        <v>0</v>
      </c>
      <c r="W594" s="358">
        <f>'Pickup Fee'!R10</f>
        <v>0</v>
      </c>
      <c r="X594" s="358">
        <f>'Pickup Fee'!S10</f>
        <v>0</v>
      </c>
      <c r="Y594" s="358">
        <f>'Pickup Fee'!T10</f>
        <v>0</v>
      </c>
    </row>
    <row r="595" spans="1:25" x14ac:dyDescent="0.35">
      <c r="A595">
        <v>594</v>
      </c>
      <c r="B595" t="s">
        <v>1351</v>
      </c>
      <c r="C595" t="s">
        <v>946</v>
      </c>
      <c r="D595" t="s">
        <v>1788</v>
      </c>
      <c r="E595" t="s">
        <v>1811</v>
      </c>
      <c r="F595" t="s">
        <v>1760</v>
      </c>
      <c r="G595" t="s">
        <v>1760</v>
      </c>
      <c r="H595" s="358">
        <f>'Pickup Fee'!$B$10</f>
        <v>15.5</v>
      </c>
      <c r="I595" s="358">
        <v>0</v>
      </c>
      <c r="J595" s="358">
        <v>0</v>
      </c>
      <c r="K595" s="358">
        <v>0</v>
      </c>
      <c r="L595" s="358">
        <f>'Pickup Fee'!$B$10</f>
        <v>15.5</v>
      </c>
      <c r="M595" s="358">
        <v>0</v>
      </c>
      <c r="N595" s="361">
        <f>'Pickup Fee'!U10</f>
        <v>0</v>
      </c>
      <c r="O595" s="361">
        <f>'Pickup Fee'!V10</f>
        <v>0</v>
      </c>
      <c r="P595" s="358">
        <f>'Pickup Fee'!W10</f>
        <v>15.5</v>
      </c>
      <c r="R595" s="358">
        <f>'Pickup Fee'!X10</f>
        <v>0</v>
      </c>
      <c r="S595" s="361"/>
      <c r="T595" s="358">
        <f>'Pickup Fee'!Y10</f>
        <v>15.5</v>
      </c>
      <c r="V595" s="358">
        <f>'Pickup Fee'!Z10</f>
        <v>0</v>
      </c>
      <c r="W595" s="358">
        <f>'Pickup Fee'!AA10</f>
        <v>0</v>
      </c>
      <c r="X595" s="358">
        <f>'Pickup Fee'!AB10</f>
        <v>0</v>
      </c>
      <c r="Y595" s="358">
        <f>'Pickup Fee'!AC10</f>
        <v>0</v>
      </c>
    </row>
    <row r="596" spans="1:25" x14ac:dyDescent="0.35">
      <c r="A596">
        <v>595</v>
      </c>
      <c r="B596" t="s">
        <v>1341</v>
      </c>
      <c r="C596" t="s">
        <v>946</v>
      </c>
      <c r="D596" t="s">
        <v>1788</v>
      </c>
      <c r="E596" t="s">
        <v>1811</v>
      </c>
      <c r="F596" t="s">
        <v>1761</v>
      </c>
      <c r="G596" t="s">
        <v>1761</v>
      </c>
      <c r="H596" s="358">
        <f>'Pickup Fee'!$B$11</f>
        <v>10.5</v>
      </c>
      <c r="I596" s="358">
        <v>0</v>
      </c>
      <c r="J596" s="358">
        <v>0</v>
      </c>
      <c r="K596" s="358">
        <v>0</v>
      </c>
      <c r="L596" s="358">
        <f>'Pickup Fee'!$B$11</f>
        <v>10.5</v>
      </c>
      <c r="M596" s="358">
        <v>0</v>
      </c>
      <c r="N596" s="361">
        <f>'Pickup Fee'!C11</f>
        <v>0</v>
      </c>
      <c r="O596" s="361">
        <f>'Pickup Fee'!D11</f>
        <v>0</v>
      </c>
      <c r="P596" s="358">
        <f>'Pickup Fee'!E11</f>
        <v>10.5</v>
      </c>
      <c r="R596" s="358">
        <f>'Pickup Fee'!F11</f>
        <v>0</v>
      </c>
      <c r="S596" s="361"/>
      <c r="T596" s="358">
        <f>'Pickup Fee'!G11</f>
        <v>10.5</v>
      </c>
      <c r="V596" s="358">
        <f>'Pickup Fee'!H11</f>
        <v>0</v>
      </c>
      <c r="W596" s="358">
        <f>'Pickup Fee'!I11</f>
        <v>0</v>
      </c>
      <c r="X596" s="358">
        <f>'Pickup Fee'!J11</f>
        <v>0</v>
      </c>
      <c r="Y596" s="358">
        <f>'Pickup Fee'!K11</f>
        <v>0</v>
      </c>
    </row>
    <row r="597" spans="1:25" x14ac:dyDescent="0.35">
      <c r="A597">
        <v>596</v>
      </c>
      <c r="B597" t="s">
        <v>1350</v>
      </c>
      <c r="C597" t="s">
        <v>946</v>
      </c>
      <c r="D597" t="s">
        <v>1788</v>
      </c>
      <c r="E597" t="s">
        <v>1811</v>
      </c>
      <c r="F597" t="s">
        <v>1761</v>
      </c>
      <c r="G597" t="s">
        <v>1761</v>
      </c>
      <c r="H597" s="358">
        <f>'Pickup Fee'!$B$11</f>
        <v>10.5</v>
      </c>
      <c r="I597" s="358">
        <v>0</v>
      </c>
      <c r="J597" s="358">
        <v>0</v>
      </c>
      <c r="K597" s="358">
        <v>0</v>
      </c>
      <c r="L597" s="358">
        <f>'Pickup Fee'!$B$11</f>
        <v>10.5</v>
      </c>
      <c r="M597" s="358">
        <v>0</v>
      </c>
      <c r="N597" s="361">
        <f>'Pickup Fee'!L11</f>
        <v>0</v>
      </c>
      <c r="O597" s="361">
        <f>'Pickup Fee'!M11</f>
        <v>0</v>
      </c>
      <c r="P597" s="358">
        <f>'Pickup Fee'!N11</f>
        <v>10.5</v>
      </c>
      <c r="R597" s="358">
        <f>'Pickup Fee'!O11</f>
        <v>0</v>
      </c>
      <c r="S597" s="361"/>
      <c r="T597" s="358">
        <f>'Pickup Fee'!P11</f>
        <v>10.5</v>
      </c>
      <c r="V597" s="358">
        <f>'Pickup Fee'!Q11</f>
        <v>0</v>
      </c>
      <c r="W597" s="358">
        <f>'Pickup Fee'!R11</f>
        <v>0</v>
      </c>
      <c r="X597" s="358">
        <f>'Pickup Fee'!S11</f>
        <v>0</v>
      </c>
      <c r="Y597" s="358">
        <f>'Pickup Fee'!T11</f>
        <v>0</v>
      </c>
    </row>
    <row r="598" spans="1:25" x14ac:dyDescent="0.35">
      <c r="A598">
        <v>597</v>
      </c>
      <c r="B598" t="s">
        <v>1351</v>
      </c>
      <c r="C598" t="s">
        <v>946</v>
      </c>
      <c r="D598" t="s">
        <v>1788</v>
      </c>
      <c r="E598" t="s">
        <v>1811</v>
      </c>
      <c r="F598" t="s">
        <v>1761</v>
      </c>
      <c r="G598" t="s">
        <v>1761</v>
      </c>
      <c r="H598" s="358">
        <f>'Pickup Fee'!$B$11</f>
        <v>10.5</v>
      </c>
      <c r="I598" s="358">
        <v>0</v>
      </c>
      <c r="J598" s="358">
        <v>0</v>
      </c>
      <c r="K598" s="358">
        <v>0</v>
      </c>
      <c r="L598" s="358">
        <f>'Pickup Fee'!$B$11</f>
        <v>10.5</v>
      </c>
      <c r="M598" s="358">
        <v>0</v>
      </c>
      <c r="N598" s="361">
        <f>'Pickup Fee'!U11</f>
        <v>0</v>
      </c>
      <c r="O598" s="361">
        <f>'Pickup Fee'!V11</f>
        <v>0</v>
      </c>
      <c r="P598" s="358">
        <f>'Pickup Fee'!W11</f>
        <v>10.5</v>
      </c>
      <c r="R598" s="358">
        <f>'Pickup Fee'!X11</f>
        <v>0</v>
      </c>
      <c r="S598" s="361"/>
      <c r="T598" s="358">
        <f>'Pickup Fee'!Y11</f>
        <v>10.5</v>
      </c>
      <c r="V598" s="358">
        <f>'Pickup Fee'!Z11</f>
        <v>0</v>
      </c>
      <c r="W598" s="358">
        <f>'Pickup Fee'!AA11</f>
        <v>0</v>
      </c>
      <c r="X598" s="358">
        <f>'Pickup Fee'!AB11</f>
        <v>0</v>
      </c>
      <c r="Y598" s="358">
        <f>'Pickup Fee'!AC11</f>
        <v>0</v>
      </c>
    </row>
    <row r="599" spans="1:25" x14ac:dyDescent="0.35">
      <c r="A599">
        <v>598</v>
      </c>
      <c r="B599" t="s">
        <v>1341</v>
      </c>
      <c r="C599" t="s">
        <v>946</v>
      </c>
      <c r="D599" t="s">
        <v>1788</v>
      </c>
      <c r="E599" t="s">
        <v>1811</v>
      </c>
      <c r="F599" t="s">
        <v>1762</v>
      </c>
      <c r="G599" t="s">
        <v>1762</v>
      </c>
      <c r="H599" s="358">
        <f>'Pickup Fee'!$B$12</f>
        <v>17</v>
      </c>
      <c r="I599" s="358">
        <v>0</v>
      </c>
      <c r="J599" s="358">
        <v>0</v>
      </c>
      <c r="K599" s="358">
        <v>0</v>
      </c>
      <c r="L599" s="358">
        <f>'Pickup Fee'!$B$12</f>
        <v>17</v>
      </c>
      <c r="M599" s="358">
        <v>0</v>
      </c>
      <c r="N599" s="361">
        <f>'Pickup Fee'!C12</f>
        <v>0</v>
      </c>
      <c r="O599" s="361">
        <f>'Pickup Fee'!D12</f>
        <v>0</v>
      </c>
      <c r="P599" s="358">
        <f>'Pickup Fee'!E12</f>
        <v>17</v>
      </c>
      <c r="R599" s="358">
        <f>'Pickup Fee'!F12</f>
        <v>0</v>
      </c>
      <c r="S599" s="361"/>
      <c r="T599" s="358">
        <f>'Pickup Fee'!G12</f>
        <v>17</v>
      </c>
      <c r="V599" s="358">
        <f>'Pickup Fee'!H12</f>
        <v>0</v>
      </c>
      <c r="W599" s="358">
        <f>'Pickup Fee'!I12</f>
        <v>0</v>
      </c>
      <c r="X599" s="358">
        <f>'Pickup Fee'!J12</f>
        <v>0</v>
      </c>
      <c r="Y599" s="358">
        <f>'Pickup Fee'!K12</f>
        <v>0</v>
      </c>
    </row>
    <row r="600" spans="1:25" x14ac:dyDescent="0.35">
      <c r="A600">
        <v>599</v>
      </c>
      <c r="B600" t="s">
        <v>1350</v>
      </c>
      <c r="C600" t="s">
        <v>946</v>
      </c>
      <c r="D600" t="s">
        <v>1788</v>
      </c>
      <c r="E600" t="s">
        <v>1811</v>
      </c>
      <c r="F600" t="s">
        <v>1762</v>
      </c>
      <c r="G600" t="s">
        <v>1762</v>
      </c>
      <c r="H600" s="358">
        <f>'Pickup Fee'!$B$12</f>
        <v>17</v>
      </c>
      <c r="I600" s="358">
        <v>0</v>
      </c>
      <c r="J600" s="358">
        <v>0</v>
      </c>
      <c r="K600" s="358">
        <v>0</v>
      </c>
      <c r="L600" s="358">
        <f>'Pickup Fee'!$B$12</f>
        <v>17</v>
      </c>
      <c r="M600" s="358">
        <v>0</v>
      </c>
      <c r="N600" s="361">
        <f>'Pickup Fee'!L12</f>
        <v>0</v>
      </c>
      <c r="O600" s="361">
        <f>'Pickup Fee'!M12</f>
        <v>0</v>
      </c>
      <c r="P600" s="358">
        <f>'Pickup Fee'!N12</f>
        <v>17</v>
      </c>
      <c r="R600" s="358">
        <f>'Pickup Fee'!O12</f>
        <v>0</v>
      </c>
      <c r="S600" s="361"/>
      <c r="T600" s="358">
        <f>'Pickup Fee'!P12</f>
        <v>17</v>
      </c>
      <c r="V600" s="358">
        <f>'Pickup Fee'!Q12</f>
        <v>0</v>
      </c>
      <c r="W600" s="358">
        <f>'Pickup Fee'!R12</f>
        <v>0</v>
      </c>
      <c r="X600" s="358">
        <f>'Pickup Fee'!S12</f>
        <v>0</v>
      </c>
      <c r="Y600" s="358">
        <f>'Pickup Fee'!T12</f>
        <v>0</v>
      </c>
    </row>
    <row r="601" spans="1:25" x14ac:dyDescent="0.35">
      <c r="A601">
        <v>600</v>
      </c>
      <c r="B601" t="s">
        <v>1351</v>
      </c>
      <c r="C601" t="s">
        <v>946</v>
      </c>
      <c r="D601" t="s">
        <v>1788</v>
      </c>
      <c r="E601" t="s">
        <v>1811</v>
      </c>
      <c r="F601" t="s">
        <v>1762</v>
      </c>
      <c r="G601" t="s">
        <v>1762</v>
      </c>
      <c r="H601" s="358">
        <f>'Pickup Fee'!$B$12</f>
        <v>17</v>
      </c>
      <c r="I601" s="358">
        <v>0</v>
      </c>
      <c r="J601" s="358">
        <v>0</v>
      </c>
      <c r="K601" s="358">
        <v>0</v>
      </c>
      <c r="L601" s="358">
        <f>'Pickup Fee'!$B$12</f>
        <v>17</v>
      </c>
      <c r="M601" s="358">
        <v>0</v>
      </c>
      <c r="N601" s="361">
        <f>'Pickup Fee'!U12</f>
        <v>0</v>
      </c>
      <c r="O601" s="361">
        <f>'Pickup Fee'!V12</f>
        <v>0</v>
      </c>
      <c r="P601" s="358">
        <f>'Pickup Fee'!W12</f>
        <v>17</v>
      </c>
      <c r="R601" s="358">
        <f>'Pickup Fee'!X12</f>
        <v>0</v>
      </c>
      <c r="S601" s="361"/>
      <c r="T601" s="358">
        <f>'Pickup Fee'!Y12</f>
        <v>17</v>
      </c>
      <c r="V601" s="358">
        <f>'Pickup Fee'!Z12</f>
        <v>0</v>
      </c>
      <c r="W601" s="358">
        <f>'Pickup Fee'!AA12</f>
        <v>0</v>
      </c>
      <c r="X601" s="358">
        <f>'Pickup Fee'!AB12</f>
        <v>0</v>
      </c>
      <c r="Y601" s="358">
        <f>'Pickup Fee'!AC12</f>
        <v>0</v>
      </c>
    </row>
    <row r="602" spans="1:25" x14ac:dyDescent="0.35">
      <c r="A602">
        <v>601</v>
      </c>
      <c r="B602" t="s">
        <v>1341</v>
      </c>
      <c r="C602" t="s">
        <v>946</v>
      </c>
      <c r="D602" t="s">
        <v>1788</v>
      </c>
      <c r="E602" t="s">
        <v>1811</v>
      </c>
      <c r="F602" t="s">
        <v>1763</v>
      </c>
      <c r="G602" t="s">
        <v>1763</v>
      </c>
      <c r="H602" s="358">
        <f>'Pickup Fee'!$B$13</f>
        <v>17</v>
      </c>
      <c r="I602" s="358">
        <v>0</v>
      </c>
      <c r="J602" s="358">
        <v>0</v>
      </c>
      <c r="K602" s="358">
        <v>0</v>
      </c>
      <c r="L602" s="358">
        <f>'Pickup Fee'!$B$13</f>
        <v>17</v>
      </c>
      <c r="M602" s="358">
        <v>0</v>
      </c>
      <c r="N602" s="361">
        <f>'Pickup Fee'!C13</f>
        <v>0</v>
      </c>
      <c r="O602" s="361">
        <f>'Pickup Fee'!D13</f>
        <v>0</v>
      </c>
      <c r="P602" s="358">
        <f>'Pickup Fee'!E13</f>
        <v>17</v>
      </c>
      <c r="R602" s="358">
        <f>'Pickup Fee'!F13</f>
        <v>0</v>
      </c>
      <c r="S602" s="361"/>
      <c r="T602" s="358">
        <f>'Pickup Fee'!G13</f>
        <v>17</v>
      </c>
      <c r="V602" s="358">
        <f>'Pickup Fee'!H19</f>
        <v>0</v>
      </c>
      <c r="W602" s="358">
        <f>'Pickup Fee'!I19</f>
        <v>0</v>
      </c>
      <c r="X602" s="358">
        <f>'Pickup Fee'!J19</f>
        <v>0</v>
      </c>
      <c r="Y602" s="358">
        <f>'Pickup Fee'!K19</f>
        <v>0</v>
      </c>
    </row>
    <row r="603" spans="1:25" x14ac:dyDescent="0.35">
      <c r="A603">
        <v>602</v>
      </c>
      <c r="B603" t="s">
        <v>1350</v>
      </c>
      <c r="C603" t="s">
        <v>946</v>
      </c>
      <c r="D603" t="s">
        <v>1788</v>
      </c>
      <c r="E603" t="s">
        <v>1811</v>
      </c>
      <c r="F603" t="s">
        <v>1763</v>
      </c>
      <c r="G603" t="s">
        <v>1763</v>
      </c>
      <c r="H603" s="358">
        <f>'Pickup Fee'!$B$13</f>
        <v>17</v>
      </c>
      <c r="I603" s="358">
        <v>0</v>
      </c>
      <c r="J603" s="358">
        <v>0</v>
      </c>
      <c r="K603" s="358">
        <v>0</v>
      </c>
      <c r="L603" s="358">
        <f>'Pickup Fee'!$B$13</f>
        <v>17</v>
      </c>
      <c r="M603" s="358">
        <v>0</v>
      </c>
      <c r="N603" s="361">
        <f>'Pickup Fee'!L13</f>
        <v>0</v>
      </c>
      <c r="O603" s="361">
        <f>'Pickup Fee'!M13</f>
        <v>0</v>
      </c>
      <c r="P603" s="358">
        <f>'Pickup Fee'!N13</f>
        <v>17</v>
      </c>
      <c r="R603" s="358">
        <f>'Pickup Fee'!O13</f>
        <v>0</v>
      </c>
      <c r="S603" s="361"/>
      <c r="T603" s="358">
        <f>'Pickup Fee'!P13</f>
        <v>17</v>
      </c>
      <c r="V603" s="358">
        <f>'Pickup Fee'!Q19</f>
        <v>0</v>
      </c>
      <c r="W603" s="358">
        <f>'Pickup Fee'!R19</f>
        <v>0</v>
      </c>
      <c r="X603" s="358">
        <f>'Pickup Fee'!S19</f>
        <v>0</v>
      </c>
      <c r="Y603" s="358">
        <f>'Pickup Fee'!T19</f>
        <v>0</v>
      </c>
    </row>
    <row r="604" spans="1:25" x14ac:dyDescent="0.35">
      <c r="A604">
        <v>603</v>
      </c>
      <c r="B604" t="s">
        <v>1351</v>
      </c>
      <c r="C604" t="s">
        <v>946</v>
      </c>
      <c r="D604" t="s">
        <v>1788</v>
      </c>
      <c r="E604" t="s">
        <v>1811</v>
      </c>
      <c r="F604" t="s">
        <v>1763</v>
      </c>
      <c r="G604" t="s">
        <v>1763</v>
      </c>
      <c r="H604" s="358">
        <f>'Pickup Fee'!$B$13</f>
        <v>17</v>
      </c>
      <c r="I604" s="358">
        <v>0</v>
      </c>
      <c r="J604" s="358">
        <v>0</v>
      </c>
      <c r="K604" s="358">
        <v>0</v>
      </c>
      <c r="L604" s="358">
        <f>'Pickup Fee'!$B$13</f>
        <v>17</v>
      </c>
      <c r="M604" s="358">
        <v>0</v>
      </c>
      <c r="N604" s="361">
        <f>'Pickup Fee'!U13</f>
        <v>0</v>
      </c>
      <c r="O604" s="361">
        <f>'Pickup Fee'!V13</f>
        <v>0</v>
      </c>
      <c r="P604" s="358">
        <f>'Pickup Fee'!W13</f>
        <v>17</v>
      </c>
      <c r="R604" s="358">
        <f>'Pickup Fee'!X13</f>
        <v>0</v>
      </c>
      <c r="S604" s="361"/>
      <c r="T604" s="358">
        <f>'Pickup Fee'!Y13</f>
        <v>17</v>
      </c>
      <c r="V604" s="358">
        <f>'Pickup Fee'!Z19</f>
        <v>0</v>
      </c>
      <c r="W604" s="358">
        <f>'Pickup Fee'!AA19</f>
        <v>0</v>
      </c>
      <c r="X604" s="358">
        <f>'Pickup Fee'!AB19</f>
        <v>0</v>
      </c>
      <c r="Y604" s="358">
        <f>'Pickup Fee'!AC19</f>
        <v>0</v>
      </c>
    </row>
    <row r="605" spans="1:25" x14ac:dyDescent="0.35">
      <c r="A605">
        <v>604</v>
      </c>
      <c r="B605" t="s">
        <v>1341</v>
      </c>
      <c r="C605" t="s">
        <v>946</v>
      </c>
      <c r="D605" t="s">
        <v>1788</v>
      </c>
      <c r="E605" t="s">
        <v>1811</v>
      </c>
      <c r="F605" t="s">
        <v>1765</v>
      </c>
      <c r="G605" t="s">
        <v>1765</v>
      </c>
      <c r="H605" s="358">
        <f>'Pickup Fee'!$B$15</f>
        <v>14.75</v>
      </c>
      <c r="I605" s="358">
        <v>0</v>
      </c>
      <c r="J605" s="358">
        <v>0</v>
      </c>
      <c r="K605" s="358">
        <v>0</v>
      </c>
      <c r="L605" s="358">
        <f>'Pickup Fee'!$B$15</f>
        <v>14.75</v>
      </c>
      <c r="M605" s="358">
        <v>0</v>
      </c>
      <c r="N605" s="361">
        <f>'Pickup Fee'!C15</f>
        <v>0</v>
      </c>
      <c r="O605" s="361">
        <f>'Pickup Fee'!D15</f>
        <v>0</v>
      </c>
      <c r="P605" s="358">
        <f>'Pickup Fee'!E15</f>
        <v>14.75</v>
      </c>
      <c r="R605" s="358">
        <f>'Pickup Fee'!F15</f>
        <v>0</v>
      </c>
      <c r="S605" s="361"/>
      <c r="T605" s="358">
        <f>'Pickup Fee'!G15</f>
        <v>14.75</v>
      </c>
      <c r="V605" s="358">
        <f>'Pickup Fee'!H15</f>
        <v>0</v>
      </c>
      <c r="W605" s="358">
        <f>'Pickup Fee'!I15</f>
        <v>0</v>
      </c>
      <c r="X605" s="358">
        <f>'Pickup Fee'!J15</f>
        <v>0</v>
      </c>
      <c r="Y605" s="358">
        <f>'Pickup Fee'!K15</f>
        <v>0</v>
      </c>
    </row>
    <row r="606" spans="1:25" x14ac:dyDescent="0.35">
      <c r="A606">
        <v>605</v>
      </c>
      <c r="B606" t="s">
        <v>1350</v>
      </c>
      <c r="C606" t="s">
        <v>946</v>
      </c>
      <c r="D606" t="s">
        <v>1788</v>
      </c>
      <c r="E606" t="s">
        <v>1811</v>
      </c>
      <c r="F606" t="s">
        <v>1765</v>
      </c>
      <c r="G606" t="s">
        <v>1765</v>
      </c>
      <c r="H606" s="358">
        <f>'Pickup Fee'!$B$15</f>
        <v>14.75</v>
      </c>
      <c r="I606" s="358">
        <v>0</v>
      </c>
      <c r="J606" s="358">
        <v>0</v>
      </c>
      <c r="K606" s="358">
        <v>0</v>
      </c>
      <c r="L606" s="358">
        <f>'Pickup Fee'!$B$15</f>
        <v>14.75</v>
      </c>
      <c r="M606" s="358">
        <v>0</v>
      </c>
      <c r="N606" s="361">
        <f>'Pickup Fee'!L15</f>
        <v>0</v>
      </c>
      <c r="O606" s="361">
        <f>'Pickup Fee'!M15</f>
        <v>0</v>
      </c>
      <c r="P606" s="358">
        <f>'Pickup Fee'!N15</f>
        <v>14.75</v>
      </c>
      <c r="R606" s="358">
        <f>'Pickup Fee'!O15</f>
        <v>0</v>
      </c>
      <c r="S606" s="361"/>
      <c r="T606" s="358">
        <f>'Pickup Fee'!P15</f>
        <v>14.75</v>
      </c>
      <c r="V606" s="358">
        <f>'Pickup Fee'!Q15</f>
        <v>0</v>
      </c>
      <c r="W606" s="358">
        <f>'Pickup Fee'!R15</f>
        <v>0</v>
      </c>
      <c r="X606" s="358">
        <f>'Pickup Fee'!S15</f>
        <v>0</v>
      </c>
      <c r="Y606" s="358">
        <f>'Pickup Fee'!T15</f>
        <v>0</v>
      </c>
    </row>
    <row r="607" spans="1:25" x14ac:dyDescent="0.35">
      <c r="A607">
        <v>606</v>
      </c>
      <c r="B607" t="s">
        <v>1351</v>
      </c>
      <c r="C607" t="s">
        <v>946</v>
      </c>
      <c r="D607" t="s">
        <v>1788</v>
      </c>
      <c r="E607" t="s">
        <v>1811</v>
      </c>
      <c r="F607" t="s">
        <v>1765</v>
      </c>
      <c r="G607" t="s">
        <v>1765</v>
      </c>
      <c r="H607" s="358">
        <f>'Pickup Fee'!$B$15</f>
        <v>14.75</v>
      </c>
      <c r="I607" s="358">
        <v>0</v>
      </c>
      <c r="J607" s="358">
        <v>0</v>
      </c>
      <c r="K607" s="358">
        <v>0</v>
      </c>
      <c r="L607" s="358">
        <f>'Pickup Fee'!$B$15</f>
        <v>14.75</v>
      </c>
      <c r="M607" s="358">
        <v>0</v>
      </c>
      <c r="N607" s="361">
        <f>'Pickup Fee'!U15</f>
        <v>0</v>
      </c>
      <c r="O607" s="361">
        <f>'Pickup Fee'!V15</f>
        <v>0</v>
      </c>
      <c r="P607" s="358">
        <f>'Pickup Fee'!W15</f>
        <v>14.75</v>
      </c>
      <c r="R607" s="358">
        <f>'Pickup Fee'!X15</f>
        <v>0</v>
      </c>
      <c r="S607" s="361"/>
      <c r="T607" s="358">
        <f>'Pickup Fee'!Y15</f>
        <v>14.75</v>
      </c>
      <c r="V607" s="358">
        <f>'Pickup Fee'!Z15</f>
        <v>0</v>
      </c>
      <c r="W607" s="358">
        <f>'Pickup Fee'!AA15</f>
        <v>0</v>
      </c>
      <c r="X607" s="358">
        <f>'Pickup Fee'!AB15</f>
        <v>0</v>
      </c>
      <c r="Y607" s="358">
        <f>'Pickup Fee'!AC15</f>
        <v>0</v>
      </c>
    </row>
    <row r="608" spans="1:25" x14ac:dyDescent="0.35">
      <c r="A608">
        <v>607</v>
      </c>
      <c r="B608" t="s">
        <v>1341</v>
      </c>
      <c r="C608" t="s">
        <v>946</v>
      </c>
      <c r="D608" t="s">
        <v>1788</v>
      </c>
      <c r="E608" t="s">
        <v>1811</v>
      </c>
      <c r="F608" t="s">
        <v>1766</v>
      </c>
      <c r="G608" t="s">
        <v>1766</v>
      </c>
      <c r="H608" s="358">
        <f>'Pickup Fee'!$B$16</f>
        <v>21.25</v>
      </c>
      <c r="I608" s="358">
        <v>0</v>
      </c>
      <c r="J608" s="358">
        <v>0</v>
      </c>
      <c r="K608" s="358">
        <v>0</v>
      </c>
      <c r="L608" s="358">
        <f>'Pickup Fee'!$B$16</f>
        <v>21.25</v>
      </c>
      <c r="M608" s="358">
        <v>0</v>
      </c>
      <c r="N608" s="361">
        <f>'Pickup Fee'!C16</f>
        <v>0</v>
      </c>
      <c r="O608" s="361">
        <f>'Pickup Fee'!D16</f>
        <v>0</v>
      </c>
      <c r="P608" s="358">
        <f>'Pickup Fee'!E16</f>
        <v>21.25</v>
      </c>
      <c r="R608" s="358">
        <f>'Pickup Fee'!F16</f>
        <v>0</v>
      </c>
      <c r="S608" s="361"/>
      <c r="T608" s="358">
        <f>'Pickup Fee'!G16</f>
        <v>21.25</v>
      </c>
      <c r="V608" s="358">
        <f>'Pickup Fee'!H16</f>
        <v>0</v>
      </c>
      <c r="W608" s="358">
        <f>'Pickup Fee'!I16</f>
        <v>0</v>
      </c>
      <c r="X608" s="358">
        <f>'Pickup Fee'!J16</f>
        <v>0</v>
      </c>
      <c r="Y608" s="358">
        <f>'Pickup Fee'!K16</f>
        <v>0</v>
      </c>
    </row>
    <row r="609" spans="1:25" x14ac:dyDescent="0.35">
      <c r="A609">
        <v>608</v>
      </c>
      <c r="B609" t="s">
        <v>1350</v>
      </c>
      <c r="C609" t="s">
        <v>946</v>
      </c>
      <c r="D609" t="s">
        <v>1788</v>
      </c>
      <c r="E609" t="s">
        <v>1811</v>
      </c>
      <c r="F609" t="s">
        <v>1766</v>
      </c>
      <c r="G609" t="s">
        <v>1766</v>
      </c>
      <c r="H609" s="358">
        <f>'Pickup Fee'!$B$16</f>
        <v>21.25</v>
      </c>
      <c r="I609" s="358">
        <v>0</v>
      </c>
      <c r="J609" s="358">
        <v>0</v>
      </c>
      <c r="K609" s="358">
        <v>0</v>
      </c>
      <c r="L609" s="358">
        <f>'Pickup Fee'!$B$16</f>
        <v>21.25</v>
      </c>
      <c r="M609" s="358">
        <v>0</v>
      </c>
      <c r="N609" s="361">
        <f>'Pickup Fee'!L16</f>
        <v>0</v>
      </c>
      <c r="O609" s="361">
        <f>'Pickup Fee'!M16</f>
        <v>0</v>
      </c>
      <c r="P609" s="358">
        <f>'Pickup Fee'!N16</f>
        <v>21.25</v>
      </c>
      <c r="R609" s="358">
        <f>'Pickup Fee'!O16</f>
        <v>0</v>
      </c>
      <c r="S609" s="361"/>
      <c r="T609" s="358">
        <f>'Pickup Fee'!P16</f>
        <v>21.25</v>
      </c>
      <c r="V609" s="358">
        <f>'Pickup Fee'!Q16</f>
        <v>0</v>
      </c>
      <c r="W609" s="358">
        <f>'Pickup Fee'!R16</f>
        <v>0</v>
      </c>
      <c r="X609" s="358">
        <f>'Pickup Fee'!S16</f>
        <v>0</v>
      </c>
      <c r="Y609" s="358">
        <f>'Pickup Fee'!T16</f>
        <v>0</v>
      </c>
    </row>
    <row r="610" spans="1:25" x14ac:dyDescent="0.35">
      <c r="A610">
        <v>609</v>
      </c>
      <c r="B610" t="s">
        <v>1351</v>
      </c>
      <c r="C610" t="s">
        <v>946</v>
      </c>
      <c r="D610" t="s">
        <v>1788</v>
      </c>
      <c r="E610" t="s">
        <v>1811</v>
      </c>
      <c r="F610" t="s">
        <v>1766</v>
      </c>
      <c r="G610" t="s">
        <v>1766</v>
      </c>
      <c r="H610" s="358">
        <f>'Pickup Fee'!$B$16</f>
        <v>21.25</v>
      </c>
      <c r="I610" s="358">
        <v>0</v>
      </c>
      <c r="J610" s="358">
        <v>0</v>
      </c>
      <c r="K610" s="358">
        <v>0</v>
      </c>
      <c r="L610" s="358">
        <f>'Pickup Fee'!$B$16</f>
        <v>21.25</v>
      </c>
      <c r="M610" s="358">
        <v>0</v>
      </c>
      <c r="N610" s="361">
        <f>'Pickup Fee'!U16</f>
        <v>0</v>
      </c>
      <c r="O610" s="361">
        <f>'Pickup Fee'!V16</f>
        <v>0</v>
      </c>
      <c r="P610" s="358">
        <f>'Pickup Fee'!W16</f>
        <v>21.25</v>
      </c>
      <c r="R610" s="358">
        <f>'Pickup Fee'!X16</f>
        <v>0</v>
      </c>
      <c r="S610" s="361"/>
      <c r="T610" s="358">
        <f>'Pickup Fee'!Y16</f>
        <v>21.25</v>
      </c>
      <c r="V610" s="358">
        <f>'Pickup Fee'!Z16</f>
        <v>0</v>
      </c>
      <c r="W610" s="358">
        <f>'Pickup Fee'!AA16</f>
        <v>0</v>
      </c>
      <c r="X610" s="358">
        <f>'Pickup Fee'!AB16</f>
        <v>0</v>
      </c>
      <c r="Y610" s="358">
        <f>'Pickup Fee'!AC16</f>
        <v>0</v>
      </c>
    </row>
    <row r="611" spans="1:25" x14ac:dyDescent="0.35">
      <c r="A611">
        <v>610</v>
      </c>
      <c r="B611" t="s">
        <v>1341</v>
      </c>
      <c r="C611" t="s">
        <v>946</v>
      </c>
      <c r="D611" t="s">
        <v>1788</v>
      </c>
      <c r="E611" t="s">
        <v>1811</v>
      </c>
      <c r="F611" t="s">
        <v>1767</v>
      </c>
      <c r="G611" t="s">
        <v>1767</v>
      </c>
      <c r="H611" s="358">
        <f>'Pickup Fee'!$B$17</f>
        <v>21.25</v>
      </c>
      <c r="I611" s="358">
        <v>0</v>
      </c>
      <c r="J611" s="358">
        <v>0</v>
      </c>
      <c r="K611" s="358">
        <v>0</v>
      </c>
      <c r="L611" s="358">
        <f>'Pickup Fee'!$B$17</f>
        <v>21.25</v>
      </c>
      <c r="M611" s="358">
        <v>0</v>
      </c>
      <c r="N611" s="361">
        <f>'Pickup Fee'!C17</f>
        <v>0</v>
      </c>
      <c r="O611" s="361">
        <f>'Pickup Fee'!D17</f>
        <v>0</v>
      </c>
      <c r="P611" s="358">
        <f>'Pickup Fee'!E17</f>
        <v>21.25</v>
      </c>
      <c r="R611" s="358">
        <f>'Pickup Fee'!F17</f>
        <v>0</v>
      </c>
      <c r="S611" s="361"/>
      <c r="T611" s="358">
        <f>'Pickup Fee'!G17</f>
        <v>21.25</v>
      </c>
      <c r="V611" s="358">
        <f>'Pickup Fee'!H17</f>
        <v>0</v>
      </c>
      <c r="W611" s="358">
        <f>'Pickup Fee'!I17</f>
        <v>0</v>
      </c>
      <c r="X611" s="358">
        <f>'Pickup Fee'!J17</f>
        <v>0</v>
      </c>
      <c r="Y611" s="358">
        <f>'Pickup Fee'!K17</f>
        <v>0</v>
      </c>
    </row>
    <row r="612" spans="1:25" x14ac:dyDescent="0.35">
      <c r="A612">
        <v>611</v>
      </c>
      <c r="B612" t="s">
        <v>1350</v>
      </c>
      <c r="C612" t="s">
        <v>946</v>
      </c>
      <c r="D612" t="s">
        <v>1788</v>
      </c>
      <c r="E612" t="s">
        <v>1811</v>
      </c>
      <c r="F612" t="s">
        <v>1767</v>
      </c>
      <c r="G612" t="s">
        <v>1767</v>
      </c>
      <c r="H612" s="358">
        <f>'Pickup Fee'!$B$17</f>
        <v>21.25</v>
      </c>
      <c r="I612" s="358">
        <v>0</v>
      </c>
      <c r="J612" s="358">
        <v>0</v>
      </c>
      <c r="K612" s="358">
        <v>0</v>
      </c>
      <c r="L612" s="358">
        <f>'Pickup Fee'!$B$17</f>
        <v>21.25</v>
      </c>
      <c r="M612" s="358">
        <v>0</v>
      </c>
      <c r="N612" s="361">
        <f>'Pickup Fee'!L17</f>
        <v>0</v>
      </c>
      <c r="O612" s="361">
        <f>'Pickup Fee'!M17</f>
        <v>0</v>
      </c>
      <c r="P612" s="358">
        <f>'Pickup Fee'!N17</f>
        <v>21.25</v>
      </c>
      <c r="R612" s="358">
        <f>'Pickup Fee'!O17</f>
        <v>0</v>
      </c>
      <c r="S612" s="361"/>
      <c r="T612" s="358">
        <f>'Pickup Fee'!P17</f>
        <v>21.25</v>
      </c>
      <c r="V612" s="358">
        <f>'Pickup Fee'!Q17</f>
        <v>0</v>
      </c>
      <c r="W612" s="358">
        <f>'Pickup Fee'!R17</f>
        <v>0</v>
      </c>
      <c r="X612" s="358">
        <f>'Pickup Fee'!S17</f>
        <v>0</v>
      </c>
      <c r="Y612" s="358">
        <f>'Pickup Fee'!T17</f>
        <v>0</v>
      </c>
    </row>
    <row r="613" spans="1:25" x14ac:dyDescent="0.35">
      <c r="A613">
        <v>612</v>
      </c>
      <c r="B613" t="s">
        <v>1351</v>
      </c>
      <c r="C613" t="s">
        <v>946</v>
      </c>
      <c r="D613" t="s">
        <v>1788</v>
      </c>
      <c r="E613" t="s">
        <v>1811</v>
      </c>
      <c r="F613" t="s">
        <v>1767</v>
      </c>
      <c r="G613" t="s">
        <v>1767</v>
      </c>
      <c r="H613" s="358">
        <f>'Pickup Fee'!$B$17</f>
        <v>21.25</v>
      </c>
      <c r="I613" s="358">
        <v>0</v>
      </c>
      <c r="J613" s="358">
        <v>0</v>
      </c>
      <c r="K613" s="358">
        <v>0</v>
      </c>
      <c r="L613" s="358">
        <f>'Pickup Fee'!$B$17</f>
        <v>21.25</v>
      </c>
      <c r="M613" s="358">
        <v>0</v>
      </c>
      <c r="N613" s="361">
        <f>'Pickup Fee'!U17</f>
        <v>0</v>
      </c>
      <c r="O613" s="361">
        <f>'Pickup Fee'!V17</f>
        <v>0</v>
      </c>
      <c r="P613" s="358">
        <f>'Pickup Fee'!W17</f>
        <v>21.25</v>
      </c>
      <c r="R613" s="358">
        <f>'Pickup Fee'!X17</f>
        <v>0</v>
      </c>
      <c r="S613" s="361"/>
      <c r="T613" s="358">
        <f>'Pickup Fee'!Y17</f>
        <v>21.25</v>
      </c>
      <c r="V613" s="358">
        <f>'Pickup Fee'!Z17</f>
        <v>0</v>
      </c>
      <c r="W613" s="358">
        <f>'Pickup Fee'!AA17</f>
        <v>0</v>
      </c>
      <c r="X613" s="358">
        <f>'Pickup Fee'!AB17</f>
        <v>0</v>
      </c>
      <c r="Y613" s="358">
        <f>'Pickup Fee'!AC17</f>
        <v>0</v>
      </c>
    </row>
    <row r="614" spans="1:25" x14ac:dyDescent="0.35">
      <c r="A614">
        <v>613</v>
      </c>
      <c r="B614" t="s">
        <v>1341</v>
      </c>
      <c r="C614" t="s">
        <v>946</v>
      </c>
      <c r="D614" t="s">
        <v>1788</v>
      </c>
      <c r="E614" t="s">
        <v>1811</v>
      </c>
      <c r="F614" t="s">
        <v>1768</v>
      </c>
      <c r="G614" t="s">
        <v>1768</v>
      </c>
      <c r="H614" s="358">
        <f>'Pickup Fee'!$B$18</f>
        <v>16.25</v>
      </c>
      <c r="I614" s="358">
        <v>0</v>
      </c>
      <c r="J614" s="358">
        <v>0</v>
      </c>
      <c r="K614" s="358">
        <v>0</v>
      </c>
      <c r="L614" s="358">
        <f>'Pickup Fee'!$B$18</f>
        <v>16.25</v>
      </c>
      <c r="M614" s="358">
        <v>0</v>
      </c>
      <c r="N614" s="361">
        <f>'Pickup Fee'!C18</f>
        <v>0</v>
      </c>
      <c r="O614" s="361">
        <f>'Pickup Fee'!D18</f>
        <v>0</v>
      </c>
      <c r="P614" s="358">
        <f>'Pickup Fee'!E18</f>
        <v>16.25</v>
      </c>
      <c r="R614" s="358">
        <f>'Pickup Fee'!F18</f>
        <v>0</v>
      </c>
      <c r="S614" s="361"/>
      <c r="T614" s="358">
        <f>'Pickup Fee'!G18</f>
        <v>16.25</v>
      </c>
      <c r="V614" s="358">
        <f>'Pickup Fee'!H18</f>
        <v>0</v>
      </c>
      <c r="W614" s="358">
        <f>'Pickup Fee'!I18</f>
        <v>0</v>
      </c>
      <c r="X614" s="358">
        <f>'Pickup Fee'!J18</f>
        <v>0</v>
      </c>
      <c r="Y614" s="358">
        <f>'Pickup Fee'!K18</f>
        <v>0</v>
      </c>
    </row>
    <row r="615" spans="1:25" x14ac:dyDescent="0.35">
      <c r="A615">
        <v>614</v>
      </c>
      <c r="B615" t="s">
        <v>1350</v>
      </c>
      <c r="C615" t="s">
        <v>946</v>
      </c>
      <c r="D615" t="s">
        <v>1788</v>
      </c>
      <c r="E615" t="s">
        <v>1811</v>
      </c>
      <c r="F615" t="s">
        <v>1768</v>
      </c>
      <c r="G615" t="s">
        <v>1768</v>
      </c>
      <c r="H615" s="358">
        <f>'Pickup Fee'!$B$18</f>
        <v>16.25</v>
      </c>
      <c r="I615" s="358">
        <v>0</v>
      </c>
      <c r="J615" s="358">
        <v>0</v>
      </c>
      <c r="K615" s="358">
        <v>0</v>
      </c>
      <c r="L615" s="358">
        <f>'Pickup Fee'!$B$18</f>
        <v>16.25</v>
      </c>
      <c r="M615" s="358">
        <v>0</v>
      </c>
      <c r="N615" s="361">
        <f>'Pickup Fee'!L18</f>
        <v>0</v>
      </c>
      <c r="O615" s="361">
        <f>'Pickup Fee'!M18</f>
        <v>0</v>
      </c>
      <c r="P615" s="358">
        <f>'Pickup Fee'!N18</f>
        <v>16.25</v>
      </c>
      <c r="R615" s="358">
        <f>'Pickup Fee'!O18</f>
        <v>0</v>
      </c>
      <c r="S615" s="361"/>
      <c r="T615" s="358">
        <f>'Pickup Fee'!P18</f>
        <v>16.25</v>
      </c>
      <c r="V615" s="358">
        <f>'Pickup Fee'!Q18</f>
        <v>0</v>
      </c>
      <c r="W615" s="358">
        <f>'Pickup Fee'!R18</f>
        <v>0</v>
      </c>
      <c r="X615" s="358">
        <f>'Pickup Fee'!S18</f>
        <v>0</v>
      </c>
      <c r="Y615" s="358">
        <f>'Pickup Fee'!T18</f>
        <v>0</v>
      </c>
    </row>
    <row r="616" spans="1:25" x14ac:dyDescent="0.35">
      <c r="A616">
        <v>615</v>
      </c>
      <c r="B616" t="s">
        <v>1351</v>
      </c>
      <c r="C616" t="s">
        <v>946</v>
      </c>
      <c r="D616" t="s">
        <v>1788</v>
      </c>
      <c r="E616" t="s">
        <v>1811</v>
      </c>
      <c r="F616" t="s">
        <v>1768</v>
      </c>
      <c r="G616" t="s">
        <v>1768</v>
      </c>
      <c r="H616" s="358">
        <f>'Pickup Fee'!$B$18</f>
        <v>16.25</v>
      </c>
      <c r="I616" s="358">
        <v>0</v>
      </c>
      <c r="J616" s="358">
        <v>0</v>
      </c>
      <c r="K616" s="358">
        <v>0</v>
      </c>
      <c r="L616" s="358">
        <f>'Pickup Fee'!$B$18</f>
        <v>16.25</v>
      </c>
      <c r="M616" s="358">
        <v>0</v>
      </c>
      <c r="N616" s="361">
        <f>'Pickup Fee'!U18</f>
        <v>0</v>
      </c>
      <c r="O616" s="361">
        <f>'Pickup Fee'!V18</f>
        <v>0</v>
      </c>
      <c r="P616" s="358">
        <f>'Pickup Fee'!W18</f>
        <v>16.25</v>
      </c>
      <c r="R616" s="358">
        <f>'Pickup Fee'!X18</f>
        <v>0</v>
      </c>
      <c r="S616" s="361"/>
      <c r="T616" s="358">
        <f>'Pickup Fee'!Y18</f>
        <v>16.25</v>
      </c>
      <c r="V616" s="358">
        <f>'Pickup Fee'!Z18</f>
        <v>0</v>
      </c>
      <c r="W616" s="358">
        <f>'Pickup Fee'!AA18</f>
        <v>0</v>
      </c>
      <c r="X616" s="358">
        <f>'Pickup Fee'!AB18</f>
        <v>0</v>
      </c>
      <c r="Y616" s="358">
        <f>'Pickup Fee'!AC18</f>
        <v>0</v>
      </c>
    </row>
    <row r="617" spans="1:25" x14ac:dyDescent="0.35">
      <c r="A617">
        <v>616</v>
      </c>
      <c r="B617" t="s">
        <v>1341</v>
      </c>
      <c r="C617" t="s">
        <v>946</v>
      </c>
      <c r="D617" t="s">
        <v>1788</v>
      </c>
      <c r="E617" t="s">
        <v>1811</v>
      </c>
      <c r="F617" t="s">
        <v>1769</v>
      </c>
      <c r="G617" t="s">
        <v>1769</v>
      </c>
      <c r="H617" s="358">
        <f>'Pickup Fee'!$B$19</f>
        <v>22.75</v>
      </c>
      <c r="I617" s="358">
        <v>0</v>
      </c>
      <c r="J617" s="358">
        <v>0</v>
      </c>
      <c r="K617" s="358">
        <v>0</v>
      </c>
      <c r="L617" s="358">
        <f>'Pickup Fee'!$B$19</f>
        <v>22.75</v>
      </c>
      <c r="M617" s="358">
        <v>0</v>
      </c>
      <c r="N617" s="361">
        <f>'Pickup Fee'!C19</f>
        <v>0</v>
      </c>
      <c r="O617" s="361">
        <f>'Pickup Fee'!D19</f>
        <v>0</v>
      </c>
      <c r="P617" s="358">
        <f>'Pickup Fee'!E19</f>
        <v>22.75</v>
      </c>
      <c r="R617" s="358">
        <f>'Pickup Fee'!F19</f>
        <v>0</v>
      </c>
      <c r="S617" s="361"/>
      <c r="T617" s="358">
        <f>'Pickup Fee'!G19</f>
        <v>22.75</v>
      </c>
      <c r="V617" s="358">
        <f>'Pickup Fee'!H19</f>
        <v>0</v>
      </c>
      <c r="W617" s="358">
        <f>'Pickup Fee'!I19</f>
        <v>0</v>
      </c>
      <c r="X617" s="358">
        <f>'Pickup Fee'!J19</f>
        <v>0</v>
      </c>
      <c r="Y617" s="358">
        <f>'Pickup Fee'!K19</f>
        <v>0</v>
      </c>
    </row>
    <row r="618" spans="1:25" x14ac:dyDescent="0.35">
      <c r="A618">
        <v>617</v>
      </c>
      <c r="B618" t="s">
        <v>1350</v>
      </c>
      <c r="C618" t="s">
        <v>946</v>
      </c>
      <c r="D618" t="s">
        <v>1788</v>
      </c>
      <c r="E618" t="s">
        <v>1811</v>
      </c>
      <c r="F618" t="s">
        <v>1769</v>
      </c>
      <c r="G618" t="s">
        <v>1769</v>
      </c>
      <c r="H618" s="358">
        <f>'Pickup Fee'!$B$19</f>
        <v>22.75</v>
      </c>
      <c r="I618" s="358">
        <v>0</v>
      </c>
      <c r="J618" s="358">
        <v>0</v>
      </c>
      <c r="K618" s="358">
        <v>0</v>
      </c>
      <c r="L618" s="358">
        <f>'Pickup Fee'!$B$19</f>
        <v>22.75</v>
      </c>
      <c r="M618" s="358">
        <v>0</v>
      </c>
      <c r="N618" s="361">
        <f>'Pickup Fee'!L19</f>
        <v>0</v>
      </c>
      <c r="O618" s="361">
        <f>'Pickup Fee'!M19</f>
        <v>0</v>
      </c>
      <c r="P618" s="358">
        <f>'Pickup Fee'!N19</f>
        <v>22.75</v>
      </c>
      <c r="R618" s="358">
        <f>'Pickup Fee'!O19</f>
        <v>0</v>
      </c>
      <c r="S618" s="361"/>
      <c r="T618" s="358">
        <f>'Pickup Fee'!P19</f>
        <v>22.75</v>
      </c>
      <c r="V618" s="358">
        <f>'Pickup Fee'!Q19</f>
        <v>0</v>
      </c>
      <c r="W618" s="358">
        <f>'Pickup Fee'!R19</f>
        <v>0</v>
      </c>
      <c r="X618" s="358">
        <f>'Pickup Fee'!S19</f>
        <v>0</v>
      </c>
      <c r="Y618" s="358">
        <f>'Pickup Fee'!T19</f>
        <v>0</v>
      </c>
    </row>
    <row r="619" spans="1:25" x14ac:dyDescent="0.35">
      <c r="A619">
        <v>618</v>
      </c>
      <c r="B619" t="s">
        <v>1351</v>
      </c>
      <c r="C619" t="s">
        <v>946</v>
      </c>
      <c r="D619" t="s">
        <v>1788</v>
      </c>
      <c r="E619" t="s">
        <v>1811</v>
      </c>
      <c r="F619" t="s">
        <v>1769</v>
      </c>
      <c r="G619" t="s">
        <v>1769</v>
      </c>
      <c r="H619" s="358">
        <f>'Pickup Fee'!$B$19</f>
        <v>22.75</v>
      </c>
      <c r="I619" s="358">
        <v>0</v>
      </c>
      <c r="J619" s="358">
        <v>0</v>
      </c>
      <c r="K619" s="358">
        <v>0</v>
      </c>
      <c r="L619" s="358">
        <f>'Pickup Fee'!$B$19</f>
        <v>22.75</v>
      </c>
      <c r="M619" s="358">
        <v>0</v>
      </c>
      <c r="N619" s="361">
        <f>'Pickup Fee'!U19</f>
        <v>0</v>
      </c>
      <c r="O619" s="361">
        <f>'Pickup Fee'!V19</f>
        <v>0</v>
      </c>
      <c r="P619" s="358">
        <f>'Pickup Fee'!W19</f>
        <v>22.75</v>
      </c>
      <c r="R619" s="358">
        <f>'Pickup Fee'!X19</f>
        <v>0</v>
      </c>
      <c r="S619" s="361"/>
      <c r="T619" s="358">
        <f>'Pickup Fee'!Y19</f>
        <v>22.75</v>
      </c>
      <c r="V619" s="358">
        <f>'Pickup Fee'!Z19</f>
        <v>0</v>
      </c>
      <c r="W619" s="358">
        <f>'Pickup Fee'!AA19</f>
        <v>0</v>
      </c>
      <c r="X619" s="358">
        <f>'Pickup Fee'!AB19</f>
        <v>0</v>
      </c>
      <c r="Y619" s="358">
        <f>'Pickup Fee'!AC19</f>
        <v>0</v>
      </c>
    </row>
    <row r="620" spans="1:25" x14ac:dyDescent="0.35">
      <c r="A620">
        <v>619</v>
      </c>
      <c r="B620" t="s">
        <v>1341</v>
      </c>
      <c r="C620" t="s">
        <v>946</v>
      </c>
      <c r="D620" t="s">
        <v>1788</v>
      </c>
      <c r="E620" t="s">
        <v>1811</v>
      </c>
      <c r="F620" t="s">
        <v>1770</v>
      </c>
      <c r="G620" t="s">
        <v>1770</v>
      </c>
      <c r="H620" s="358">
        <f>'Pickup Fee'!$B$20</f>
        <v>22.75</v>
      </c>
      <c r="I620" s="358">
        <v>0</v>
      </c>
      <c r="J620" s="358">
        <v>0</v>
      </c>
      <c r="K620" s="358">
        <v>0</v>
      </c>
      <c r="L620" s="358">
        <f>'Pickup Fee'!$B$20</f>
        <v>22.75</v>
      </c>
      <c r="M620" s="358">
        <v>0</v>
      </c>
      <c r="N620" s="361">
        <f>'Pickup Fee'!C20</f>
        <v>0</v>
      </c>
      <c r="O620" s="361">
        <f>'Pickup Fee'!D20</f>
        <v>0</v>
      </c>
      <c r="P620" s="358">
        <f>'Pickup Fee'!E20</f>
        <v>22.75</v>
      </c>
      <c r="R620" s="358">
        <f>'Pickup Fee'!F20</f>
        <v>0</v>
      </c>
      <c r="S620" s="361"/>
      <c r="T620" s="358">
        <f>'Pickup Fee'!G20</f>
        <v>22.75</v>
      </c>
      <c r="V620" s="358">
        <f>'Pickup Fee'!H20</f>
        <v>0</v>
      </c>
      <c r="W620" s="358">
        <f>'Pickup Fee'!I20</f>
        <v>0</v>
      </c>
      <c r="X620" s="358">
        <f>'Pickup Fee'!J20</f>
        <v>0</v>
      </c>
      <c r="Y620" s="358">
        <f>'Pickup Fee'!K20</f>
        <v>0</v>
      </c>
    </row>
    <row r="621" spans="1:25" x14ac:dyDescent="0.35">
      <c r="A621">
        <v>620</v>
      </c>
      <c r="B621" t="s">
        <v>1350</v>
      </c>
      <c r="C621" t="s">
        <v>946</v>
      </c>
      <c r="D621" t="s">
        <v>1788</v>
      </c>
      <c r="E621" t="s">
        <v>1811</v>
      </c>
      <c r="F621" t="s">
        <v>1770</v>
      </c>
      <c r="G621" t="s">
        <v>1770</v>
      </c>
      <c r="H621" s="358">
        <f>'Pickup Fee'!$B$20</f>
        <v>22.75</v>
      </c>
      <c r="I621" s="358">
        <v>0</v>
      </c>
      <c r="J621" s="358">
        <v>0</v>
      </c>
      <c r="K621" s="358">
        <v>0</v>
      </c>
      <c r="L621" s="358">
        <f>'Pickup Fee'!$B$20</f>
        <v>22.75</v>
      </c>
      <c r="M621" s="358">
        <v>0</v>
      </c>
      <c r="N621" s="361">
        <f>'Pickup Fee'!L20</f>
        <v>0</v>
      </c>
      <c r="O621" s="361">
        <f>'Pickup Fee'!M20</f>
        <v>0</v>
      </c>
      <c r="P621" s="358">
        <f>'Pickup Fee'!N20</f>
        <v>22.75</v>
      </c>
      <c r="R621" s="358">
        <f>'Pickup Fee'!O20</f>
        <v>0</v>
      </c>
      <c r="S621" s="361"/>
      <c r="T621" s="358">
        <f>'Pickup Fee'!P20</f>
        <v>22.75</v>
      </c>
      <c r="V621" s="358">
        <f>'Pickup Fee'!Q20</f>
        <v>0</v>
      </c>
      <c r="W621" s="358">
        <f>'Pickup Fee'!R20</f>
        <v>0</v>
      </c>
      <c r="X621" s="358">
        <f>'Pickup Fee'!S20</f>
        <v>0</v>
      </c>
      <c r="Y621" s="358">
        <f>'Pickup Fee'!T20</f>
        <v>0</v>
      </c>
    </row>
    <row r="622" spans="1:25" x14ac:dyDescent="0.35">
      <c r="A622">
        <v>621</v>
      </c>
      <c r="B622" t="s">
        <v>1351</v>
      </c>
      <c r="C622" t="s">
        <v>946</v>
      </c>
      <c r="D622" t="s">
        <v>1788</v>
      </c>
      <c r="E622" t="s">
        <v>1811</v>
      </c>
      <c r="F622" t="s">
        <v>1770</v>
      </c>
      <c r="G622" t="s">
        <v>1770</v>
      </c>
      <c r="H622" s="358">
        <f>'Pickup Fee'!$B$20</f>
        <v>22.75</v>
      </c>
      <c r="I622" s="358">
        <v>0</v>
      </c>
      <c r="J622" s="358">
        <v>0</v>
      </c>
      <c r="K622" s="358">
        <v>0</v>
      </c>
      <c r="L622" s="358">
        <f>'Pickup Fee'!$B$20</f>
        <v>22.75</v>
      </c>
      <c r="M622" s="358">
        <v>0</v>
      </c>
      <c r="N622" s="361">
        <f>'Pickup Fee'!U20</f>
        <v>0</v>
      </c>
      <c r="O622" s="361">
        <f>'Pickup Fee'!V20</f>
        <v>0</v>
      </c>
      <c r="P622" s="358">
        <f>'Pickup Fee'!W20</f>
        <v>22.75</v>
      </c>
      <c r="R622" s="358">
        <f>'Pickup Fee'!X20</f>
        <v>0</v>
      </c>
      <c r="S622" s="361"/>
      <c r="T622" s="358">
        <f>'Pickup Fee'!Y20</f>
        <v>22.75</v>
      </c>
      <c r="V622" s="358">
        <f>'Pickup Fee'!Z20</f>
        <v>0</v>
      </c>
      <c r="W622" s="358">
        <f>'Pickup Fee'!AA20</f>
        <v>0</v>
      </c>
      <c r="X622" s="358">
        <f>'Pickup Fee'!AB20</f>
        <v>0</v>
      </c>
      <c r="Y622" s="358">
        <f>'Pickup Fee'!AC20</f>
        <v>0</v>
      </c>
    </row>
    <row r="623" spans="1:25" x14ac:dyDescent="0.35">
      <c r="A623">
        <v>622</v>
      </c>
      <c r="B623" t="s">
        <v>1341</v>
      </c>
      <c r="C623" t="s">
        <v>946</v>
      </c>
      <c r="D623" t="s">
        <v>1788</v>
      </c>
      <c r="E623" t="s">
        <v>1811</v>
      </c>
      <c r="F623" t="s">
        <v>1772</v>
      </c>
      <c r="G623" t="s">
        <v>1772</v>
      </c>
      <c r="H623" s="358">
        <f>'Pickup Fee'!$B$22</f>
        <v>5.95</v>
      </c>
      <c r="I623" s="358">
        <v>0</v>
      </c>
      <c r="J623" s="358">
        <v>0</v>
      </c>
      <c r="K623" s="358">
        <v>0</v>
      </c>
      <c r="L623" s="358">
        <f>'Pickup Fee'!$B$22</f>
        <v>5.95</v>
      </c>
      <c r="M623" s="358">
        <v>0</v>
      </c>
      <c r="N623" s="361">
        <f>'Pickup Fee'!C22</f>
        <v>0</v>
      </c>
      <c r="O623" s="361">
        <f>'Pickup Fee'!D22</f>
        <v>0</v>
      </c>
      <c r="P623" s="358">
        <f>'Pickup Fee'!E22</f>
        <v>5.95</v>
      </c>
      <c r="R623" s="358">
        <f>'Pickup Fee'!F22</f>
        <v>0</v>
      </c>
      <c r="S623" s="361"/>
      <c r="T623" s="358">
        <f>'Pickup Fee'!G22</f>
        <v>5.95</v>
      </c>
      <c r="V623" s="358">
        <f>'Pickup Fee'!H22</f>
        <v>0</v>
      </c>
      <c r="W623" s="358">
        <f>'Pickup Fee'!I22</f>
        <v>0</v>
      </c>
      <c r="X623" s="358">
        <f>'Pickup Fee'!J22</f>
        <v>0</v>
      </c>
      <c r="Y623" s="358">
        <f>'Pickup Fee'!K22</f>
        <v>0</v>
      </c>
    </row>
    <row r="624" spans="1:25" x14ac:dyDescent="0.35">
      <c r="A624">
        <v>623</v>
      </c>
      <c r="B624" t="s">
        <v>1350</v>
      </c>
      <c r="C624" t="s">
        <v>946</v>
      </c>
      <c r="D624" t="s">
        <v>1788</v>
      </c>
      <c r="E624" t="s">
        <v>1811</v>
      </c>
      <c r="F624" t="s">
        <v>1772</v>
      </c>
      <c r="G624" t="s">
        <v>1772</v>
      </c>
      <c r="H624" s="358">
        <f>'Pickup Fee'!$B$22</f>
        <v>5.95</v>
      </c>
      <c r="I624" s="358">
        <v>0</v>
      </c>
      <c r="J624" s="358">
        <v>0</v>
      </c>
      <c r="K624" s="358">
        <v>0</v>
      </c>
      <c r="L624" s="358">
        <f>'Pickup Fee'!$B$22</f>
        <v>5.95</v>
      </c>
      <c r="M624" s="358">
        <v>0</v>
      </c>
      <c r="N624" s="361">
        <f>'Pickup Fee'!L22</f>
        <v>0</v>
      </c>
      <c r="O624" s="361">
        <f>'Pickup Fee'!M22</f>
        <v>0</v>
      </c>
      <c r="P624" s="358">
        <f>'Pickup Fee'!N22</f>
        <v>5.95</v>
      </c>
      <c r="R624" s="358">
        <f>'Pickup Fee'!O22</f>
        <v>0</v>
      </c>
      <c r="S624" s="361"/>
      <c r="T624" s="358">
        <f>'Pickup Fee'!P22</f>
        <v>5.95</v>
      </c>
      <c r="V624" s="358">
        <f>'Pickup Fee'!Q22</f>
        <v>0</v>
      </c>
      <c r="W624" s="358">
        <f>'Pickup Fee'!R22</f>
        <v>0</v>
      </c>
      <c r="X624" s="358">
        <f>'Pickup Fee'!S22</f>
        <v>0</v>
      </c>
      <c r="Y624" s="358">
        <f>'Pickup Fee'!T22</f>
        <v>0</v>
      </c>
    </row>
    <row r="625" spans="1:25" x14ac:dyDescent="0.35">
      <c r="A625">
        <v>624</v>
      </c>
      <c r="B625" t="s">
        <v>1351</v>
      </c>
      <c r="C625" t="s">
        <v>946</v>
      </c>
      <c r="D625" t="s">
        <v>1788</v>
      </c>
      <c r="E625" t="s">
        <v>1811</v>
      </c>
      <c r="F625" t="s">
        <v>1772</v>
      </c>
      <c r="G625" t="s">
        <v>1772</v>
      </c>
      <c r="H625" s="358">
        <f>'Pickup Fee'!$B$22</f>
        <v>5.95</v>
      </c>
      <c r="I625" s="358">
        <v>0</v>
      </c>
      <c r="J625" s="358">
        <v>0</v>
      </c>
      <c r="K625" s="358">
        <v>0</v>
      </c>
      <c r="L625" s="358">
        <f>'Pickup Fee'!$B$22</f>
        <v>5.95</v>
      </c>
      <c r="M625" s="358">
        <v>0</v>
      </c>
      <c r="N625" s="361">
        <f>'Pickup Fee'!U22</f>
        <v>0</v>
      </c>
      <c r="O625" s="361">
        <f>'Pickup Fee'!V22</f>
        <v>0</v>
      </c>
      <c r="P625" s="358">
        <f>'Pickup Fee'!W22</f>
        <v>5.95</v>
      </c>
      <c r="R625" s="358">
        <f>'Pickup Fee'!X22</f>
        <v>0</v>
      </c>
      <c r="S625" s="361"/>
      <c r="T625" s="358">
        <f>'Pickup Fee'!Y22</f>
        <v>5.95</v>
      </c>
      <c r="V625" s="358">
        <f>'Pickup Fee'!Z22</f>
        <v>0</v>
      </c>
      <c r="W625" s="358">
        <f>'Pickup Fee'!AA22</f>
        <v>0</v>
      </c>
      <c r="X625" s="358">
        <f>'Pickup Fee'!AB22</f>
        <v>0</v>
      </c>
      <c r="Y625" s="358">
        <f>'Pickup Fee'!AC22</f>
        <v>0</v>
      </c>
    </row>
    <row r="626" spans="1:25" x14ac:dyDescent="0.35">
      <c r="A626">
        <v>625</v>
      </c>
      <c r="B626" t="s">
        <v>1341</v>
      </c>
      <c r="C626" t="s">
        <v>946</v>
      </c>
      <c r="D626" t="s">
        <v>1788</v>
      </c>
      <c r="E626" t="s">
        <v>1811</v>
      </c>
      <c r="F626" t="s">
        <v>1773</v>
      </c>
      <c r="G626" t="s">
        <v>1773</v>
      </c>
      <c r="H626" s="358">
        <f>'Pickup Fee'!$B$23</f>
        <v>6.2</v>
      </c>
      <c r="I626" s="358">
        <v>0</v>
      </c>
      <c r="J626" s="358">
        <v>0</v>
      </c>
      <c r="K626" s="358">
        <v>0</v>
      </c>
      <c r="L626" s="358">
        <f>'Pickup Fee'!$B$23</f>
        <v>6.2</v>
      </c>
      <c r="M626" s="358">
        <v>0</v>
      </c>
      <c r="N626" s="361">
        <f>'Pickup Fee'!C23</f>
        <v>0</v>
      </c>
      <c r="O626" s="361">
        <f>'Pickup Fee'!D23</f>
        <v>0</v>
      </c>
      <c r="P626" s="358">
        <f>'Pickup Fee'!E23</f>
        <v>6.2</v>
      </c>
      <c r="R626" s="358">
        <f>'Pickup Fee'!F23</f>
        <v>0</v>
      </c>
      <c r="S626" s="361"/>
      <c r="T626" s="358">
        <f>'Pickup Fee'!G23</f>
        <v>6.2</v>
      </c>
      <c r="V626" s="358">
        <f>'Pickup Fee'!H23</f>
        <v>0</v>
      </c>
      <c r="W626" s="358">
        <f>'Pickup Fee'!I23</f>
        <v>0</v>
      </c>
      <c r="X626" s="358">
        <f>'Pickup Fee'!J23</f>
        <v>0</v>
      </c>
      <c r="Y626" s="358">
        <f>'Pickup Fee'!K23</f>
        <v>0</v>
      </c>
    </row>
    <row r="627" spans="1:25" x14ac:dyDescent="0.35">
      <c r="A627">
        <v>626</v>
      </c>
      <c r="B627" t="s">
        <v>1350</v>
      </c>
      <c r="C627" t="s">
        <v>946</v>
      </c>
      <c r="D627" t="s">
        <v>1788</v>
      </c>
      <c r="E627" t="s">
        <v>1811</v>
      </c>
      <c r="F627" t="s">
        <v>1773</v>
      </c>
      <c r="G627" t="s">
        <v>1773</v>
      </c>
      <c r="H627" s="358">
        <f>'Pickup Fee'!$B$23</f>
        <v>6.2</v>
      </c>
      <c r="I627" s="358">
        <v>0</v>
      </c>
      <c r="J627" s="358">
        <v>0</v>
      </c>
      <c r="K627" s="358">
        <v>0</v>
      </c>
      <c r="L627" s="358">
        <f>'Pickup Fee'!$B$23</f>
        <v>6.2</v>
      </c>
      <c r="M627" s="358">
        <v>0</v>
      </c>
      <c r="N627" s="361">
        <f>'Pickup Fee'!L23</f>
        <v>0</v>
      </c>
      <c r="O627" s="361">
        <f>'Pickup Fee'!M23</f>
        <v>0</v>
      </c>
      <c r="P627" s="358">
        <f>'Pickup Fee'!N23</f>
        <v>6.2</v>
      </c>
      <c r="R627" s="358">
        <f>'Pickup Fee'!O23</f>
        <v>0</v>
      </c>
      <c r="S627" s="361"/>
      <c r="T627" s="358">
        <f>'Pickup Fee'!P23</f>
        <v>6.2</v>
      </c>
      <c r="V627" s="358">
        <f>'Pickup Fee'!Q23</f>
        <v>0</v>
      </c>
      <c r="W627" s="358">
        <f>'Pickup Fee'!R23</f>
        <v>0</v>
      </c>
      <c r="X627" s="358">
        <f>'Pickup Fee'!S23</f>
        <v>0</v>
      </c>
      <c r="Y627" s="358">
        <f>'Pickup Fee'!T23</f>
        <v>0</v>
      </c>
    </row>
    <row r="628" spans="1:25" x14ac:dyDescent="0.35">
      <c r="A628">
        <v>627</v>
      </c>
      <c r="B628" t="s">
        <v>1351</v>
      </c>
      <c r="C628" t="s">
        <v>946</v>
      </c>
      <c r="D628" t="s">
        <v>1788</v>
      </c>
      <c r="E628" t="s">
        <v>1811</v>
      </c>
      <c r="F628" t="s">
        <v>1773</v>
      </c>
      <c r="G628" t="s">
        <v>1773</v>
      </c>
      <c r="H628" s="358">
        <f>'Pickup Fee'!$B$23</f>
        <v>6.2</v>
      </c>
      <c r="I628" s="358">
        <v>0</v>
      </c>
      <c r="J628" s="358">
        <v>0</v>
      </c>
      <c r="K628" s="358">
        <v>0</v>
      </c>
      <c r="L628" s="358">
        <f>'Pickup Fee'!$B$23</f>
        <v>6.2</v>
      </c>
      <c r="M628" s="358">
        <v>0</v>
      </c>
      <c r="N628" s="361">
        <f>'Pickup Fee'!U23</f>
        <v>0</v>
      </c>
      <c r="O628" s="361">
        <f>'Pickup Fee'!V23</f>
        <v>0</v>
      </c>
      <c r="P628" s="358">
        <f>'Pickup Fee'!W23</f>
        <v>6.2</v>
      </c>
      <c r="R628" s="358">
        <f>'Pickup Fee'!X23</f>
        <v>0</v>
      </c>
      <c r="S628" s="361"/>
      <c r="T628" s="358">
        <f>'Pickup Fee'!Y23</f>
        <v>6.2</v>
      </c>
      <c r="V628" s="358">
        <f>'Pickup Fee'!Z23</f>
        <v>0</v>
      </c>
      <c r="W628" s="358">
        <f>'Pickup Fee'!AA23</f>
        <v>0</v>
      </c>
      <c r="X628" s="358">
        <f>'Pickup Fee'!AB23</f>
        <v>0</v>
      </c>
      <c r="Y628" s="358">
        <f>'Pickup Fee'!AC23</f>
        <v>0</v>
      </c>
    </row>
    <row r="629" spans="1:25" x14ac:dyDescent="0.35">
      <c r="A629">
        <v>628</v>
      </c>
      <c r="B629" t="s">
        <v>1341</v>
      </c>
      <c r="C629" t="s">
        <v>946</v>
      </c>
      <c r="D629" t="s">
        <v>1788</v>
      </c>
      <c r="E629" t="s">
        <v>1811</v>
      </c>
      <c r="F629" t="s">
        <v>1774</v>
      </c>
      <c r="G629" t="s">
        <v>1774</v>
      </c>
      <c r="H629" s="358">
        <f>'Pickup Fee'!$B$24</f>
        <v>8.3000000000000007</v>
      </c>
      <c r="I629" s="358">
        <v>0</v>
      </c>
      <c r="J629" s="358">
        <v>0</v>
      </c>
      <c r="K629" s="358">
        <v>0</v>
      </c>
      <c r="L629" s="358">
        <f>'Pickup Fee'!$B$24</f>
        <v>8.3000000000000007</v>
      </c>
      <c r="M629" s="358">
        <v>0</v>
      </c>
      <c r="N629" s="361">
        <f>'Pickup Fee'!C24</f>
        <v>0</v>
      </c>
      <c r="O629" s="361">
        <f>'Pickup Fee'!D24</f>
        <v>0</v>
      </c>
      <c r="P629" s="358">
        <f>'Pickup Fee'!E24</f>
        <v>8.3000000000000007</v>
      </c>
      <c r="R629" s="358">
        <f>'Pickup Fee'!F24</f>
        <v>0</v>
      </c>
      <c r="S629" s="361"/>
      <c r="T629" s="358">
        <f>'Pickup Fee'!G24</f>
        <v>8.3000000000000007</v>
      </c>
      <c r="V629" s="358">
        <f>'Pickup Fee'!H24</f>
        <v>0</v>
      </c>
      <c r="W629" s="358">
        <f>'Pickup Fee'!I24</f>
        <v>0</v>
      </c>
      <c r="X629" s="358">
        <f>'Pickup Fee'!J24</f>
        <v>0</v>
      </c>
      <c r="Y629" s="358">
        <f>'Pickup Fee'!K24</f>
        <v>0</v>
      </c>
    </row>
    <row r="630" spans="1:25" x14ac:dyDescent="0.35">
      <c r="A630">
        <v>629</v>
      </c>
      <c r="B630" t="s">
        <v>1350</v>
      </c>
      <c r="C630" t="s">
        <v>946</v>
      </c>
      <c r="D630" t="s">
        <v>1788</v>
      </c>
      <c r="E630" t="s">
        <v>1811</v>
      </c>
      <c r="F630" t="s">
        <v>1774</v>
      </c>
      <c r="G630" t="s">
        <v>1774</v>
      </c>
      <c r="H630" s="358">
        <f>'Pickup Fee'!$B$24</f>
        <v>8.3000000000000007</v>
      </c>
      <c r="I630" s="358">
        <v>0</v>
      </c>
      <c r="J630" s="358">
        <v>0</v>
      </c>
      <c r="K630" s="358">
        <v>0</v>
      </c>
      <c r="L630" s="358">
        <f>'Pickup Fee'!$B$24</f>
        <v>8.3000000000000007</v>
      </c>
      <c r="M630" s="358">
        <v>0</v>
      </c>
      <c r="N630" s="361">
        <f>'Pickup Fee'!L24</f>
        <v>0</v>
      </c>
      <c r="O630" s="361">
        <f>'Pickup Fee'!M24</f>
        <v>0</v>
      </c>
      <c r="P630" s="358">
        <f>'Pickup Fee'!N24</f>
        <v>8.3000000000000007</v>
      </c>
      <c r="R630" s="358">
        <f>'Pickup Fee'!O24</f>
        <v>0</v>
      </c>
      <c r="S630" s="361"/>
      <c r="T630" s="358">
        <f>'Pickup Fee'!P24</f>
        <v>8.3000000000000007</v>
      </c>
      <c r="V630" s="358">
        <f>'Pickup Fee'!Q24</f>
        <v>0</v>
      </c>
      <c r="W630" s="358">
        <f>'Pickup Fee'!R24</f>
        <v>0</v>
      </c>
      <c r="X630" s="358">
        <f>'Pickup Fee'!S24</f>
        <v>0</v>
      </c>
      <c r="Y630" s="358">
        <f>'Pickup Fee'!T24</f>
        <v>0</v>
      </c>
    </row>
    <row r="631" spans="1:25" x14ac:dyDescent="0.35">
      <c r="A631">
        <v>630</v>
      </c>
      <c r="B631" t="s">
        <v>1351</v>
      </c>
      <c r="C631" t="s">
        <v>946</v>
      </c>
      <c r="D631" t="s">
        <v>1788</v>
      </c>
      <c r="E631" t="s">
        <v>1811</v>
      </c>
      <c r="F631" t="s">
        <v>1774</v>
      </c>
      <c r="G631" t="s">
        <v>1774</v>
      </c>
      <c r="H631" s="358">
        <f>'Pickup Fee'!$B$24</f>
        <v>8.3000000000000007</v>
      </c>
      <c r="I631" s="358">
        <v>0</v>
      </c>
      <c r="J631" s="358">
        <v>0</v>
      </c>
      <c r="K631" s="358">
        <v>0</v>
      </c>
      <c r="L631" s="358">
        <f>'Pickup Fee'!$B$24</f>
        <v>8.3000000000000007</v>
      </c>
      <c r="M631" s="358">
        <v>0</v>
      </c>
      <c r="N631" s="361">
        <f>'Pickup Fee'!U24</f>
        <v>0</v>
      </c>
      <c r="O631" s="361">
        <f>'Pickup Fee'!V24</f>
        <v>0</v>
      </c>
      <c r="P631" s="358">
        <f>'Pickup Fee'!W24</f>
        <v>8.3000000000000007</v>
      </c>
      <c r="R631" s="358">
        <f>'Pickup Fee'!X24</f>
        <v>0</v>
      </c>
      <c r="S631" s="361"/>
      <c r="T631" s="358">
        <f>'Pickup Fee'!Y24</f>
        <v>8.3000000000000007</v>
      </c>
      <c r="V631" s="358">
        <f>'Pickup Fee'!Z24</f>
        <v>0</v>
      </c>
      <c r="W631" s="358">
        <f>'Pickup Fee'!AA24</f>
        <v>0</v>
      </c>
      <c r="X631" s="358">
        <f>'Pickup Fee'!AB24</f>
        <v>0</v>
      </c>
      <c r="Y631" s="358">
        <f>'Pickup Fee'!AC24</f>
        <v>0</v>
      </c>
    </row>
    <row r="632" spans="1:25" x14ac:dyDescent="0.35">
      <c r="A632">
        <v>631</v>
      </c>
      <c r="B632" t="s">
        <v>1341</v>
      </c>
      <c r="C632" t="s">
        <v>946</v>
      </c>
      <c r="D632" t="s">
        <v>1788</v>
      </c>
      <c r="E632" t="s">
        <v>1811</v>
      </c>
      <c r="F632" t="s">
        <v>1775</v>
      </c>
      <c r="G632" t="s">
        <v>1775</v>
      </c>
      <c r="H632" s="358">
        <f>'Pickup Fee'!$B$25</f>
        <v>15.5</v>
      </c>
      <c r="I632" s="358">
        <v>0</v>
      </c>
      <c r="J632" s="358">
        <v>0</v>
      </c>
      <c r="K632" s="358">
        <v>0</v>
      </c>
      <c r="L632" s="358">
        <f>'Pickup Fee'!$B$25</f>
        <v>15.5</v>
      </c>
      <c r="M632" s="358">
        <v>0</v>
      </c>
      <c r="N632" s="361">
        <f>'Pickup Fee'!C25</f>
        <v>0</v>
      </c>
      <c r="O632" s="361">
        <f>'Pickup Fee'!D25</f>
        <v>0</v>
      </c>
      <c r="P632" s="358">
        <f>'Pickup Fee'!E25</f>
        <v>15.5</v>
      </c>
      <c r="R632" s="358">
        <f>'Pickup Fee'!F25</f>
        <v>0</v>
      </c>
      <c r="S632" s="361"/>
      <c r="T632" s="358">
        <f>'Pickup Fee'!G25</f>
        <v>15.5</v>
      </c>
      <c r="V632" s="358">
        <f>'Pickup Fee'!H25</f>
        <v>0</v>
      </c>
      <c r="W632" s="358">
        <f>'Pickup Fee'!I25</f>
        <v>0</v>
      </c>
      <c r="X632" s="358">
        <f>'Pickup Fee'!J25</f>
        <v>0</v>
      </c>
      <c r="Y632" s="358">
        <f>'Pickup Fee'!K25</f>
        <v>0</v>
      </c>
    </row>
    <row r="633" spans="1:25" x14ac:dyDescent="0.35">
      <c r="A633">
        <v>632</v>
      </c>
      <c r="B633" t="s">
        <v>1350</v>
      </c>
      <c r="C633" t="s">
        <v>946</v>
      </c>
      <c r="D633" t="s">
        <v>1788</v>
      </c>
      <c r="E633" t="s">
        <v>1811</v>
      </c>
      <c r="F633" t="s">
        <v>1775</v>
      </c>
      <c r="G633" t="s">
        <v>1775</v>
      </c>
      <c r="H633" s="358">
        <f>'Pickup Fee'!$B$25</f>
        <v>15.5</v>
      </c>
      <c r="I633" s="358">
        <v>0</v>
      </c>
      <c r="J633" s="358">
        <v>0</v>
      </c>
      <c r="K633" s="358">
        <v>0</v>
      </c>
      <c r="L633" s="358">
        <f>'Pickup Fee'!$B$25</f>
        <v>15.5</v>
      </c>
      <c r="M633" s="358">
        <v>0</v>
      </c>
      <c r="N633" s="361">
        <f>'Pickup Fee'!L25</f>
        <v>0</v>
      </c>
      <c r="O633" s="361">
        <f>'Pickup Fee'!M25</f>
        <v>0</v>
      </c>
      <c r="P633" s="358">
        <f>'Pickup Fee'!N25</f>
        <v>15.5</v>
      </c>
      <c r="R633" s="358">
        <f>'Pickup Fee'!O25</f>
        <v>0</v>
      </c>
      <c r="S633" s="361"/>
      <c r="T633" s="358">
        <f>'Pickup Fee'!P25</f>
        <v>15.5</v>
      </c>
      <c r="V633" s="358">
        <f>'Pickup Fee'!Q25</f>
        <v>0</v>
      </c>
      <c r="W633" s="358">
        <f>'Pickup Fee'!R25</f>
        <v>0</v>
      </c>
      <c r="X633" s="358">
        <f>'Pickup Fee'!S25</f>
        <v>0</v>
      </c>
      <c r="Y633" s="358">
        <f>'Pickup Fee'!T25</f>
        <v>0</v>
      </c>
    </row>
    <row r="634" spans="1:25" x14ac:dyDescent="0.35">
      <c r="A634">
        <v>633</v>
      </c>
      <c r="B634" t="s">
        <v>1351</v>
      </c>
      <c r="C634" t="s">
        <v>946</v>
      </c>
      <c r="D634" t="s">
        <v>1788</v>
      </c>
      <c r="E634" t="s">
        <v>1811</v>
      </c>
      <c r="F634" t="s">
        <v>1775</v>
      </c>
      <c r="G634" t="s">
        <v>1775</v>
      </c>
      <c r="H634" s="358">
        <f>'Pickup Fee'!$B$25</f>
        <v>15.5</v>
      </c>
      <c r="I634" s="358">
        <v>0</v>
      </c>
      <c r="J634" s="358">
        <v>0</v>
      </c>
      <c r="K634" s="358">
        <v>0</v>
      </c>
      <c r="L634" s="358">
        <f>'Pickup Fee'!$B$25</f>
        <v>15.5</v>
      </c>
      <c r="M634" s="358">
        <v>0</v>
      </c>
      <c r="N634" s="361">
        <f>'Pickup Fee'!U25</f>
        <v>0</v>
      </c>
      <c r="O634" s="361">
        <f>'Pickup Fee'!V25</f>
        <v>0</v>
      </c>
      <c r="P634" s="358">
        <f>'Pickup Fee'!W25</f>
        <v>15.5</v>
      </c>
      <c r="R634" s="358">
        <f>'Pickup Fee'!X25</f>
        <v>0</v>
      </c>
      <c r="S634" s="361"/>
      <c r="T634" s="358">
        <f>'Pickup Fee'!Y25</f>
        <v>15.5</v>
      </c>
      <c r="V634" s="358">
        <f>'Pickup Fee'!Z25</f>
        <v>0</v>
      </c>
      <c r="W634" s="358">
        <f>'Pickup Fee'!AA25</f>
        <v>0</v>
      </c>
      <c r="X634" s="358">
        <f>'Pickup Fee'!AB25</f>
        <v>0</v>
      </c>
      <c r="Y634" s="358">
        <f>'Pickup Fee'!AC25</f>
        <v>0</v>
      </c>
    </row>
    <row r="635" spans="1:25" x14ac:dyDescent="0.35">
      <c r="A635">
        <v>634</v>
      </c>
      <c r="B635" t="s">
        <v>1341</v>
      </c>
      <c r="C635" t="s">
        <v>946</v>
      </c>
      <c r="D635" t="s">
        <v>1788</v>
      </c>
      <c r="E635" t="s">
        <v>1811</v>
      </c>
      <c r="F635" t="s">
        <v>1777</v>
      </c>
      <c r="G635" t="s">
        <v>1777</v>
      </c>
      <c r="H635" s="358">
        <f>'Pickup Fee'!$B$27</f>
        <v>12</v>
      </c>
      <c r="I635" s="358">
        <v>0</v>
      </c>
      <c r="J635" s="358">
        <v>0</v>
      </c>
      <c r="K635" s="358">
        <v>0</v>
      </c>
      <c r="L635" s="358">
        <f>'Pickup Fee'!$B$27</f>
        <v>12</v>
      </c>
      <c r="M635" s="358">
        <v>0</v>
      </c>
      <c r="N635" s="361">
        <f>'Pickup Fee'!C27</f>
        <v>0</v>
      </c>
      <c r="O635" s="361">
        <f>'Pickup Fee'!D27</f>
        <v>0</v>
      </c>
      <c r="P635" s="358">
        <f>'Pickup Fee'!E27</f>
        <v>12</v>
      </c>
      <c r="R635" s="358">
        <f>'Pickup Fee'!F27</f>
        <v>0</v>
      </c>
      <c r="S635" s="361"/>
      <c r="T635" s="358">
        <f>'Pickup Fee'!G27</f>
        <v>12</v>
      </c>
      <c r="V635" s="358">
        <f>'Pickup Fee'!H27</f>
        <v>0</v>
      </c>
      <c r="W635" s="358">
        <f>'Pickup Fee'!I27</f>
        <v>0</v>
      </c>
      <c r="X635" s="358">
        <f>'Pickup Fee'!J27</f>
        <v>0</v>
      </c>
      <c r="Y635" s="358">
        <f>'Pickup Fee'!K27</f>
        <v>0</v>
      </c>
    </row>
    <row r="636" spans="1:25" x14ac:dyDescent="0.35">
      <c r="A636">
        <v>635</v>
      </c>
      <c r="B636" t="s">
        <v>1350</v>
      </c>
      <c r="C636" t="s">
        <v>946</v>
      </c>
      <c r="D636" t="s">
        <v>1788</v>
      </c>
      <c r="E636" t="s">
        <v>1811</v>
      </c>
      <c r="F636" t="s">
        <v>1777</v>
      </c>
      <c r="G636" t="s">
        <v>1777</v>
      </c>
      <c r="H636" s="358">
        <f>'Pickup Fee'!$B$27</f>
        <v>12</v>
      </c>
      <c r="I636" s="358">
        <v>0</v>
      </c>
      <c r="J636" s="358">
        <v>0</v>
      </c>
      <c r="K636" s="358">
        <v>0</v>
      </c>
      <c r="L636" s="358">
        <f>'Pickup Fee'!$B$27</f>
        <v>12</v>
      </c>
      <c r="M636" s="358">
        <v>0</v>
      </c>
      <c r="N636" s="361">
        <f>'Pickup Fee'!L27</f>
        <v>0</v>
      </c>
      <c r="O636" s="361">
        <f>'Pickup Fee'!M27</f>
        <v>0</v>
      </c>
      <c r="P636" s="358">
        <f>'Pickup Fee'!N27</f>
        <v>12</v>
      </c>
      <c r="R636" s="358">
        <f>'Pickup Fee'!O27</f>
        <v>0</v>
      </c>
      <c r="S636" s="361"/>
      <c r="T636" s="358">
        <f>'Pickup Fee'!P27</f>
        <v>12</v>
      </c>
      <c r="V636" s="358">
        <f>'Pickup Fee'!Q27</f>
        <v>0</v>
      </c>
      <c r="W636" s="358">
        <f>'Pickup Fee'!R27</f>
        <v>0</v>
      </c>
      <c r="X636" s="358">
        <f>'Pickup Fee'!S27</f>
        <v>0</v>
      </c>
      <c r="Y636" s="358">
        <f>'Pickup Fee'!T27</f>
        <v>0</v>
      </c>
    </row>
    <row r="637" spans="1:25" x14ac:dyDescent="0.35">
      <c r="A637">
        <v>636</v>
      </c>
      <c r="B637" t="s">
        <v>1351</v>
      </c>
      <c r="C637" t="s">
        <v>946</v>
      </c>
      <c r="D637" t="s">
        <v>1788</v>
      </c>
      <c r="E637" t="s">
        <v>1811</v>
      </c>
      <c r="F637" t="s">
        <v>1777</v>
      </c>
      <c r="G637" t="s">
        <v>1777</v>
      </c>
      <c r="H637" s="358">
        <f>'Pickup Fee'!$B$27</f>
        <v>12</v>
      </c>
      <c r="I637" s="358">
        <v>0</v>
      </c>
      <c r="J637" s="358">
        <v>0</v>
      </c>
      <c r="K637" s="358">
        <v>0</v>
      </c>
      <c r="L637" s="358">
        <f>'Pickup Fee'!$B$27</f>
        <v>12</v>
      </c>
      <c r="M637" s="358">
        <v>0</v>
      </c>
      <c r="N637" s="361">
        <f>'Pickup Fee'!U27</f>
        <v>0</v>
      </c>
      <c r="O637" s="361">
        <f>'Pickup Fee'!V27</f>
        <v>0</v>
      </c>
      <c r="P637" s="358">
        <f>'Pickup Fee'!W27</f>
        <v>12</v>
      </c>
      <c r="R637" s="358">
        <f>'Pickup Fee'!X27</f>
        <v>0</v>
      </c>
      <c r="S637" s="361"/>
      <c r="T637" s="358">
        <f>'Pickup Fee'!Y27</f>
        <v>12</v>
      </c>
      <c r="V637" s="358">
        <f>'Pickup Fee'!Z27</f>
        <v>0</v>
      </c>
      <c r="W637" s="358">
        <f>'Pickup Fee'!AA27</f>
        <v>0</v>
      </c>
      <c r="X637" s="358">
        <f>'Pickup Fee'!AB27</f>
        <v>0</v>
      </c>
      <c r="Y637" s="358">
        <f>'Pickup Fee'!AC27</f>
        <v>0</v>
      </c>
    </row>
    <row r="638" spans="1:25" x14ac:dyDescent="0.35">
      <c r="A638">
        <v>637</v>
      </c>
      <c r="B638" t="s">
        <v>1341</v>
      </c>
      <c r="C638" t="s">
        <v>946</v>
      </c>
      <c r="D638" t="s">
        <v>1788</v>
      </c>
      <c r="E638" t="s">
        <v>1811</v>
      </c>
      <c r="F638" t="s">
        <v>1778</v>
      </c>
      <c r="G638" t="s">
        <v>1778</v>
      </c>
      <c r="H638" s="358">
        <f>'Pickup Fee'!$B$28</f>
        <v>12</v>
      </c>
      <c r="I638" s="358">
        <v>0</v>
      </c>
      <c r="J638" s="358">
        <v>0</v>
      </c>
      <c r="K638" s="358">
        <v>0</v>
      </c>
      <c r="L638" s="358">
        <f>'Pickup Fee'!$B$28</f>
        <v>12</v>
      </c>
      <c r="M638" s="358">
        <v>0</v>
      </c>
      <c r="N638" s="361">
        <f>'Pickup Fee'!C28</f>
        <v>0</v>
      </c>
      <c r="O638" s="361">
        <f>'Pickup Fee'!D28</f>
        <v>0</v>
      </c>
      <c r="P638" s="358">
        <f>'Pickup Fee'!E28</f>
        <v>12</v>
      </c>
      <c r="R638" s="358">
        <f>'Pickup Fee'!F28</f>
        <v>0</v>
      </c>
      <c r="S638" s="361"/>
      <c r="T638" s="358">
        <f>'Pickup Fee'!G28</f>
        <v>12</v>
      </c>
      <c r="V638" s="358">
        <f>'Pickup Fee'!H28</f>
        <v>0</v>
      </c>
      <c r="W638" s="358">
        <f>'Pickup Fee'!I28</f>
        <v>0</v>
      </c>
      <c r="X638" s="358">
        <f>'Pickup Fee'!J28</f>
        <v>0</v>
      </c>
      <c r="Y638" s="358">
        <f>'Pickup Fee'!K28</f>
        <v>0</v>
      </c>
    </row>
    <row r="639" spans="1:25" x14ac:dyDescent="0.35">
      <c r="A639">
        <v>638</v>
      </c>
      <c r="B639" t="s">
        <v>1350</v>
      </c>
      <c r="C639" t="s">
        <v>946</v>
      </c>
      <c r="D639" t="s">
        <v>1788</v>
      </c>
      <c r="E639" t="s">
        <v>1811</v>
      </c>
      <c r="F639" t="s">
        <v>1778</v>
      </c>
      <c r="G639" t="s">
        <v>1778</v>
      </c>
      <c r="H639" s="358">
        <f>'Pickup Fee'!$B$28</f>
        <v>12</v>
      </c>
      <c r="I639" s="358">
        <v>0</v>
      </c>
      <c r="J639" s="358">
        <v>0</v>
      </c>
      <c r="K639" s="358">
        <v>0</v>
      </c>
      <c r="L639" s="358">
        <f>'Pickup Fee'!$B$28</f>
        <v>12</v>
      </c>
      <c r="M639" s="358">
        <v>0</v>
      </c>
      <c r="N639" s="361">
        <f>'Pickup Fee'!L28</f>
        <v>0</v>
      </c>
      <c r="O639" s="361">
        <f>'Pickup Fee'!M28</f>
        <v>0</v>
      </c>
      <c r="P639" s="358">
        <f>'Pickup Fee'!N28</f>
        <v>12</v>
      </c>
      <c r="R639" s="358">
        <f>'Pickup Fee'!O28</f>
        <v>0</v>
      </c>
      <c r="S639" s="361"/>
      <c r="T639" s="358">
        <f>'Pickup Fee'!P28</f>
        <v>12</v>
      </c>
      <c r="V639" s="358">
        <f>'Pickup Fee'!Q28</f>
        <v>0</v>
      </c>
      <c r="W639" s="358">
        <f>'Pickup Fee'!R28</f>
        <v>0</v>
      </c>
      <c r="X639" s="358">
        <f>'Pickup Fee'!S28</f>
        <v>0</v>
      </c>
      <c r="Y639" s="358">
        <f>'Pickup Fee'!T28</f>
        <v>0</v>
      </c>
    </row>
    <row r="640" spans="1:25" x14ac:dyDescent="0.35">
      <c r="A640">
        <v>639</v>
      </c>
      <c r="B640" t="s">
        <v>1351</v>
      </c>
      <c r="C640" t="s">
        <v>946</v>
      </c>
      <c r="D640" t="s">
        <v>1788</v>
      </c>
      <c r="E640" t="s">
        <v>1811</v>
      </c>
      <c r="F640" t="s">
        <v>1778</v>
      </c>
      <c r="G640" t="s">
        <v>1778</v>
      </c>
      <c r="H640" s="358">
        <f>'Pickup Fee'!$B$28</f>
        <v>12</v>
      </c>
      <c r="I640" s="358">
        <v>0</v>
      </c>
      <c r="J640" s="358">
        <v>0</v>
      </c>
      <c r="K640" s="358">
        <v>0</v>
      </c>
      <c r="L640" s="358">
        <f>'Pickup Fee'!$B$28</f>
        <v>12</v>
      </c>
      <c r="M640" s="358">
        <v>0</v>
      </c>
      <c r="N640" s="361">
        <f>'Pickup Fee'!U28</f>
        <v>0</v>
      </c>
      <c r="O640" s="361">
        <f>'Pickup Fee'!V28</f>
        <v>0</v>
      </c>
      <c r="P640" s="358">
        <f>'Pickup Fee'!W28</f>
        <v>12</v>
      </c>
      <c r="R640" s="358">
        <f>'Pickup Fee'!X28</f>
        <v>0</v>
      </c>
      <c r="S640" s="361"/>
      <c r="T640" s="358">
        <f>'Pickup Fee'!Y28</f>
        <v>12</v>
      </c>
      <c r="V640" s="358">
        <f>'Pickup Fee'!Z28</f>
        <v>0</v>
      </c>
      <c r="W640" s="358">
        <f>'Pickup Fee'!AA28</f>
        <v>0</v>
      </c>
      <c r="X640" s="358">
        <f>'Pickup Fee'!AB28</f>
        <v>0</v>
      </c>
      <c r="Y640" s="358">
        <f>'Pickup Fee'!AC28</f>
        <v>0</v>
      </c>
    </row>
    <row r="641" spans="1:25" x14ac:dyDescent="0.35">
      <c r="A641">
        <v>640</v>
      </c>
      <c r="B641" t="s">
        <v>1341</v>
      </c>
      <c r="C641" t="s">
        <v>946</v>
      </c>
      <c r="D641" t="s">
        <v>1788</v>
      </c>
      <c r="E641" t="s">
        <v>1811</v>
      </c>
      <c r="F641" t="s">
        <v>1779</v>
      </c>
      <c r="G641" t="s">
        <v>1779</v>
      </c>
      <c r="H641" s="358">
        <f>'Pickup Fee'!$B$29</f>
        <v>7.95</v>
      </c>
      <c r="I641" s="358">
        <v>0</v>
      </c>
      <c r="J641" s="358">
        <v>0</v>
      </c>
      <c r="K641" s="358">
        <v>0</v>
      </c>
      <c r="L641" s="358">
        <f>'Pickup Fee'!$B$29</f>
        <v>7.95</v>
      </c>
      <c r="M641" s="358">
        <v>0</v>
      </c>
      <c r="N641" s="361">
        <f>'Pickup Fee'!C29</f>
        <v>0</v>
      </c>
      <c r="O641" s="361">
        <f>'Pickup Fee'!D29</f>
        <v>0</v>
      </c>
      <c r="P641" s="358">
        <f>'Pickup Fee'!E29</f>
        <v>7.95</v>
      </c>
      <c r="R641" s="358">
        <f>'Pickup Fee'!F29</f>
        <v>0</v>
      </c>
      <c r="S641" s="361"/>
      <c r="T641" s="358">
        <f>'Pickup Fee'!G29</f>
        <v>7.95</v>
      </c>
      <c r="V641" s="358">
        <f>'Pickup Fee'!H29</f>
        <v>0</v>
      </c>
      <c r="W641" s="358">
        <f>'Pickup Fee'!I29</f>
        <v>0</v>
      </c>
      <c r="X641" s="358">
        <f>'Pickup Fee'!J29</f>
        <v>0</v>
      </c>
      <c r="Y641" s="358">
        <f>'Pickup Fee'!K29</f>
        <v>0</v>
      </c>
    </row>
    <row r="642" spans="1:25" x14ac:dyDescent="0.35">
      <c r="A642">
        <v>641</v>
      </c>
      <c r="B642" t="s">
        <v>1350</v>
      </c>
      <c r="C642" t="s">
        <v>946</v>
      </c>
      <c r="D642" t="s">
        <v>1788</v>
      </c>
      <c r="E642" t="s">
        <v>1811</v>
      </c>
      <c r="F642" t="s">
        <v>1779</v>
      </c>
      <c r="G642" t="s">
        <v>1779</v>
      </c>
      <c r="H642" s="358">
        <f>'Pickup Fee'!$B$29</f>
        <v>7.95</v>
      </c>
      <c r="I642" s="358">
        <v>0</v>
      </c>
      <c r="J642" s="358">
        <v>0</v>
      </c>
      <c r="K642" s="358">
        <v>0</v>
      </c>
      <c r="L642" s="358">
        <f>'Pickup Fee'!$B$29</f>
        <v>7.95</v>
      </c>
      <c r="M642" s="358">
        <v>0</v>
      </c>
      <c r="N642" s="361">
        <f>'Pickup Fee'!L29</f>
        <v>0</v>
      </c>
      <c r="O642" s="361">
        <f>'Pickup Fee'!M29</f>
        <v>0</v>
      </c>
      <c r="P642" s="358">
        <f>'Pickup Fee'!N29</f>
        <v>7.95</v>
      </c>
      <c r="R642" s="358">
        <f>'Pickup Fee'!O29</f>
        <v>0</v>
      </c>
      <c r="S642" s="361"/>
      <c r="T642" s="358">
        <f>'Pickup Fee'!P29</f>
        <v>7.95</v>
      </c>
      <c r="V642" s="358">
        <f>'Pickup Fee'!Q29</f>
        <v>0</v>
      </c>
      <c r="W642" s="358">
        <f>'Pickup Fee'!R29</f>
        <v>0</v>
      </c>
      <c r="X642" s="358">
        <f>'Pickup Fee'!S29</f>
        <v>0</v>
      </c>
      <c r="Y642" s="358">
        <f>'Pickup Fee'!T29</f>
        <v>0</v>
      </c>
    </row>
    <row r="643" spans="1:25" x14ac:dyDescent="0.35">
      <c r="A643">
        <v>642</v>
      </c>
      <c r="B643" t="s">
        <v>1351</v>
      </c>
      <c r="C643" t="s">
        <v>946</v>
      </c>
      <c r="D643" t="s">
        <v>1788</v>
      </c>
      <c r="E643" t="s">
        <v>1811</v>
      </c>
      <c r="F643" t="s">
        <v>1779</v>
      </c>
      <c r="G643" t="s">
        <v>1779</v>
      </c>
      <c r="H643" s="358">
        <f>'Pickup Fee'!$B$29</f>
        <v>7.95</v>
      </c>
      <c r="I643" s="358">
        <v>0</v>
      </c>
      <c r="J643" s="358">
        <v>0</v>
      </c>
      <c r="K643" s="358">
        <v>0</v>
      </c>
      <c r="L643" s="358">
        <f>'Pickup Fee'!$B$29</f>
        <v>7.95</v>
      </c>
      <c r="M643" s="358">
        <v>0</v>
      </c>
      <c r="N643" s="361">
        <f>'Pickup Fee'!U29</f>
        <v>0</v>
      </c>
      <c r="O643" s="361">
        <f>'Pickup Fee'!V29</f>
        <v>0</v>
      </c>
      <c r="P643" s="358">
        <f>'Pickup Fee'!W29</f>
        <v>7.95</v>
      </c>
      <c r="R643" s="358">
        <f>'Pickup Fee'!X29</f>
        <v>0</v>
      </c>
      <c r="S643" s="361"/>
      <c r="T643" s="358">
        <f>'Pickup Fee'!Y29</f>
        <v>7.95</v>
      </c>
      <c r="V643" s="358">
        <f>'Pickup Fee'!Z29</f>
        <v>0</v>
      </c>
      <c r="W643" s="358">
        <f>'Pickup Fee'!AA29</f>
        <v>0</v>
      </c>
      <c r="X643" s="358">
        <f>'Pickup Fee'!AB29</f>
        <v>0</v>
      </c>
      <c r="Y643" s="358">
        <f>'Pickup Fee'!AC29</f>
        <v>0</v>
      </c>
    </row>
    <row r="644" spans="1:25" x14ac:dyDescent="0.35">
      <c r="A644">
        <v>643</v>
      </c>
      <c r="B644" t="s">
        <v>1341</v>
      </c>
      <c r="C644" t="s">
        <v>946</v>
      </c>
      <c r="D644" t="s">
        <v>1788</v>
      </c>
      <c r="E644" t="s">
        <v>1811</v>
      </c>
      <c r="F644" t="s">
        <v>1780</v>
      </c>
      <c r="G644" t="s">
        <v>1780</v>
      </c>
      <c r="H644" s="358">
        <f>'Pickup Fee'!$B$30</f>
        <v>7.95</v>
      </c>
      <c r="I644" s="358">
        <v>0</v>
      </c>
      <c r="J644" s="358">
        <v>0</v>
      </c>
      <c r="K644" s="358">
        <v>0</v>
      </c>
      <c r="L644" s="358">
        <f>'Pickup Fee'!$B$30</f>
        <v>7.95</v>
      </c>
      <c r="M644" s="358">
        <v>0</v>
      </c>
      <c r="N644" s="361">
        <f>'Pickup Fee'!C30</f>
        <v>0</v>
      </c>
      <c r="O644" s="361">
        <f>'Pickup Fee'!D30</f>
        <v>0</v>
      </c>
      <c r="P644" s="358">
        <f>'Pickup Fee'!E30</f>
        <v>7.95</v>
      </c>
      <c r="R644" s="358">
        <f>'Pickup Fee'!F30</f>
        <v>0</v>
      </c>
      <c r="S644" s="361"/>
      <c r="T644" s="358">
        <f>'Pickup Fee'!G30</f>
        <v>7.95</v>
      </c>
      <c r="V644" s="358">
        <f>'Pickup Fee'!H30</f>
        <v>0</v>
      </c>
      <c r="W644" s="358">
        <f>'Pickup Fee'!I30</f>
        <v>0</v>
      </c>
      <c r="X644" s="358">
        <f>'Pickup Fee'!J30</f>
        <v>0</v>
      </c>
      <c r="Y644" s="358">
        <f>'Pickup Fee'!K30</f>
        <v>0</v>
      </c>
    </row>
    <row r="645" spans="1:25" x14ac:dyDescent="0.35">
      <c r="A645">
        <v>644</v>
      </c>
      <c r="B645" t="s">
        <v>1350</v>
      </c>
      <c r="C645" t="s">
        <v>946</v>
      </c>
      <c r="D645" t="s">
        <v>1788</v>
      </c>
      <c r="E645" t="s">
        <v>1811</v>
      </c>
      <c r="F645" t="s">
        <v>1780</v>
      </c>
      <c r="G645" t="s">
        <v>1780</v>
      </c>
      <c r="H645" s="358">
        <f>'Pickup Fee'!$B$30</f>
        <v>7.95</v>
      </c>
      <c r="I645" s="358">
        <v>0</v>
      </c>
      <c r="J645" s="358">
        <v>0</v>
      </c>
      <c r="K645" s="358">
        <v>0</v>
      </c>
      <c r="L645" s="358">
        <f>'Pickup Fee'!$B$30</f>
        <v>7.95</v>
      </c>
      <c r="M645" s="358">
        <v>0</v>
      </c>
      <c r="N645" s="361">
        <f>'Pickup Fee'!L30</f>
        <v>0</v>
      </c>
      <c r="O645" s="361">
        <f>'Pickup Fee'!M30</f>
        <v>0</v>
      </c>
      <c r="P645" s="358">
        <f>'Pickup Fee'!N30</f>
        <v>7.95</v>
      </c>
      <c r="R645" s="358">
        <f>'Pickup Fee'!O30</f>
        <v>0</v>
      </c>
      <c r="S645" s="361"/>
      <c r="T645" s="358">
        <f>'Pickup Fee'!P30</f>
        <v>7.95</v>
      </c>
      <c r="V645" s="358">
        <f>'Pickup Fee'!Q30</f>
        <v>0</v>
      </c>
      <c r="W645" s="358">
        <f>'Pickup Fee'!R30</f>
        <v>0</v>
      </c>
      <c r="X645" s="358">
        <f>'Pickup Fee'!S30</f>
        <v>0</v>
      </c>
      <c r="Y645" s="358">
        <f>'Pickup Fee'!T30</f>
        <v>0</v>
      </c>
    </row>
    <row r="646" spans="1:25" x14ac:dyDescent="0.35">
      <c r="A646">
        <v>645</v>
      </c>
      <c r="B646" t="s">
        <v>1351</v>
      </c>
      <c r="C646" t="s">
        <v>946</v>
      </c>
      <c r="D646" t="s">
        <v>1788</v>
      </c>
      <c r="E646" t="s">
        <v>1811</v>
      </c>
      <c r="F646" t="s">
        <v>1780</v>
      </c>
      <c r="G646" t="s">
        <v>1780</v>
      </c>
      <c r="H646" s="358">
        <f>'Pickup Fee'!$B$30</f>
        <v>7.95</v>
      </c>
      <c r="I646" s="358">
        <v>0</v>
      </c>
      <c r="J646" s="358">
        <v>0</v>
      </c>
      <c r="K646" s="358">
        <v>0</v>
      </c>
      <c r="L646" s="358">
        <f>'Pickup Fee'!$B$30</f>
        <v>7.95</v>
      </c>
      <c r="M646" s="358">
        <v>0</v>
      </c>
      <c r="N646" s="361">
        <f>'Pickup Fee'!U30</f>
        <v>0</v>
      </c>
      <c r="O646" s="361">
        <f>'Pickup Fee'!V30</f>
        <v>0</v>
      </c>
      <c r="P646" s="358">
        <f>'Pickup Fee'!W30</f>
        <v>7.95</v>
      </c>
      <c r="R646" s="358">
        <f>'Pickup Fee'!X30</f>
        <v>0</v>
      </c>
      <c r="S646" s="361"/>
      <c r="T646" s="358">
        <f>'Pickup Fee'!Y30</f>
        <v>7.95</v>
      </c>
      <c r="V646" s="358">
        <f>'Pickup Fee'!Z30</f>
        <v>0</v>
      </c>
      <c r="W646" s="358">
        <f>'Pickup Fee'!AA30</f>
        <v>0</v>
      </c>
      <c r="X646" s="358">
        <f>'Pickup Fee'!AB30</f>
        <v>0</v>
      </c>
      <c r="Y646" s="358">
        <f>'Pickup Fee'!AC30</f>
        <v>0</v>
      </c>
    </row>
    <row r="647" spans="1:25" x14ac:dyDescent="0.35">
      <c r="A647">
        <v>646</v>
      </c>
      <c r="B647" t="s">
        <v>1341</v>
      </c>
      <c r="C647" t="s">
        <v>946</v>
      </c>
      <c r="D647" t="s">
        <v>1788</v>
      </c>
      <c r="E647" t="s">
        <v>1811</v>
      </c>
      <c r="F647" t="s">
        <v>1781</v>
      </c>
      <c r="G647" t="s">
        <v>1781</v>
      </c>
      <c r="H647" s="358">
        <f>'Pickup Fee'!$B$31</f>
        <v>0</v>
      </c>
      <c r="I647" s="358">
        <v>0</v>
      </c>
      <c r="J647" s="358">
        <v>0</v>
      </c>
      <c r="K647" s="358">
        <v>0</v>
      </c>
      <c r="L647" s="358">
        <f>'Pickup Fee'!$B$31</f>
        <v>0</v>
      </c>
      <c r="M647" s="358">
        <v>0</v>
      </c>
      <c r="N647" s="361">
        <f>'Pickup Fee'!C31</f>
        <v>0</v>
      </c>
      <c r="O647" s="361">
        <f>'Pickup Fee'!D31</f>
        <v>0</v>
      </c>
      <c r="P647" s="358">
        <f>'Pickup Fee'!E31</f>
        <v>0</v>
      </c>
      <c r="R647" s="358">
        <f>'Pickup Fee'!F31</f>
        <v>0</v>
      </c>
      <c r="S647" s="361"/>
      <c r="T647" s="358">
        <f>'Pickup Fee'!G31</f>
        <v>0</v>
      </c>
      <c r="V647" s="358">
        <f>'Pickup Fee'!H31</f>
        <v>0</v>
      </c>
      <c r="W647" s="358">
        <f>'Pickup Fee'!I31</f>
        <v>0</v>
      </c>
      <c r="X647" s="358">
        <f>'Pickup Fee'!J31</f>
        <v>0</v>
      </c>
      <c r="Y647" s="358">
        <f>'Pickup Fee'!K31</f>
        <v>0</v>
      </c>
    </row>
    <row r="648" spans="1:25" x14ac:dyDescent="0.35">
      <c r="A648">
        <v>647</v>
      </c>
      <c r="B648" t="s">
        <v>1350</v>
      </c>
      <c r="C648" t="s">
        <v>946</v>
      </c>
      <c r="D648" t="s">
        <v>1788</v>
      </c>
      <c r="E648" t="s">
        <v>1811</v>
      </c>
      <c r="F648" t="s">
        <v>1781</v>
      </c>
      <c r="G648" t="s">
        <v>1781</v>
      </c>
      <c r="H648" s="358">
        <f>'Pickup Fee'!$B$31</f>
        <v>0</v>
      </c>
      <c r="I648" s="358">
        <v>0</v>
      </c>
      <c r="J648" s="358">
        <v>0</v>
      </c>
      <c r="K648" s="358">
        <v>0</v>
      </c>
      <c r="L648" s="358">
        <f>'Pickup Fee'!$B$31</f>
        <v>0</v>
      </c>
      <c r="M648" s="358">
        <v>0</v>
      </c>
      <c r="N648" s="361">
        <f>'Pickup Fee'!L31</f>
        <v>0</v>
      </c>
      <c r="O648" s="361">
        <f>'Pickup Fee'!M31</f>
        <v>0</v>
      </c>
      <c r="P648" s="358">
        <f>'Pickup Fee'!N31</f>
        <v>0</v>
      </c>
      <c r="R648" s="358">
        <f>'Pickup Fee'!O31</f>
        <v>0</v>
      </c>
      <c r="S648" s="361"/>
      <c r="T648" s="358">
        <f>'Pickup Fee'!P31</f>
        <v>0</v>
      </c>
      <c r="V648" s="358">
        <f>'Pickup Fee'!Q31</f>
        <v>0</v>
      </c>
      <c r="W648" s="358">
        <f>'Pickup Fee'!R31</f>
        <v>0</v>
      </c>
      <c r="X648" s="358">
        <f>'Pickup Fee'!S31</f>
        <v>0</v>
      </c>
      <c r="Y648" s="358">
        <f>'Pickup Fee'!T31</f>
        <v>0</v>
      </c>
    </row>
    <row r="649" spans="1:25" x14ac:dyDescent="0.35">
      <c r="A649">
        <v>648</v>
      </c>
      <c r="B649" t="s">
        <v>1351</v>
      </c>
      <c r="C649" t="s">
        <v>946</v>
      </c>
      <c r="D649" t="s">
        <v>1788</v>
      </c>
      <c r="E649" t="s">
        <v>1811</v>
      </c>
      <c r="F649" t="s">
        <v>1781</v>
      </c>
      <c r="G649" t="s">
        <v>1781</v>
      </c>
      <c r="H649" s="358">
        <f>'Pickup Fee'!$B$31</f>
        <v>0</v>
      </c>
      <c r="I649" s="358">
        <v>0</v>
      </c>
      <c r="J649" s="358">
        <v>0</v>
      </c>
      <c r="K649" s="358">
        <v>0</v>
      </c>
      <c r="L649" s="358">
        <f>'Pickup Fee'!$B$31</f>
        <v>0</v>
      </c>
      <c r="M649" s="358">
        <v>0</v>
      </c>
      <c r="N649" s="361">
        <f>'Pickup Fee'!U31</f>
        <v>0</v>
      </c>
      <c r="O649" s="361">
        <f>'Pickup Fee'!V31</f>
        <v>0</v>
      </c>
      <c r="P649" s="358">
        <f>'Pickup Fee'!W31</f>
        <v>0</v>
      </c>
      <c r="R649" s="358">
        <f>'Pickup Fee'!X31</f>
        <v>0</v>
      </c>
      <c r="S649" s="361"/>
      <c r="T649" s="358">
        <f>'Pickup Fee'!Y31</f>
        <v>0</v>
      </c>
      <c r="V649" s="358">
        <f>'Pickup Fee'!Z31</f>
        <v>0</v>
      </c>
      <c r="W649" s="358">
        <f>'Pickup Fee'!AA31</f>
        <v>0</v>
      </c>
      <c r="X649" s="358">
        <f>'Pickup Fee'!AB31</f>
        <v>0</v>
      </c>
      <c r="Y649" s="358">
        <f>'Pickup Fee'!AC31</f>
        <v>0</v>
      </c>
    </row>
    <row r="650" spans="1:25" x14ac:dyDescent="0.35">
      <c r="A650">
        <v>649</v>
      </c>
      <c r="B650" t="s">
        <v>1341</v>
      </c>
      <c r="C650" t="s">
        <v>953</v>
      </c>
      <c r="D650" t="s">
        <v>14</v>
      </c>
      <c r="E650" t="s">
        <v>1824</v>
      </c>
      <c r="F650" t="s">
        <v>1827</v>
      </c>
      <c r="G650" t="s">
        <v>1827</v>
      </c>
      <c r="H650" s="358">
        <v>3.5</v>
      </c>
      <c r="J650" s="358">
        <f>L650-H650</f>
        <v>0</v>
      </c>
      <c r="L650" s="358">
        <f>'Clearance Fee'!B6</f>
        <v>3.5</v>
      </c>
      <c r="N650" s="361">
        <f>'Clearance Fee'!C6</f>
        <v>0</v>
      </c>
      <c r="O650" s="361">
        <f>'Clearance Fee'!D6</f>
        <v>0</v>
      </c>
      <c r="P650" s="358">
        <f>'Clearance Fee'!E6</f>
        <v>3.5</v>
      </c>
      <c r="R650" s="358">
        <f>'Clearance Fee'!F6</f>
        <v>0</v>
      </c>
      <c r="T650" s="358">
        <f>'Clearance Fee'!G6</f>
        <v>3.5</v>
      </c>
      <c r="V650" s="365">
        <f>'Clearance Fee'!H6</f>
        <v>0</v>
      </c>
      <c r="W650" s="358">
        <f>'Clearance Fee'!I6</f>
        <v>0</v>
      </c>
      <c r="X650" s="358">
        <f>'Clearance Fee'!J6</f>
        <v>0</v>
      </c>
      <c r="Y650" s="358">
        <f>'Clearance Fee'!K6</f>
        <v>0</v>
      </c>
    </row>
    <row r="651" spans="1:25" x14ac:dyDescent="0.35">
      <c r="A651">
        <v>650</v>
      </c>
      <c r="B651" t="s">
        <v>1341</v>
      </c>
      <c r="C651" t="s">
        <v>953</v>
      </c>
      <c r="D651" t="s">
        <v>14</v>
      </c>
      <c r="E651" t="s">
        <v>1824</v>
      </c>
      <c r="F651" t="s">
        <v>1828</v>
      </c>
      <c r="G651" t="s">
        <v>1828</v>
      </c>
      <c r="H651" s="358">
        <v>0</v>
      </c>
      <c r="J651" s="358">
        <f t="shared" ref="J651:J714" si="0">L651-H651</f>
        <v>0</v>
      </c>
      <c r="L651" s="358">
        <f>'Clearance Fee'!B7</f>
        <v>0</v>
      </c>
      <c r="N651" s="361">
        <f>'Clearance Fee'!C7</f>
        <v>0</v>
      </c>
      <c r="O651" s="361">
        <f>'Clearance Fee'!D7</f>
        <v>0</v>
      </c>
      <c r="P651" s="358">
        <f>'Clearance Fee'!E7</f>
        <v>0</v>
      </c>
      <c r="R651" s="358">
        <f>'Clearance Fee'!F7</f>
        <v>0</v>
      </c>
      <c r="T651" s="358">
        <f>'Clearance Fee'!G7</f>
        <v>0</v>
      </c>
      <c r="V651" s="365">
        <f>'Clearance Fee'!H7</f>
        <v>0</v>
      </c>
      <c r="W651" s="358">
        <f>'Clearance Fee'!I7</f>
        <v>0</v>
      </c>
      <c r="X651" s="358">
        <f>'Clearance Fee'!J7</f>
        <v>0</v>
      </c>
      <c r="Y651" s="358">
        <f>'Clearance Fee'!K7</f>
        <v>0</v>
      </c>
    </row>
    <row r="652" spans="1:25" x14ac:dyDescent="0.35">
      <c r="A652">
        <v>651</v>
      </c>
      <c r="B652" t="s">
        <v>1341</v>
      </c>
      <c r="C652" t="s">
        <v>953</v>
      </c>
      <c r="D652" t="s">
        <v>14</v>
      </c>
      <c r="E652" t="s">
        <v>1824</v>
      </c>
      <c r="F652" t="s">
        <v>1829</v>
      </c>
      <c r="G652" t="s">
        <v>1829</v>
      </c>
      <c r="H652" s="358">
        <v>51</v>
      </c>
      <c r="J652" s="358">
        <f t="shared" si="0"/>
        <v>0</v>
      </c>
      <c r="L652" s="358">
        <f>'Clearance Fee'!B8</f>
        <v>51</v>
      </c>
      <c r="N652" s="361">
        <f>'Clearance Fee'!C8</f>
        <v>0</v>
      </c>
      <c r="O652" s="361">
        <f>'Clearance Fee'!D8</f>
        <v>0</v>
      </c>
      <c r="P652" s="358">
        <f>'Clearance Fee'!E8</f>
        <v>51</v>
      </c>
      <c r="R652" s="358">
        <f>'Clearance Fee'!F8</f>
        <v>0</v>
      </c>
      <c r="T652" s="358">
        <f>'Clearance Fee'!G8</f>
        <v>51</v>
      </c>
      <c r="V652" s="365">
        <f>'Clearance Fee'!H8</f>
        <v>0</v>
      </c>
      <c r="W652" s="358">
        <f>'Clearance Fee'!I8</f>
        <v>0</v>
      </c>
      <c r="X652" s="358">
        <f>'Clearance Fee'!J8</f>
        <v>0</v>
      </c>
      <c r="Y652" s="358">
        <f>'Clearance Fee'!K8</f>
        <v>0</v>
      </c>
    </row>
    <row r="653" spans="1:25" x14ac:dyDescent="0.35">
      <c r="A653">
        <v>652</v>
      </c>
      <c r="B653" t="s">
        <v>1341</v>
      </c>
      <c r="C653" t="s">
        <v>953</v>
      </c>
      <c r="D653" t="s">
        <v>14</v>
      </c>
      <c r="E653" t="s">
        <v>1824</v>
      </c>
      <c r="F653" t="s">
        <v>1830</v>
      </c>
      <c r="G653" t="s">
        <v>1830</v>
      </c>
      <c r="H653" s="358">
        <v>90</v>
      </c>
      <c r="J653" s="358">
        <f t="shared" si="0"/>
        <v>0</v>
      </c>
      <c r="L653" s="358">
        <f>'Clearance Fee'!B9</f>
        <v>90</v>
      </c>
      <c r="N653" s="361">
        <f>'Clearance Fee'!C9</f>
        <v>0</v>
      </c>
      <c r="O653" s="361">
        <f>'Clearance Fee'!D9</f>
        <v>0</v>
      </c>
      <c r="P653" s="358">
        <f>'Clearance Fee'!E9</f>
        <v>90</v>
      </c>
      <c r="R653" s="358">
        <f>'Clearance Fee'!F9</f>
        <v>0</v>
      </c>
      <c r="T653" s="358">
        <f>'Clearance Fee'!G9</f>
        <v>90</v>
      </c>
      <c r="V653" s="365">
        <f>'Clearance Fee'!H9</f>
        <v>0</v>
      </c>
      <c r="W653" s="358">
        <f>'Clearance Fee'!I9</f>
        <v>0</v>
      </c>
      <c r="X653" s="358">
        <f>'Clearance Fee'!J9</f>
        <v>0</v>
      </c>
      <c r="Y653" s="358">
        <f>'Clearance Fee'!K9</f>
        <v>0</v>
      </c>
    </row>
    <row r="654" spans="1:25" x14ac:dyDescent="0.35">
      <c r="A654">
        <v>653</v>
      </c>
      <c r="B654" t="s">
        <v>1341</v>
      </c>
      <c r="C654" t="s">
        <v>953</v>
      </c>
      <c r="D654" t="s">
        <v>14</v>
      </c>
      <c r="E654" t="s">
        <v>1824</v>
      </c>
      <c r="F654" t="s">
        <v>1831</v>
      </c>
      <c r="G654" t="s">
        <v>1831</v>
      </c>
      <c r="H654" s="358">
        <v>0</v>
      </c>
      <c r="J654" s="358">
        <f t="shared" si="0"/>
        <v>0</v>
      </c>
      <c r="L654" s="358">
        <f>'Clearance Fee'!B10</f>
        <v>0</v>
      </c>
      <c r="N654" s="361">
        <f>'Clearance Fee'!C10</f>
        <v>0</v>
      </c>
      <c r="O654" s="361">
        <f>'Clearance Fee'!D10</f>
        <v>0</v>
      </c>
      <c r="P654" s="358">
        <f>'Clearance Fee'!E10</f>
        <v>0</v>
      </c>
      <c r="R654" s="358">
        <f>'Clearance Fee'!F10</f>
        <v>0</v>
      </c>
      <c r="T654" s="358">
        <f>'Clearance Fee'!G10</f>
        <v>0</v>
      </c>
      <c r="V654" s="365">
        <f>'Clearance Fee'!H10</f>
        <v>0</v>
      </c>
      <c r="W654" s="358">
        <f>'Clearance Fee'!I10</f>
        <v>0</v>
      </c>
      <c r="X654" s="358">
        <f>'Clearance Fee'!J10</f>
        <v>0</v>
      </c>
      <c r="Y654" s="358">
        <f>'Clearance Fee'!K10</f>
        <v>0</v>
      </c>
    </row>
    <row r="655" spans="1:25" x14ac:dyDescent="0.35">
      <c r="A655">
        <v>654</v>
      </c>
      <c r="B655" t="s">
        <v>1341</v>
      </c>
      <c r="C655" t="s">
        <v>953</v>
      </c>
      <c r="D655" t="s">
        <v>14</v>
      </c>
      <c r="E655" t="s">
        <v>1824</v>
      </c>
      <c r="F655" t="s">
        <v>1832</v>
      </c>
      <c r="G655" t="s">
        <v>1832</v>
      </c>
      <c r="H655" s="358">
        <v>2.1</v>
      </c>
      <c r="J655" s="358">
        <f t="shared" si="0"/>
        <v>0</v>
      </c>
      <c r="L655" s="358">
        <f>'Clearance Fee'!B11</f>
        <v>2.1</v>
      </c>
      <c r="N655" s="361">
        <f>'Clearance Fee'!C11</f>
        <v>0</v>
      </c>
      <c r="O655" s="361">
        <f>'Clearance Fee'!D11</f>
        <v>0</v>
      </c>
      <c r="P655" s="358">
        <f>'Clearance Fee'!E11</f>
        <v>2.1</v>
      </c>
      <c r="R655" s="358">
        <f>'Clearance Fee'!F11</f>
        <v>0</v>
      </c>
      <c r="T655" s="358">
        <f>'Clearance Fee'!G11</f>
        <v>2.1</v>
      </c>
      <c r="V655" s="365">
        <f>'Clearance Fee'!H11</f>
        <v>0</v>
      </c>
      <c r="W655" s="358">
        <f>'Clearance Fee'!I11</f>
        <v>0</v>
      </c>
      <c r="X655" s="358">
        <f>'Clearance Fee'!J11</f>
        <v>0</v>
      </c>
      <c r="Y655" s="358">
        <f>'Clearance Fee'!K11</f>
        <v>0</v>
      </c>
    </row>
    <row r="656" spans="1:25" x14ac:dyDescent="0.35">
      <c r="A656">
        <v>655</v>
      </c>
      <c r="B656" t="s">
        <v>1341</v>
      </c>
      <c r="C656" t="s">
        <v>953</v>
      </c>
      <c r="D656" t="s">
        <v>14</v>
      </c>
      <c r="E656" t="s">
        <v>1824</v>
      </c>
      <c r="F656" t="s">
        <v>1833</v>
      </c>
      <c r="G656" t="s">
        <v>1833</v>
      </c>
      <c r="H656" s="358">
        <v>53</v>
      </c>
      <c r="J656" s="358">
        <f t="shared" si="0"/>
        <v>0</v>
      </c>
      <c r="L656" s="358">
        <f>'Clearance Fee'!B12</f>
        <v>53</v>
      </c>
      <c r="N656" s="361">
        <f>'Clearance Fee'!C12</f>
        <v>0</v>
      </c>
      <c r="O656" s="361">
        <f>'Clearance Fee'!D12</f>
        <v>0</v>
      </c>
      <c r="P656" s="358">
        <f>'Clearance Fee'!E12</f>
        <v>53</v>
      </c>
      <c r="R656" s="358">
        <f>'Clearance Fee'!F12</f>
        <v>0</v>
      </c>
      <c r="T656" s="358">
        <f>'Clearance Fee'!G12</f>
        <v>53</v>
      </c>
      <c r="V656" s="365">
        <f>'Clearance Fee'!H12</f>
        <v>0</v>
      </c>
      <c r="W656" s="358">
        <f>'Clearance Fee'!I12</f>
        <v>0</v>
      </c>
      <c r="X656" s="358">
        <f>'Clearance Fee'!J12</f>
        <v>0</v>
      </c>
      <c r="Y656" s="358">
        <f>'Clearance Fee'!K12</f>
        <v>0</v>
      </c>
    </row>
    <row r="657" spans="1:25" x14ac:dyDescent="0.35">
      <c r="A657">
        <v>656</v>
      </c>
      <c r="B657" t="s">
        <v>1341</v>
      </c>
      <c r="C657" t="s">
        <v>953</v>
      </c>
      <c r="D657" t="s">
        <v>14</v>
      </c>
      <c r="E657" t="s">
        <v>1824</v>
      </c>
      <c r="F657" t="s">
        <v>1834</v>
      </c>
      <c r="G657" t="s">
        <v>1834</v>
      </c>
      <c r="H657" s="358">
        <v>27</v>
      </c>
      <c r="J657" s="358">
        <f t="shared" si="0"/>
        <v>0</v>
      </c>
      <c r="L657" s="358">
        <f>'Clearance Fee'!B13</f>
        <v>27</v>
      </c>
      <c r="N657" s="361">
        <f>'Clearance Fee'!C13</f>
        <v>0</v>
      </c>
      <c r="O657" s="361">
        <f>'Clearance Fee'!D13</f>
        <v>0</v>
      </c>
      <c r="P657" s="358">
        <f>'Clearance Fee'!E13</f>
        <v>27</v>
      </c>
      <c r="R657" s="358">
        <f>'Clearance Fee'!F13</f>
        <v>0</v>
      </c>
      <c r="T657" s="358">
        <f>'Clearance Fee'!G13</f>
        <v>27</v>
      </c>
      <c r="V657" s="365">
        <f>'Clearance Fee'!H13</f>
        <v>0</v>
      </c>
      <c r="W657" s="358">
        <f>'Clearance Fee'!I13</f>
        <v>0</v>
      </c>
      <c r="X657" s="358">
        <f>'Clearance Fee'!J13</f>
        <v>0</v>
      </c>
      <c r="Y657" s="358">
        <f>'Clearance Fee'!K13</f>
        <v>0</v>
      </c>
    </row>
    <row r="658" spans="1:25" x14ac:dyDescent="0.35">
      <c r="A658">
        <v>657</v>
      </c>
      <c r="B658" t="s">
        <v>1341</v>
      </c>
      <c r="C658" t="s">
        <v>953</v>
      </c>
      <c r="D658" t="s">
        <v>14</v>
      </c>
      <c r="E658" t="s">
        <v>1824</v>
      </c>
      <c r="F658" t="s">
        <v>1835</v>
      </c>
      <c r="G658" t="s">
        <v>1835</v>
      </c>
      <c r="H658" s="358">
        <v>0</v>
      </c>
      <c r="J658" s="358">
        <f t="shared" si="0"/>
        <v>0</v>
      </c>
      <c r="L658" s="358">
        <f>'Clearance Fee'!B14</f>
        <v>0</v>
      </c>
      <c r="N658" s="361">
        <f>'Clearance Fee'!C14</f>
        <v>0</v>
      </c>
      <c r="O658" s="361">
        <f>'Clearance Fee'!D14</f>
        <v>0</v>
      </c>
      <c r="P658" s="358">
        <f>'Clearance Fee'!E14</f>
        <v>0</v>
      </c>
      <c r="R658" s="358">
        <f>'Clearance Fee'!F14</f>
        <v>0</v>
      </c>
      <c r="T658" s="358">
        <f>'Clearance Fee'!G14</f>
        <v>0</v>
      </c>
      <c r="V658" s="365">
        <f>'Clearance Fee'!H14</f>
        <v>0</v>
      </c>
      <c r="W658" s="358">
        <f>'Clearance Fee'!I14</f>
        <v>0</v>
      </c>
      <c r="X658" s="358">
        <f>'Clearance Fee'!J14</f>
        <v>0</v>
      </c>
      <c r="Y658" s="358">
        <f>'Clearance Fee'!K14</f>
        <v>0</v>
      </c>
    </row>
    <row r="659" spans="1:25" x14ac:dyDescent="0.35">
      <c r="A659">
        <v>658</v>
      </c>
      <c r="B659" t="s">
        <v>1341</v>
      </c>
      <c r="C659" t="s">
        <v>953</v>
      </c>
      <c r="D659" t="s">
        <v>14</v>
      </c>
      <c r="E659" t="s">
        <v>1824</v>
      </c>
      <c r="F659" t="s">
        <v>1836</v>
      </c>
      <c r="G659" t="s">
        <v>1836</v>
      </c>
      <c r="H659" s="358">
        <v>13.5</v>
      </c>
      <c r="J659" s="358">
        <f t="shared" si="0"/>
        <v>0</v>
      </c>
      <c r="L659" s="358">
        <f>'Clearance Fee'!B15</f>
        <v>13.5</v>
      </c>
      <c r="N659" s="361">
        <f>'Clearance Fee'!C15</f>
        <v>0</v>
      </c>
      <c r="O659" s="361">
        <f>'Clearance Fee'!D15</f>
        <v>0</v>
      </c>
      <c r="P659" s="358">
        <f>'Clearance Fee'!E15</f>
        <v>13.5</v>
      </c>
      <c r="R659" s="358">
        <f>'Clearance Fee'!F15</f>
        <v>0</v>
      </c>
      <c r="T659" s="358">
        <f>'Clearance Fee'!G15</f>
        <v>13.5</v>
      </c>
      <c r="V659" s="365">
        <f>'Clearance Fee'!H15</f>
        <v>0</v>
      </c>
      <c r="W659" s="358">
        <f>'Clearance Fee'!I15</f>
        <v>0</v>
      </c>
      <c r="X659" s="358">
        <f>'Clearance Fee'!J15</f>
        <v>0</v>
      </c>
      <c r="Y659" s="358">
        <f>'Clearance Fee'!K15</f>
        <v>0</v>
      </c>
    </row>
    <row r="660" spans="1:25" x14ac:dyDescent="0.35">
      <c r="A660">
        <v>659</v>
      </c>
      <c r="B660" t="s">
        <v>1341</v>
      </c>
      <c r="C660" t="s">
        <v>953</v>
      </c>
      <c r="D660" t="s">
        <v>14</v>
      </c>
      <c r="E660" t="s">
        <v>1824</v>
      </c>
      <c r="F660" t="s">
        <v>1837</v>
      </c>
      <c r="G660" t="s">
        <v>1837</v>
      </c>
      <c r="H660" s="358">
        <v>0</v>
      </c>
      <c r="J660" s="358">
        <f t="shared" si="0"/>
        <v>0</v>
      </c>
      <c r="L660" s="358">
        <f>'Clearance Fee'!B16</f>
        <v>0</v>
      </c>
      <c r="N660" s="361">
        <f>'Clearance Fee'!C16</f>
        <v>0</v>
      </c>
      <c r="O660" s="361">
        <f>'Clearance Fee'!D16</f>
        <v>0</v>
      </c>
      <c r="P660" s="358">
        <f>'Clearance Fee'!E16</f>
        <v>0</v>
      </c>
      <c r="R660" s="358">
        <f>'Clearance Fee'!F16</f>
        <v>0</v>
      </c>
      <c r="T660" s="358">
        <f>'Clearance Fee'!G16</f>
        <v>0</v>
      </c>
      <c r="V660" s="365">
        <f>'Clearance Fee'!H16</f>
        <v>0</v>
      </c>
      <c r="W660" s="358">
        <f>'Clearance Fee'!I16</f>
        <v>0</v>
      </c>
      <c r="X660" s="358">
        <f>'Clearance Fee'!J16</f>
        <v>0</v>
      </c>
      <c r="Y660" s="358">
        <f>'Clearance Fee'!K16</f>
        <v>0</v>
      </c>
    </row>
    <row r="661" spans="1:25" x14ac:dyDescent="0.35">
      <c r="A661">
        <v>660</v>
      </c>
      <c r="B661" t="s">
        <v>1341</v>
      </c>
      <c r="C661" t="s">
        <v>953</v>
      </c>
      <c r="D661" t="s">
        <v>14</v>
      </c>
      <c r="E661" t="s">
        <v>1824</v>
      </c>
      <c r="F661" t="s">
        <v>1838</v>
      </c>
      <c r="G661" t="s">
        <v>1838</v>
      </c>
      <c r="H661" s="358">
        <v>150</v>
      </c>
      <c r="J661" s="358">
        <f t="shared" si="0"/>
        <v>0</v>
      </c>
      <c r="L661" s="358">
        <f>'Clearance Fee'!B17</f>
        <v>150</v>
      </c>
      <c r="N661" s="361">
        <f>'Clearance Fee'!C17</f>
        <v>0</v>
      </c>
      <c r="O661" s="361">
        <f>'Clearance Fee'!D17</f>
        <v>0</v>
      </c>
      <c r="P661" s="358">
        <f>'Clearance Fee'!E17</f>
        <v>150</v>
      </c>
      <c r="R661" s="358">
        <f>'Clearance Fee'!F17</f>
        <v>0</v>
      </c>
      <c r="T661" s="358">
        <f>'Clearance Fee'!G17</f>
        <v>150</v>
      </c>
      <c r="V661" s="365">
        <f>'Clearance Fee'!H17</f>
        <v>0</v>
      </c>
      <c r="W661" s="358">
        <f>'Clearance Fee'!I17</f>
        <v>0</v>
      </c>
      <c r="X661" s="358">
        <f>'Clearance Fee'!J17</f>
        <v>0</v>
      </c>
      <c r="Y661" s="358">
        <f>'Clearance Fee'!K17</f>
        <v>0</v>
      </c>
    </row>
    <row r="662" spans="1:25" x14ac:dyDescent="0.35">
      <c r="A662">
        <v>661</v>
      </c>
      <c r="B662" t="s">
        <v>1341</v>
      </c>
      <c r="C662" t="s">
        <v>953</v>
      </c>
      <c r="D662" t="s">
        <v>14</v>
      </c>
      <c r="E662" t="s">
        <v>1824</v>
      </c>
      <c r="F662" t="s">
        <v>1839</v>
      </c>
      <c r="G662" t="s">
        <v>1839</v>
      </c>
      <c r="H662" s="358">
        <v>74</v>
      </c>
      <c r="J662" s="358">
        <f t="shared" si="0"/>
        <v>0</v>
      </c>
      <c r="L662" s="358">
        <f>'Clearance Fee'!B18</f>
        <v>74</v>
      </c>
      <c r="N662" s="361">
        <f>'Clearance Fee'!C18</f>
        <v>0</v>
      </c>
      <c r="O662" s="361">
        <f>'Clearance Fee'!D18</f>
        <v>0</v>
      </c>
      <c r="P662" s="358">
        <f>'Clearance Fee'!E18</f>
        <v>74</v>
      </c>
      <c r="R662" s="358">
        <f>'Clearance Fee'!F18</f>
        <v>0</v>
      </c>
      <c r="T662" s="358">
        <f>'Clearance Fee'!G18</f>
        <v>74</v>
      </c>
      <c r="V662" s="365">
        <f>'Clearance Fee'!H18</f>
        <v>0</v>
      </c>
      <c r="W662" s="358">
        <f>'Clearance Fee'!I18</f>
        <v>0</v>
      </c>
      <c r="X662" s="358">
        <f>'Clearance Fee'!J18</f>
        <v>0</v>
      </c>
      <c r="Y662" s="358">
        <f>'Clearance Fee'!K18</f>
        <v>0</v>
      </c>
    </row>
    <row r="663" spans="1:25" x14ac:dyDescent="0.35">
      <c r="A663">
        <v>662</v>
      </c>
      <c r="B663" t="s">
        <v>1341</v>
      </c>
      <c r="C663" t="s">
        <v>953</v>
      </c>
      <c r="D663" t="s">
        <v>14</v>
      </c>
      <c r="E663" t="s">
        <v>1824</v>
      </c>
      <c r="F663" t="s">
        <v>1840</v>
      </c>
      <c r="G663" t="s">
        <v>1840</v>
      </c>
      <c r="H663" s="358">
        <v>0</v>
      </c>
      <c r="J663" s="358">
        <f t="shared" si="0"/>
        <v>0</v>
      </c>
      <c r="L663" s="358">
        <f>'Clearance Fee'!B19</f>
        <v>0</v>
      </c>
      <c r="N663" s="361">
        <f>'Clearance Fee'!C19</f>
        <v>0</v>
      </c>
      <c r="O663" s="361">
        <f>'Clearance Fee'!D19</f>
        <v>0</v>
      </c>
      <c r="P663" s="358">
        <f>'Clearance Fee'!E19</f>
        <v>0</v>
      </c>
      <c r="R663" s="358">
        <f>'Clearance Fee'!F19</f>
        <v>0</v>
      </c>
      <c r="T663" s="358">
        <f>'Clearance Fee'!G19</f>
        <v>0</v>
      </c>
      <c r="V663" s="365">
        <f>'Clearance Fee'!H19</f>
        <v>0</v>
      </c>
      <c r="W663" s="358">
        <f>'Clearance Fee'!I19</f>
        <v>0</v>
      </c>
      <c r="X663" s="358">
        <f>'Clearance Fee'!J19</f>
        <v>0</v>
      </c>
      <c r="Y663" s="358">
        <f>'Clearance Fee'!K19</f>
        <v>0</v>
      </c>
    </row>
    <row r="664" spans="1:25" x14ac:dyDescent="0.35">
      <c r="A664">
        <v>663</v>
      </c>
      <c r="B664" t="s">
        <v>1341</v>
      </c>
      <c r="C664" t="s">
        <v>953</v>
      </c>
      <c r="D664" t="s">
        <v>14</v>
      </c>
      <c r="E664" t="s">
        <v>1824</v>
      </c>
      <c r="F664" t="s">
        <v>1841</v>
      </c>
      <c r="G664" t="s">
        <v>1841</v>
      </c>
      <c r="H664" s="358">
        <v>27.5</v>
      </c>
      <c r="J664" s="358">
        <f t="shared" si="0"/>
        <v>0</v>
      </c>
      <c r="L664" s="358">
        <f>'Clearance Fee'!B20</f>
        <v>27.5</v>
      </c>
      <c r="N664" s="361">
        <f>'Clearance Fee'!C20</f>
        <v>0</v>
      </c>
      <c r="O664" s="361">
        <f>'Clearance Fee'!D20</f>
        <v>0</v>
      </c>
      <c r="P664" s="358">
        <f>'Clearance Fee'!E20</f>
        <v>27.5</v>
      </c>
      <c r="R664" s="358">
        <f>'Clearance Fee'!F20</f>
        <v>0</v>
      </c>
      <c r="T664" s="358">
        <f>'Clearance Fee'!G20</f>
        <v>27.5</v>
      </c>
      <c r="V664" s="365">
        <f>'Clearance Fee'!H20</f>
        <v>0</v>
      </c>
      <c r="W664" s="358">
        <f>'Clearance Fee'!I20</f>
        <v>0</v>
      </c>
      <c r="X664" s="358">
        <f>'Clearance Fee'!J20</f>
        <v>0</v>
      </c>
      <c r="Y664" s="358">
        <f>'Clearance Fee'!K20</f>
        <v>0</v>
      </c>
    </row>
    <row r="665" spans="1:25" x14ac:dyDescent="0.35">
      <c r="A665">
        <v>664</v>
      </c>
      <c r="B665" t="s">
        <v>1341</v>
      </c>
      <c r="C665" t="s">
        <v>953</v>
      </c>
      <c r="D665" t="s">
        <v>14</v>
      </c>
      <c r="E665" t="s">
        <v>851</v>
      </c>
      <c r="F665" t="s">
        <v>851</v>
      </c>
      <c r="G665" t="s">
        <v>2002</v>
      </c>
      <c r="H665" s="358">
        <v>55</v>
      </c>
      <c r="J665" s="358">
        <f t="shared" si="0"/>
        <v>0</v>
      </c>
      <c r="L665" s="358">
        <f>'Clearance Fee'!B21</f>
        <v>55</v>
      </c>
      <c r="N665" s="361">
        <f>'Clearance Fee'!C21</f>
        <v>0</v>
      </c>
      <c r="O665" s="361">
        <f>'Clearance Fee'!D21</f>
        <v>0</v>
      </c>
      <c r="P665" s="358">
        <f>'Clearance Fee'!E21</f>
        <v>55</v>
      </c>
      <c r="R665" s="358">
        <f>'Clearance Fee'!F21</f>
        <v>0</v>
      </c>
      <c r="T665" s="358">
        <f>'Clearance Fee'!G21</f>
        <v>55</v>
      </c>
      <c r="V665" s="365">
        <f>'Clearance Fee'!H21</f>
        <v>0</v>
      </c>
      <c r="W665" s="358">
        <f>'Clearance Fee'!I21</f>
        <v>0</v>
      </c>
      <c r="X665" s="358">
        <f>'Clearance Fee'!J21</f>
        <v>0</v>
      </c>
      <c r="Y665" s="358">
        <f>'Clearance Fee'!K21</f>
        <v>0</v>
      </c>
    </row>
    <row r="666" spans="1:25" ht="16" x14ac:dyDescent="0.4">
      <c r="A666">
        <v>665</v>
      </c>
      <c r="B666" t="s">
        <v>1341</v>
      </c>
      <c r="C666" t="s">
        <v>946</v>
      </c>
      <c r="D666" t="s">
        <v>14</v>
      </c>
      <c r="E666" t="s">
        <v>53</v>
      </c>
      <c r="F666" s="556" t="s">
        <v>2003</v>
      </c>
      <c r="G666" t="s">
        <v>2003</v>
      </c>
      <c r="H666" s="358">
        <v>13</v>
      </c>
      <c r="J666" s="358">
        <f t="shared" si="0"/>
        <v>0</v>
      </c>
      <c r="L666" s="358">
        <f>'Clearance Fee'!B22</f>
        <v>13</v>
      </c>
      <c r="N666" s="361">
        <f>'Clearance Fee'!C22</f>
        <v>0</v>
      </c>
      <c r="O666" s="361">
        <f>'Clearance Fee'!D22</f>
        <v>0</v>
      </c>
      <c r="P666" s="358">
        <f>'Clearance Fee'!E22</f>
        <v>13</v>
      </c>
      <c r="R666" s="358">
        <f>'Clearance Fee'!F22</f>
        <v>0</v>
      </c>
      <c r="T666" s="358">
        <f>'Clearance Fee'!G22</f>
        <v>13</v>
      </c>
      <c r="V666" s="365">
        <f>'Clearance Fee'!H22</f>
        <v>0</v>
      </c>
      <c r="W666" s="358">
        <f>'Clearance Fee'!I22</f>
        <v>0</v>
      </c>
      <c r="X666" s="358">
        <f>'Clearance Fee'!J22</f>
        <v>0</v>
      </c>
      <c r="Y666" s="358">
        <f>'Clearance Fee'!K22</f>
        <v>0</v>
      </c>
    </row>
    <row r="667" spans="1:25" x14ac:dyDescent="0.35">
      <c r="A667">
        <v>666</v>
      </c>
      <c r="B667" t="s">
        <v>1341</v>
      </c>
      <c r="C667" t="s">
        <v>953</v>
      </c>
      <c r="D667" t="s">
        <v>15</v>
      </c>
      <c r="E667" t="s">
        <v>1824</v>
      </c>
      <c r="F667" t="s">
        <v>1843</v>
      </c>
      <c r="G667" t="s">
        <v>1843</v>
      </c>
      <c r="H667" s="358">
        <v>3.5</v>
      </c>
      <c r="J667" s="358">
        <f t="shared" si="0"/>
        <v>0</v>
      </c>
      <c r="L667" s="358">
        <f>'Clearance Fee'!B25</f>
        <v>3.5</v>
      </c>
      <c r="N667" s="361">
        <f>'Clearance Fee'!C25</f>
        <v>0</v>
      </c>
      <c r="O667" s="361">
        <f>'Clearance Fee'!D25</f>
        <v>0</v>
      </c>
      <c r="P667" s="358">
        <f>'Clearance Fee'!E25</f>
        <v>3.5</v>
      </c>
      <c r="R667" s="358">
        <f>'Clearance Fee'!F25</f>
        <v>0</v>
      </c>
      <c r="T667" s="358">
        <f>'Clearance Fee'!G25</f>
        <v>3.5</v>
      </c>
      <c r="V667" s="365">
        <f>'Clearance Fee'!H25</f>
        <v>0</v>
      </c>
      <c r="W667" s="358">
        <f>'Clearance Fee'!I25</f>
        <v>0</v>
      </c>
      <c r="X667" s="358">
        <f>'Clearance Fee'!J25</f>
        <v>0</v>
      </c>
      <c r="Y667" s="358">
        <f>'Clearance Fee'!K25</f>
        <v>0</v>
      </c>
    </row>
    <row r="668" spans="1:25" x14ac:dyDescent="0.35">
      <c r="A668">
        <v>667</v>
      </c>
      <c r="B668" t="s">
        <v>1341</v>
      </c>
      <c r="C668" t="s">
        <v>953</v>
      </c>
      <c r="D668" t="s">
        <v>15</v>
      </c>
      <c r="E668" t="s">
        <v>1824</v>
      </c>
      <c r="F668" t="s">
        <v>1844</v>
      </c>
      <c r="G668" t="s">
        <v>1844</v>
      </c>
      <c r="H668" s="358">
        <v>0</v>
      </c>
      <c r="J668" s="358">
        <f t="shared" si="0"/>
        <v>0</v>
      </c>
      <c r="L668" s="358">
        <f>'Clearance Fee'!B26</f>
        <v>0</v>
      </c>
      <c r="N668" s="361">
        <f>'Clearance Fee'!C26</f>
        <v>0</v>
      </c>
      <c r="O668" s="361">
        <f>'Clearance Fee'!D26</f>
        <v>0</v>
      </c>
      <c r="P668" s="358">
        <f>'Clearance Fee'!E26</f>
        <v>0</v>
      </c>
      <c r="R668" s="358">
        <f>'Clearance Fee'!F26</f>
        <v>0</v>
      </c>
      <c r="T668" s="358">
        <f>'Clearance Fee'!G26</f>
        <v>0</v>
      </c>
      <c r="V668" s="365">
        <f>'Clearance Fee'!H26</f>
        <v>0</v>
      </c>
      <c r="W668" s="358">
        <f>'Clearance Fee'!I26</f>
        <v>0</v>
      </c>
      <c r="X668" s="358">
        <f>'Clearance Fee'!J26</f>
        <v>0</v>
      </c>
      <c r="Y668" s="358">
        <f>'Clearance Fee'!K26</f>
        <v>0</v>
      </c>
    </row>
    <row r="669" spans="1:25" x14ac:dyDescent="0.35">
      <c r="A669">
        <v>668</v>
      </c>
      <c r="B669" t="s">
        <v>1341</v>
      </c>
      <c r="C669" t="s">
        <v>953</v>
      </c>
      <c r="D669" t="s">
        <v>15</v>
      </c>
      <c r="E669" t="s">
        <v>1824</v>
      </c>
      <c r="F669" t="s">
        <v>1845</v>
      </c>
      <c r="G669" t="s">
        <v>1845</v>
      </c>
      <c r="H669" s="358">
        <v>0</v>
      </c>
      <c r="J669" s="358">
        <f t="shared" si="0"/>
        <v>0</v>
      </c>
      <c r="L669" s="358">
        <f>'Clearance Fee'!B27</f>
        <v>0</v>
      </c>
      <c r="N669" s="361">
        <f>'Clearance Fee'!C27</f>
        <v>0</v>
      </c>
      <c r="O669" s="361">
        <f>'Clearance Fee'!D27</f>
        <v>0</v>
      </c>
      <c r="P669" s="358">
        <f>'Clearance Fee'!E27</f>
        <v>0</v>
      </c>
      <c r="R669" s="358">
        <f>'Clearance Fee'!F27</f>
        <v>0</v>
      </c>
      <c r="T669" s="358">
        <f>'Clearance Fee'!G27</f>
        <v>0</v>
      </c>
      <c r="V669" s="365">
        <f>'Clearance Fee'!H27</f>
        <v>0</v>
      </c>
      <c r="W669" s="358">
        <f>'Clearance Fee'!I27</f>
        <v>0</v>
      </c>
      <c r="X669" s="358">
        <f>'Clearance Fee'!J27</f>
        <v>0</v>
      </c>
      <c r="Y669" s="358">
        <f>'Clearance Fee'!K27</f>
        <v>0</v>
      </c>
    </row>
    <row r="670" spans="1:25" x14ac:dyDescent="0.35">
      <c r="A670">
        <v>669</v>
      </c>
      <c r="B670" t="s">
        <v>1341</v>
      </c>
      <c r="C670" t="s">
        <v>953</v>
      </c>
      <c r="D670" t="s">
        <v>15</v>
      </c>
      <c r="E670" t="s">
        <v>1824</v>
      </c>
      <c r="F670" t="s">
        <v>1846</v>
      </c>
      <c r="G670" t="s">
        <v>1846</v>
      </c>
      <c r="H670" s="358">
        <v>2</v>
      </c>
      <c r="J670" s="358">
        <f t="shared" si="0"/>
        <v>0</v>
      </c>
      <c r="L670" s="358">
        <f>'Clearance Fee'!B28</f>
        <v>2</v>
      </c>
      <c r="N670" s="361">
        <f>'Clearance Fee'!C28</f>
        <v>0</v>
      </c>
      <c r="O670" s="361">
        <f>'Clearance Fee'!D28</f>
        <v>0</v>
      </c>
      <c r="P670" s="358">
        <f>'Clearance Fee'!E28</f>
        <v>2</v>
      </c>
      <c r="R670" s="358">
        <f>'Clearance Fee'!F28</f>
        <v>0</v>
      </c>
      <c r="T670" s="358">
        <f>'Clearance Fee'!G28</f>
        <v>2</v>
      </c>
      <c r="V670" s="365">
        <f>'Clearance Fee'!H28</f>
        <v>0</v>
      </c>
      <c r="W670" s="358">
        <f>'Clearance Fee'!I28</f>
        <v>0</v>
      </c>
      <c r="X670" s="358">
        <f>'Clearance Fee'!J28</f>
        <v>0</v>
      </c>
      <c r="Y670" s="358">
        <f>'Clearance Fee'!K28</f>
        <v>0</v>
      </c>
    </row>
    <row r="671" spans="1:25" x14ac:dyDescent="0.35">
      <c r="A671">
        <v>670</v>
      </c>
      <c r="B671" t="s">
        <v>1341</v>
      </c>
      <c r="C671" t="s">
        <v>953</v>
      </c>
      <c r="D671" t="s">
        <v>15</v>
      </c>
      <c r="E671" t="s">
        <v>1824</v>
      </c>
      <c r="F671" t="s">
        <v>1847</v>
      </c>
      <c r="G671" t="s">
        <v>1847</v>
      </c>
      <c r="H671" s="358">
        <v>0</v>
      </c>
      <c r="J671" s="358">
        <f t="shared" si="0"/>
        <v>0</v>
      </c>
      <c r="L671" s="358">
        <f>'Clearance Fee'!B29</f>
        <v>0</v>
      </c>
      <c r="N671" s="361">
        <f>'Clearance Fee'!C29</f>
        <v>0</v>
      </c>
      <c r="O671" s="361">
        <f>'Clearance Fee'!D29</f>
        <v>0</v>
      </c>
      <c r="P671" s="358">
        <f>'Clearance Fee'!E29</f>
        <v>0</v>
      </c>
      <c r="R671" s="358">
        <f>'Clearance Fee'!F29</f>
        <v>0</v>
      </c>
      <c r="T671" s="358">
        <f>'Clearance Fee'!G29</f>
        <v>0</v>
      </c>
      <c r="V671" s="365">
        <f>'Clearance Fee'!H29</f>
        <v>0</v>
      </c>
      <c r="W671" s="358">
        <f>'Clearance Fee'!I29</f>
        <v>0</v>
      </c>
      <c r="X671" s="358">
        <f>'Clearance Fee'!J29</f>
        <v>0</v>
      </c>
      <c r="Y671" s="358">
        <f>'Clearance Fee'!K29</f>
        <v>0</v>
      </c>
    </row>
    <row r="672" spans="1:25" x14ac:dyDescent="0.35">
      <c r="A672">
        <v>671</v>
      </c>
      <c r="B672" t="s">
        <v>1341</v>
      </c>
      <c r="C672" t="s">
        <v>953</v>
      </c>
      <c r="D672" t="s">
        <v>15</v>
      </c>
      <c r="E672" t="s">
        <v>1824</v>
      </c>
      <c r="F672" t="s">
        <v>1848</v>
      </c>
      <c r="G672" t="s">
        <v>1848</v>
      </c>
      <c r="H672" s="358">
        <v>27.5</v>
      </c>
      <c r="J672" s="358">
        <f t="shared" si="0"/>
        <v>0</v>
      </c>
      <c r="L672" s="358">
        <f>'Clearance Fee'!B30</f>
        <v>27.5</v>
      </c>
      <c r="N672" s="361">
        <f>'Clearance Fee'!C30</f>
        <v>0</v>
      </c>
      <c r="O672" s="361">
        <f>'Clearance Fee'!D30</f>
        <v>0</v>
      </c>
      <c r="P672" s="358">
        <f>'Clearance Fee'!E30</f>
        <v>27.5</v>
      </c>
      <c r="R672" s="358">
        <f>'Clearance Fee'!F30</f>
        <v>0</v>
      </c>
      <c r="T672" s="358">
        <f>'Clearance Fee'!G30</f>
        <v>27.5</v>
      </c>
      <c r="V672" s="365">
        <f>'Clearance Fee'!H30</f>
        <v>0</v>
      </c>
      <c r="W672" s="358">
        <f>'Clearance Fee'!I30</f>
        <v>0</v>
      </c>
      <c r="X672" s="358">
        <f>'Clearance Fee'!J30</f>
        <v>0</v>
      </c>
      <c r="Y672" s="358">
        <f>'Clearance Fee'!K30</f>
        <v>0</v>
      </c>
    </row>
    <row r="673" spans="1:25" x14ac:dyDescent="0.35">
      <c r="A673">
        <v>672</v>
      </c>
      <c r="B673" t="s">
        <v>1341</v>
      </c>
      <c r="C673" t="s">
        <v>953</v>
      </c>
      <c r="D673" t="s">
        <v>15</v>
      </c>
      <c r="E673" t="s">
        <v>1824</v>
      </c>
      <c r="F673" t="s">
        <v>1849</v>
      </c>
      <c r="G673" t="s">
        <v>1849</v>
      </c>
      <c r="H673" s="358">
        <v>20</v>
      </c>
      <c r="J673" s="358">
        <f t="shared" si="0"/>
        <v>0</v>
      </c>
      <c r="L673" s="358">
        <f>'Clearance Fee'!B31</f>
        <v>20</v>
      </c>
      <c r="N673" s="361">
        <f>'Clearance Fee'!C31</f>
        <v>0</v>
      </c>
      <c r="O673" s="361">
        <f>'Clearance Fee'!D31</f>
        <v>0</v>
      </c>
      <c r="P673" s="358">
        <f>'Clearance Fee'!E31</f>
        <v>20</v>
      </c>
      <c r="R673" s="358">
        <f>'Clearance Fee'!F31</f>
        <v>0</v>
      </c>
      <c r="T673" s="358">
        <f>'Clearance Fee'!G31</f>
        <v>20</v>
      </c>
      <c r="V673" s="365">
        <f>'Clearance Fee'!H31</f>
        <v>0</v>
      </c>
      <c r="W673" s="358">
        <f>'Clearance Fee'!I31</f>
        <v>0</v>
      </c>
      <c r="X673" s="358">
        <f>'Clearance Fee'!J31</f>
        <v>0</v>
      </c>
      <c r="Y673" s="358">
        <f>'Clearance Fee'!K31</f>
        <v>0</v>
      </c>
    </row>
    <row r="674" spans="1:25" x14ac:dyDescent="0.35">
      <c r="A674">
        <v>673</v>
      </c>
      <c r="B674" t="s">
        <v>1341</v>
      </c>
      <c r="C674" t="s">
        <v>953</v>
      </c>
      <c r="D674" t="s">
        <v>15</v>
      </c>
      <c r="E674" t="s">
        <v>1824</v>
      </c>
      <c r="F674" t="s">
        <v>1850</v>
      </c>
      <c r="G674" t="s">
        <v>1850</v>
      </c>
      <c r="H674" s="358">
        <v>0</v>
      </c>
      <c r="J674" s="358">
        <f t="shared" si="0"/>
        <v>0</v>
      </c>
      <c r="L674" s="358">
        <f>'Clearance Fee'!B32</f>
        <v>0</v>
      </c>
      <c r="N674" s="361">
        <f>'Clearance Fee'!C32</f>
        <v>0</v>
      </c>
      <c r="O674" s="361">
        <f>'Clearance Fee'!D32</f>
        <v>0</v>
      </c>
      <c r="P674" s="358">
        <f>'Clearance Fee'!E32</f>
        <v>0</v>
      </c>
      <c r="R674" s="358">
        <f>'Clearance Fee'!F32</f>
        <v>0</v>
      </c>
      <c r="T674" s="358">
        <f>'Clearance Fee'!G32</f>
        <v>0</v>
      </c>
      <c r="V674" s="365">
        <f>'Clearance Fee'!H32</f>
        <v>0</v>
      </c>
      <c r="W674" s="358">
        <f>'Clearance Fee'!I32</f>
        <v>0</v>
      </c>
      <c r="X674" s="358">
        <f>'Clearance Fee'!J32</f>
        <v>0</v>
      </c>
      <c r="Y674" s="358">
        <f>'Clearance Fee'!K32</f>
        <v>0</v>
      </c>
    </row>
    <row r="675" spans="1:25" x14ac:dyDescent="0.35">
      <c r="A675">
        <v>674</v>
      </c>
      <c r="B675" t="s">
        <v>1341</v>
      </c>
      <c r="C675" t="s">
        <v>953</v>
      </c>
      <c r="D675" t="s">
        <v>15</v>
      </c>
      <c r="E675" t="s">
        <v>1824</v>
      </c>
      <c r="F675" t="s">
        <v>1851</v>
      </c>
      <c r="G675" t="s">
        <v>1851</v>
      </c>
      <c r="H675" s="358">
        <v>0</v>
      </c>
      <c r="J675" s="358">
        <f t="shared" si="0"/>
        <v>0</v>
      </c>
      <c r="L675" s="358">
        <f>'Clearance Fee'!B33</f>
        <v>0</v>
      </c>
      <c r="N675" s="361">
        <f>'Clearance Fee'!C33</f>
        <v>0</v>
      </c>
      <c r="O675" s="361">
        <f>'Clearance Fee'!D33</f>
        <v>0</v>
      </c>
      <c r="P675" s="358">
        <f>'Clearance Fee'!E33</f>
        <v>0</v>
      </c>
      <c r="R675" s="358">
        <f>'Clearance Fee'!F33</f>
        <v>0</v>
      </c>
      <c r="T675" s="358">
        <f>'Clearance Fee'!G33</f>
        <v>0</v>
      </c>
      <c r="V675" s="365">
        <f>'Clearance Fee'!H33</f>
        <v>0</v>
      </c>
      <c r="W675" s="358">
        <f>'Clearance Fee'!I33</f>
        <v>0</v>
      </c>
      <c r="X675" s="358">
        <f>'Clearance Fee'!J33</f>
        <v>0</v>
      </c>
      <c r="Y675" s="358">
        <f>'Clearance Fee'!K33</f>
        <v>0</v>
      </c>
    </row>
    <row r="676" spans="1:25" x14ac:dyDescent="0.35">
      <c r="A676">
        <v>675</v>
      </c>
      <c r="B676" t="s">
        <v>1341</v>
      </c>
      <c r="C676" t="s">
        <v>953</v>
      </c>
      <c r="D676" t="s">
        <v>15</v>
      </c>
      <c r="E676" t="s">
        <v>1824</v>
      </c>
      <c r="F676" t="s">
        <v>1852</v>
      </c>
      <c r="G676" t="s">
        <v>1852</v>
      </c>
      <c r="H676" s="358">
        <v>0</v>
      </c>
      <c r="J676" s="358">
        <f t="shared" si="0"/>
        <v>0</v>
      </c>
      <c r="L676" s="358">
        <f>'Clearance Fee'!B34</f>
        <v>0</v>
      </c>
      <c r="N676" s="361">
        <f>'Clearance Fee'!C34</f>
        <v>0</v>
      </c>
      <c r="O676" s="361">
        <f>'Clearance Fee'!D34</f>
        <v>0</v>
      </c>
      <c r="P676" s="358">
        <f>'Clearance Fee'!E34</f>
        <v>0</v>
      </c>
      <c r="R676" s="358">
        <f>'Clearance Fee'!F34</f>
        <v>0</v>
      </c>
      <c r="T676" s="358">
        <f>'Clearance Fee'!G34</f>
        <v>0</v>
      </c>
      <c r="V676" s="365">
        <f>'Clearance Fee'!H34</f>
        <v>0</v>
      </c>
      <c r="W676" s="358">
        <f>'Clearance Fee'!I34</f>
        <v>0</v>
      </c>
      <c r="X676" s="358">
        <f>'Clearance Fee'!J34</f>
        <v>0</v>
      </c>
      <c r="Y676" s="358">
        <f>'Clearance Fee'!K34</f>
        <v>0</v>
      </c>
    </row>
    <row r="677" spans="1:25" x14ac:dyDescent="0.35">
      <c r="A677">
        <v>676</v>
      </c>
      <c r="B677" t="s">
        <v>1341</v>
      </c>
      <c r="C677" t="s">
        <v>953</v>
      </c>
      <c r="D677" t="s">
        <v>15</v>
      </c>
      <c r="E677" t="s">
        <v>1824</v>
      </c>
      <c r="F677" t="s">
        <v>1854</v>
      </c>
      <c r="G677" t="s">
        <v>1854</v>
      </c>
      <c r="H677" s="358">
        <v>5.3</v>
      </c>
      <c r="J677" s="358">
        <f t="shared" si="0"/>
        <v>0</v>
      </c>
      <c r="L677" s="358">
        <f>'Clearance Fee'!B37</f>
        <v>5.3</v>
      </c>
      <c r="N677" s="361">
        <f>'Clearance Fee'!C37</f>
        <v>0</v>
      </c>
      <c r="O677" s="361">
        <f>'Clearance Fee'!D37</f>
        <v>0</v>
      </c>
      <c r="P677" s="358">
        <f>'Clearance Fee'!E37</f>
        <v>5.3</v>
      </c>
      <c r="R677" s="358">
        <f>'Clearance Fee'!F37</f>
        <v>0</v>
      </c>
      <c r="T677" s="358">
        <f>'Clearance Fee'!G37</f>
        <v>5.3</v>
      </c>
      <c r="V677" s="365">
        <f>'Clearance Fee'!H37</f>
        <v>0</v>
      </c>
      <c r="W677" s="358">
        <f>'Clearance Fee'!I37</f>
        <v>0</v>
      </c>
      <c r="X677" s="358">
        <f>'Clearance Fee'!J37</f>
        <v>0</v>
      </c>
      <c r="Y677" s="358">
        <f>'Clearance Fee'!K37</f>
        <v>0</v>
      </c>
    </row>
    <row r="678" spans="1:25" x14ac:dyDescent="0.35">
      <c r="A678">
        <v>677</v>
      </c>
      <c r="B678" t="s">
        <v>1341</v>
      </c>
      <c r="C678" t="s">
        <v>953</v>
      </c>
      <c r="D678" t="s">
        <v>15</v>
      </c>
      <c r="E678" t="s">
        <v>1824</v>
      </c>
      <c r="F678" t="s">
        <v>1855</v>
      </c>
      <c r="G678" t="s">
        <v>1855</v>
      </c>
      <c r="H678" s="358">
        <v>0</v>
      </c>
      <c r="J678" s="358">
        <f t="shared" si="0"/>
        <v>0</v>
      </c>
      <c r="L678" s="358">
        <f>'Clearance Fee'!B38</f>
        <v>0</v>
      </c>
      <c r="N678" s="361">
        <f>'Clearance Fee'!C38</f>
        <v>0</v>
      </c>
      <c r="O678" s="361">
        <f>'Clearance Fee'!D38</f>
        <v>0</v>
      </c>
      <c r="P678" s="358">
        <f>'Clearance Fee'!E38</f>
        <v>0</v>
      </c>
      <c r="R678" s="358">
        <f>'Clearance Fee'!F38</f>
        <v>0</v>
      </c>
      <c r="T678" s="358">
        <f>'Clearance Fee'!G38</f>
        <v>0</v>
      </c>
      <c r="V678" s="365">
        <f>'Clearance Fee'!H38</f>
        <v>0</v>
      </c>
      <c r="W678" s="358">
        <f>'Clearance Fee'!I38</f>
        <v>0</v>
      </c>
      <c r="X678" s="358">
        <f>'Clearance Fee'!J38</f>
        <v>0</v>
      </c>
      <c r="Y678" s="358">
        <f>'Clearance Fee'!K38</f>
        <v>0</v>
      </c>
    </row>
    <row r="679" spans="1:25" x14ac:dyDescent="0.35">
      <c r="A679">
        <v>678</v>
      </c>
      <c r="B679" t="s">
        <v>1341</v>
      </c>
      <c r="C679" t="s">
        <v>953</v>
      </c>
      <c r="D679" t="s">
        <v>15</v>
      </c>
      <c r="E679" t="s">
        <v>1824</v>
      </c>
      <c r="F679" t="s">
        <v>1856</v>
      </c>
      <c r="G679" t="s">
        <v>1856</v>
      </c>
      <c r="H679" s="358">
        <v>0</v>
      </c>
      <c r="J679" s="358">
        <f t="shared" si="0"/>
        <v>0</v>
      </c>
      <c r="L679" s="358">
        <f>'Clearance Fee'!B39</f>
        <v>0</v>
      </c>
      <c r="N679" s="361">
        <f>'Clearance Fee'!C39</f>
        <v>0</v>
      </c>
      <c r="O679" s="361">
        <f>'Clearance Fee'!D39</f>
        <v>0</v>
      </c>
      <c r="P679" s="358">
        <f>'Clearance Fee'!E39</f>
        <v>0</v>
      </c>
      <c r="R679" s="358">
        <f>'Clearance Fee'!F39</f>
        <v>0</v>
      </c>
      <c r="T679" s="358">
        <f>'Clearance Fee'!G39</f>
        <v>0</v>
      </c>
      <c r="V679" s="365">
        <f>'Clearance Fee'!H39</f>
        <v>0</v>
      </c>
      <c r="W679" s="358">
        <f>'Clearance Fee'!I39</f>
        <v>0</v>
      </c>
      <c r="X679" s="358">
        <f>'Clearance Fee'!J39</f>
        <v>0</v>
      </c>
      <c r="Y679" s="358">
        <f>'Clearance Fee'!K39</f>
        <v>0</v>
      </c>
    </row>
    <row r="680" spans="1:25" x14ac:dyDescent="0.35">
      <c r="A680">
        <v>679</v>
      </c>
      <c r="B680" t="s">
        <v>1341</v>
      </c>
      <c r="C680" t="s">
        <v>953</v>
      </c>
      <c r="D680" t="s">
        <v>15</v>
      </c>
      <c r="E680" t="s">
        <v>1824</v>
      </c>
      <c r="F680" t="s">
        <v>1857</v>
      </c>
      <c r="G680" t="s">
        <v>1857</v>
      </c>
      <c r="H680" s="358">
        <v>120</v>
      </c>
      <c r="J680" s="358">
        <f t="shared" si="0"/>
        <v>0</v>
      </c>
      <c r="L680" s="358">
        <f>'Clearance Fee'!B40</f>
        <v>120</v>
      </c>
      <c r="N680" s="361">
        <f>'Clearance Fee'!C40</f>
        <v>0</v>
      </c>
      <c r="O680" s="361">
        <f>'Clearance Fee'!D40</f>
        <v>0</v>
      </c>
      <c r="P680" s="358">
        <f>'Clearance Fee'!E40</f>
        <v>120</v>
      </c>
      <c r="R680" s="358">
        <f>'Clearance Fee'!F40</f>
        <v>0</v>
      </c>
      <c r="T680" s="358">
        <f>'Clearance Fee'!G40</f>
        <v>120</v>
      </c>
      <c r="V680" s="365">
        <f>'Clearance Fee'!H40</f>
        <v>0</v>
      </c>
      <c r="W680" s="358">
        <f>'Clearance Fee'!I40</f>
        <v>0</v>
      </c>
      <c r="X680" s="358">
        <f>'Clearance Fee'!J40</f>
        <v>0</v>
      </c>
      <c r="Y680" s="358">
        <f>'Clearance Fee'!K40</f>
        <v>0</v>
      </c>
    </row>
    <row r="681" spans="1:25" x14ac:dyDescent="0.35">
      <c r="A681">
        <v>680</v>
      </c>
      <c r="B681" t="s">
        <v>1341</v>
      </c>
      <c r="C681" t="s">
        <v>953</v>
      </c>
      <c r="D681" t="s">
        <v>15</v>
      </c>
      <c r="E681" t="s">
        <v>1824</v>
      </c>
      <c r="F681" t="s">
        <v>1858</v>
      </c>
      <c r="G681" t="s">
        <v>1858</v>
      </c>
      <c r="H681" s="358">
        <v>16.5</v>
      </c>
      <c r="J681" s="358">
        <f t="shared" si="0"/>
        <v>0</v>
      </c>
      <c r="L681" s="358">
        <f>'Clearance Fee'!B41</f>
        <v>16.5</v>
      </c>
      <c r="N681" s="361">
        <f>'Clearance Fee'!C41</f>
        <v>0</v>
      </c>
      <c r="O681" s="361">
        <f>'Clearance Fee'!D41</f>
        <v>0</v>
      </c>
      <c r="P681" s="358">
        <f>'Clearance Fee'!E41</f>
        <v>16.5</v>
      </c>
      <c r="R681" s="358">
        <f>'Clearance Fee'!F41</f>
        <v>0</v>
      </c>
      <c r="T681" s="358">
        <f>'Clearance Fee'!G41</f>
        <v>16.5</v>
      </c>
      <c r="V681" s="365">
        <f>'Clearance Fee'!H41</f>
        <v>0</v>
      </c>
      <c r="W681" s="358">
        <f>'Clearance Fee'!I41</f>
        <v>0</v>
      </c>
      <c r="X681" s="358">
        <f>'Clearance Fee'!J41</f>
        <v>0</v>
      </c>
      <c r="Y681" s="358">
        <f>'Clearance Fee'!K41</f>
        <v>0</v>
      </c>
    </row>
    <row r="682" spans="1:25" x14ac:dyDescent="0.35">
      <c r="A682">
        <v>681</v>
      </c>
      <c r="B682" t="s">
        <v>1341</v>
      </c>
      <c r="C682" t="s">
        <v>953</v>
      </c>
      <c r="D682" t="s">
        <v>15</v>
      </c>
      <c r="E682" t="s">
        <v>1824</v>
      </c>
      <c r="F682" t="s">
        <v>1859</v>
      </c>
      <c r="G682" t="s">
        <v>1859</v>
      </c>
      <c r="H682" s="358">
        <v>0</v>
      </c>
      <c r="J682" s="358">
        <f t="shared" si="0"/>
        <v>0</v>
      </c>
      <c r="L682" s="358">
        <f>'Clearance Fee'!B42</f>
        <v>0</v>
      </c>
      <c r="N682" s="361">
        <f>'Clearance Fee'!C42</f>
        <v>0</v>
      </c>
      <c r="O682" s="361">
        <f>'Clearance Fee'!D42</f>
        <v>0</v>
      </c>
      <c r="P682" s="358">
        <f>'Clearance Fee'!E42</f>
        <v>0</v>
      </c>
      <c r="R682" s="358">
        <f>'Clearance Fee'!F42</f>
        <v>0</v>
      </c>
      <c r="T682" s="358">
        <f>'Clearance Fee'!G42</f>
        <v>0</v>
      </c>
      <c r="V682" s="365">
        <f>'Clearance Fee'!H42</f>
        <v>0</v>
      </c>
      <c r="W682" s="358">
        <f>'Clearance Fee'!I42</f>
        <v>0</v>
      </c>
      <c r="X682" s="358">
        <f>'Clearance Fee'!J42</f>
        <v>0</v>
      </c>
      <c r="Y682" s="358">
        <f>'Clearance Fee'!K42</f>
        <v>0</v>
      </c>
    </row>
    <row r="683" spans="1:25" x14ac:dyDescent="0.35">
      <c r="A683">
        <v>682</v>
      </c>
      <c r="B683" t="s">
        <v>1350</v>
      </c>
      <c r="C683" t="s">
        <v>953</v>
      </c>
      <c r="D683" t="s">
        <v>14</v>
      </c>
      <c r="E683" t="s">
        <v>1824</v>
      </c>
      <c r="F683" t="s">
        <v>1827</v>
      </c>
      <c r="G683" t="s">
        <v>1827</v>
      </c>
      <c r="H683" s="358">
        <v>3.5</v>
      </c>
      <c r="J683" s="358">
        <f t="shared" si="0"/>
        <v>0</v>
      </c>
      <c r="L683" s="358">
        <f>'Clearance Fee'!B6</f>
        <v>3.5</v>
      </c>
      <c r="N683" s="361">
        <f>'Clearance Fee'!L6</f>
        <v>0</v>
      </c>
      <c r="O683" s="361">
        <f>'Clearance Fee'!M6</f>
        <v>0</v>
      </c>
      <c r="P683" s="358">
        <f>'Clearance Fee'!N6</f>
        <v>3.5</v>
      </c>
      <c r="R683" s="358">
        <f>'Clearance Fee'!O6</f>
        <v>0</v>
      </c>
      <c r="T683" s="358">
        <f>'Clearance Fee'!P6</f>
        <v>3.5</v>
      </c>
      <c r="V683" s="365">
        <f>'Clearance Fee'!Q6</f>
        <v>0</v>
      </c>
      <c r="W683" s="358">
        <f>'Clearance Fee'!R6</f>
        <v>0</v>
      </c>
      <c r="X683" s="358">
        <f>'Clearance Fee'!S6</f>
        <v>0</v>
      </c>
      <c r="Y683" s="358">
        <f>'Clearance Fee'!T6</f>
        <v>0</v>
      </c>
    </row>
    <row r="684" spans="1:25" x14ac:dyDescent="0.35">
      <c r="A684">
        <v>683</v>
      </c>
      <c r="B684" t="s">
        <v>1350</v>
      </c>
      <c r="C684" t="s">
        <v>953</v>
      </c>
      <c r="D684" t="s">
        <v>14</v>
      </c>
      <c r="E684" t="s">
        <v>1824</v>
      </c>
      <c r="F684" t="s">
        <v>1828</v>
      </c>
      <c r="G684" t="s">
        <v>1828</v>
      </c>
      <c r="H684" s="358">
        <v>0</v>
      </c>
      <c r="J684" s="358">
        <f t="shared" si="0"/>
        <v>0</v>
      </c>
      <c r="L684" s="358">
        <f>'Clearance Fee'!B7</f>
        <v>0</v>
      </c>
      <c r="N684" s="361">
        <f>'Clearance Fee'!L7</f>
        <v>0</v>
      </c>
      <c r="O684" s="361">
        <f>'Clearance Fee'!M7</f>
        <v>0</v>
      </c>
      <c r="P684" s="358">
        <f>'Clearance Fee'!N7</f>
        <v>0</v>
      </c>
      <c r="R684" s="358">
        <f>'Clearance Fee'!O7</f>
        <v>0</v>
      </c>
      <c r="T684" s="358">
        <f>'Clearance Fee'!P7</f>
        <v>0</v>
      </c>
      <c r="V684" s="365">
        <f>'Clearance Fee'!Q7</f>
        <v>0</v>
      </c>
      <c r="W684" s="358">
        <f>'Clearance Fee'!R7</f>
        <v>0</v>
      </c>
      <c r="X684" s="358">
        <f>'Clearance Fee'!S7</f>
        <v>0</v>
      </c>
      <c r="Y684" s="358">
        <f>'Clearance Fee'!T7</f>
        <v>0</v>
      </c>
    </row>
    <row r="685" spans="1:25" x14ac:dyDescent="0.35">
      <c r="A685">
        <v>684</v>
      </c>
      <c r="B685" t="s">
        <v>1350</v>
      </c>
      <c r="C685" t="s">
        <v>953</v>
      </c>
      <c r="D685" t="s">
        <v>14</v>
      </c>
      <c r="E685" t="s">
        <v>1824</v>
      </c>
      <c r="F685" t="s">
        <v>1829</v>
      </c>
      <c r="G685" t="s">
        <v>1829</v>
      </c>
      <c r="H685" s="358">
        <v>51</v>
      </c>
      <c r="J685" s="358">
        <f t="shared" si="0"/>
        <v>0</v>
      </c>
      <c r="L685" s="358">
        <f>'Clearance Fee'!B8</f>
        <v>51</v>
      </c>
      <c r="N685" s="361">
        <f>'Clearance Fee'!L8</f>
        <v>0</v>
      </c>
      <c r="O685" s="361">
        <f>'Clearance Fee'!M8</f>
        <v>0</v>
      </c>
      <c r="P685" s="358">
        <f>'Clearance Fee'!N8</f>
        <v>51</v>
      </c>
      <c r="R685" s="358">
        <f>'Clearance Fee'!O8</f>
        <v>0</v>
      </c>
      <c r="T685" s="358">
        <f>'Clearance Fee'!P8</f>
        <v>51</v>
      </c>
      <c r="V685" s="365">
        <f>'Clearance Fee'!Q8</f>
        <v>0</v>
      </c>
      <c r="W685" s="358">
        <f>'Clearance Fee'!R8</f>
        <v>0</v>
      </c>
      <c r="X685" s="358">
        <f>'Clearance Fee'!S8</f>
        <v>0</v>
      </c>
      <c r="Y685" s="358">
        <f>'Clearance Fee'!T8</f>
        <v>0</v>
      </c>
    </row>
    <row r="686" spans="1:25" x14ac:dyDescent="0.35">
      <c r="A686">
        <v>685</v>
      </c>
      <c r="B686" t="s">
        <v>1350</v>
      </c>
      <c r="C686" t="s">
        <v>953</v>
      </c>
      <c r="D686" t="s">
        <v>14</v>
      </c>
      <c r="E686" t="s">
        <v>1824</v>
      </c>
      <c r="F686" t="s">
        <v>1830</v>
      </c>
      <c r="G686" t="s">
        <v>1830</v>
      </c>
      <c r="H686" s="358">
        <v>90</v>
      </c>
      <c r="J686" s="358">
        <f t="shared" si="0"/>
        <v>0</v>
      </c>
      <c r="L686" s="358">
        <f>'Clearance Fee'!B9</f>
        <v>90</v>
      </c>
      <c r="N686" s="361">
        <f>'Clearance Fee'!L9</f>
        <v>0</v>
      </c>
      <c r="O686" s="361">
        <f>'Clearance Fee'!M9</f>
        <v>0</v>
      </c>
      <c r="P686" s="358">
        <f>'Clearance Fee'!N9</f>
        <v>90</v>
      </c>
      <c r="R686" s="358">
        <f>'Clearance Fee'!O9</f>
        <v>0</v>
      </c>
      <c r="T686" s="358">
        <f>'Clearance Fee'!P9</f>
        <v>90</v>
      </c>
      <c r="V686" s="365">
        <f>'Clearance Fee'!Q9</f>
        <v>0</v>
      </c>
      <c r="W686" s="358">
        <f>'Clearance Fee'!R9</f>
        <v>0</v>
      </c>
      <c r="X686" s="358">
        <f>'Clearance Fee'!S9</f>
        <v>0</v>
      </c>
      <c r="Y686" s="358">
        <f>'Clearance Fee'!T9</f>
        <v>0</v>
      </c>
    </row>
    <row r="687" spans="1:25" x14ac:dyDescent="0.35">
      <c r="A687">
        <v>686</v>
      </c>
      <c r="B687" t="s">
        <v>1350</v>
      </c>
      <c r="C687" t="s">
        <v>953</v>
      </c>
      <c r="D687" t="s">
        <v>14</v>
      </c>
      <c r="E687" t="s">
        <v>1824</v>
      </c>
      <c r="F687" t="s">
        <v>1831</v>
      </c>
      <c r="G687" t="s">
        <v>1831</v>
      </c>
      <c r="H687" s="358">
        <v>0</v>
      </c>
      <c r="J687" s="358">
        <f t="shared" si="0"/>
        <v>0</v>
      </c>
      <c r="L687" s="358">
        <f>'Clearance Fee'!B10</f>
        <v>0</v>
      </c>
      <c r="N687" s="361">
        <f>'Clearance Fee'!L10</f>
        <v>0</v>
      </c>
      <c r="O687" s="361">
        <f>'Clearance Fee'!M10</f>
        <v>0</v>
      </c>
      <c r="P687" s="358">
        <f>'Clearance Fee'!N10</f>
        <v>0</v>
      </c>
      <c r="R687" s="358">
        <f>'Clearance Fee'!O10</f>
        <v>0</v>
      </c>
      <c r="T687" s="358">
        <f>'Clearance Fee'!P10</f>
        <v>0</v>
      </c>
      <c r="V687" s="365">
        <f>'Clearance Fee'!Q10</f>
        <v>0</v>
      </c>
      <c r="W687" s="358">
        <f>'Clearance Fee'!R10</f>
        <v>0</v>
      </c>
      <c r="X687" s="358">
        <f>'Clearance Fee'!S10</f>
        <v>0</v>
      </c>
      <c r="Y687" s="358">
        <f>'Clearance Fee'!T10</f>
        <v>0</v>
      </c>
    </row>
    <row r="688" spans="1:25" x14ac:dyDescent="0.35">
      <c r="A688">
        <v>687</v>
      </c>
      <c r="B688" t="s">
        <v>1350</v>
      </c>
      <c r="C688" t="s">
        <v>953</v>
      </c>
      <c r="D688" t="s">
        <v>14</v>
      </c>
      <c r="E688" t="s">
        <v>1824</v>
      </c>
      <c r="F688" t="s">
        <v>1832</v>
      </c>
      <c r="G688" t="s">
        <v>1832</v>
      </c>
      <c r="H688" s="358">
        <v>2.1</v>
      </c>
      <c r="J688" s="358">
        <f t="shared" si="0"/>
        <v>0</v>
      </c>
      <c r="L688" s="358">
        <f>'Clearance Fee'!B11</f>
        <v>2.1</v>
      </c>
      <c r="N688" s="361">
        <f>'Clearance Fee'!L11</f>
        <v>0</v>
      </c>
      <c r="O688" s="361">
        <f>'Clearance Fee'!M11</f>
        <v>0</v>
      </c>
      <c r="P688" s="358">
        <f>'Clearance Fee'!N11</f>
        <v>2.1</v>
      </c>
      <c r="R688" s="358">
        <f>'Clearance Fee'!O11</f>
        <v>0</v>
      </c>
      <c r="T688" s="358">
        <f>'Clearance Fee'!P11</f>
        <v>2.1</v>
      </c>
      <c r="V688" s="365">
        <f>'Clearance Fee'!Q11</f>
        <v>0</v>
      </c>
      <c r="W688" s="358">
        <f>'Clearance Fee'!R11</f>
        <v>0</v>
      </c>
      <c r="X688" s="358">
        <f>'Clearance Fee'!S11</f>
        <v>0</v>
      </c>
      <c r="Y688" s="358">
        <f>'Clearance Fee'!T11</f>
        <v>0</v>
      </c>
    </row>
    <row r="689" spans="1:25" x14ac:dyDescent="0.35">
      <c r="A689">
        <v>688</v>
      </c>
      <c r="B689" t="s">
        <v>1350</v>
      </c>
      <c r="C689" t="s">
        <v>953</v>
      </c>
      <c r="D689" t="s">
        <v>14</v>
      </c>
      <c r="E689" t="s">
        <v>1824</v>
      </c>
      <c r="F689" t="s">
        <v>1833</v>
      </c>
      <c r="G689" t="s">
        <v>1833</v>
      </c>
      <c r="H689" s="358">
        <v>53</v>
      </c>
      <c r="J689" s="358">
        <f t="shared" si="0"/>
        <v>0</v>
      </c>
      <c r="L689" s="358">
        <f>'Clearance Fee'!B12</f>
        <v>53</v>
      </c>
      <c r="N689" s="361">
        <f>'Clearance Fee'!L12</f>
        <v>0</v>
      </c>
      <c r="O689" s="361">
        <f>'Clearance Fee'!M12</f>
        <v>0</v>
      </c>
      <c r="P689" s="358">
        <f>'Clearance Fee'!N12</f>
        <v>53</v>
      </c>
      <c r="R689" s="358">
        <f>'Clearance Fee'!O12</f>
        <v>0</v>
      </c>
      <c r="T689" s="358">
        <f>'Clearance Fee'!P12</f>
        <v>53</v>
      </c>
      <c r="V689" s="365">
        <f>'Clearance Fee'!Q12</f>
        <v>0</v>
      </c>
      <c r="W689" s="358">
        <f>'Clearance Fee'!R12</f>
        <v>0</v>
      </c>
      <c r="X689" s="358">
        <f>'Clearance Fee'!S12</f>
        <v>0</v>
      </c>
      <c r="Y689" s="358">
        <f>'Clearance Fee'!T12</f>
        <v>0</v>
      </c>
    </row>
    <row r="690" spans="1:25" x14ac:dyDescent="0.35">
      <c r="A690">
        <v>689</v>
      </c>
      <c r="B690" t="s">
        <v>1350</v>
      </c>
      <c r="C690" t="s">
        <v>953</v>
      </c>
      <c r="D690" t="s">
        <v>14</v>
      </c>
      <c r="E690" t="s">
        <v>1824</v>
      </c>
      <c r="F690" t="s">
        <v>1834</v>
      </c>
      <c r="G690" t="s">
        <v>1834</v>
      </c>
      <c r="H690" s="358">
        <v>27</v>
      </c>
      <c r="J690" s="358">
        <f t="shared" si="0"/>
        <v>0</v>
      </c>
      <c r="L690" s="358">
        <f>'Clearance Fee'!B13</f>
        <v>27</v>
      </c>
      <c r="N690" s="361">
        <f>'Clearance Fee'!L13</f>
        <v>0</v>
      </c>
      <c r="O690" s="361">
        <f>'Clearance Fee'!M13</f>
        <v>0</v>
      </c>
      <c r="P690" s="358">
        <f>'Clearance Fee'!N13</f>
        <v>27</v>
      </c>
      <c r="R690" s="358">
        <f>'Clearance Fee'!O13</f>
        <v>0</v>
      </c>
      <c r="T690" s="358">
        <f>'Clearance Fee'!P13</f>
        <v>27</v>
      </c>
      <c r="V690" s="365">
        <f>'Clearance Fee'!Q13</f>
        <v>0</v>
      </c>
      <c r="W690" s="358">
        <f>'Clearance Fee'!R13</f>
        <v>0</v>
      </c>
      <c r="X690" s="358">
        <f>'Clearance Fee'!S13</f>
        <v>0</v>
      </c>
      <c r="Y690" s="358">
        <f>'Clearance Fee'!T13</f>
        <v>0</v>
      </c>
    </row>
    <row r="691" spans="1:25" x14ac:dyDescent="0.35">
      <c r="A691">
        <v>690</v>
      </c>
      <c r="B691" t="s">
        <v>1350</v>
      </c>
      <c r="C691" t="s">
        <v>953</v>
      </c>
      <c r="D691" t="s">
        <v>14</v>
      </c>
      <c r="E691" t="s">
        <v>1824</v>
      </c>
      <c r="F691" t="s">
        <v>1835</v>
      </c>
      <c r="G691" t="s">
        <v>1835</v>
      </c>
      <c r="H691" s="358">
        <v>0</v>
      </c>
      <c r="J691" s="358">
        <f t="shared" si="0"/>
        <v>0</v>
      </c>
      <c r="L691" s="358">
        <f>'Clearance Fee'!B14</f>
        <v>0</v>
      </c>
      <c r="N691" s="361">
        <f>'Clearance Fee'!L14</f>
        <v>0</v>
      </c>
      <c r="O691" s="361">
        <f>'Clearance Fee'!M14</f>
        <v>0</v>
      </c>
      <c r="P691" s="358">
        <f>'Clearance Fee'!N14</f>
        <v>0</v>
      </c>
      <c r="R691" s="358">
        <f>'Clearance Fee'!O14</f>
        <v>0</v>
      </c>
      <c r="T691" s="358">
        <f>'Clearance Fee'!P14</f>
        <v>0</v>
      </c>
      <c r="V691" s="365">
        <f>'Clearance Fee'!Q14</f>
        <v>0</v>
      </c>
      <c r="W691" s="358">
        <f>'Clearance Fee'!R14</f>
        <v>0</v>
      </c>
      <c r="X691" s="358">
        <f>'Clearance Fee'!S14</f>
        <v>0</v>
      </c>
      <c r="Y691" s="358">
        <f>'Clearance Fee'!T14</f>
        <v>0</v>
      </c>
    </row>
    <row r="692" spans="1:25" x14ac:dyDescent="0.35">
      <c r="A692">
        <v>691</v>
      </c>
      <c r="B692" t="s">
        <v>1350</v>
      </c>
      <c r="C692" t="s">
        <v>953</v>
      </c>
      <c r="D692" t="s">
        <v>14</v>
      </c>
      <c r="E692" t="s">
        <v>1824</v>
      </c>
      <c r="F692" t="s">
        <v>1836</v>
      </c>
      <c r="G692" t="s">
        <v>1836</v>
      </c>
      <c r="H692" s="358">
        <v>13.5</v>
      </c>
      <c r="J692" s="358">
        <f t="shared" si="0"/>
        <v>0</v>
      </c>
      <c r="L692" s="358">
        <f>'Clearance Fee'!B15</f>
        <v>13.5</v>
      </c>
      <c r="N692" s="361">
        <f>'Clearance Fee'!L15</f>
        <v>0</v>
      </c>
      <c r="O692" s="361">
        <f>'Clearance Fee'!M15</f>
        <v>0</v>
      </c>
      <c r="P692" s="358">
        <f>'Clearance Fee'!N15</f>
        <v>13.5</v>
      </c>
      <c r="R692" s="358">
        <f>'Clearance Fee'!O15</f>
        <v>0</v>
      </c>
      <c r="T692" s="358">
        <f>'Clearance Fee'!P15</f>
        <v>13.5</v>
      </c>
      <c r="V692" s="365">
        <f>'Clearance Fee'!Q15</f>
        <v>0</v>
      </c>
      <c r="W692" s="358">
        <f>'Clearance Fee'!R15</f>
        <v>0</v>
      </c>
      <c r="X692" s="358">
        <f>'Clearance Fee'!S15</f>
        <v>0</v>
      </c>
      <c r="Y692" s="358">
        <f>'Clearance Fee'!T15</f>
        <v>0</v>
      </c>
    </row>
    <row r="693" spans="1:25" x14ac:dyDescent="0.35">
      <c r="A693">
        <v>692</v>
      </c>
      <c r="B693" t="s">
        <v>1350</v>
      </c>
      <c r="C693" t="s">
        <v>953</v>
      </c>
      <c r="D693" t="s">
        <v>14</v>
      </c>
      <c r="E693" t="s">
        <v>1824</v>
      </c>
      <c r="F693" t="s">
        <v>1837</v>
      </c>
      <c r="G693" t="s">
        <v>1837</v>
      </c>
      <c r="H693" s="358">
        <v>0</v>
      </c>
      <c r="J693" s="358">
        <f t="shared" si="0"/>
        <v>0</v>
      </c>
      <c r="L693" s="358">
        <f>'Clearance Fee'!B16</f>
        <v>0</v>
      </c>
      <c r="N693" s="361">
        <f>'Clearance Fee'!L16</f>
        <v>0</v>
      </c>
      <c r="O693" s="361">
        <f>'Clearance Fee'!M16</f>
        <v>0</v>
      </c>
      <c r="P693" s="358">
        <f>'Clearance Fee'!N16</f>
        <v>0</v>
      </c>
      <c r="R693" s="358">
        <f>'Clearance Fee'!O16</f>
        <v>0</v>
      </c>
      <c r="T693" s="358">
        <f>'Clearance Fee'!P16</f>
        <v>0</v>
      </c>
      <c r="V693" s="365">
        <f>'Clearance Fee'!Q16</f>
        <v>0</v>
      </c>
      <c r="W693" s="358">
        <f>'Clearance Fee'!R16</f>
        <v>0</v>
      </c>
      <c r="X693" s="358">
        <f>'Clearance Fee'!S16</f>
        <v>0</v>
      </c>
      <c r="Y693" s="358">
        <f>'Clearance Fee'!T16</f>
        <v>0</v>
      </c>
    </row>
    <row r="694" spans="1:25" x14ac:dyDescent="0.35">
      <c r="A694">
        <v>693</v>
      </c>
      <c r="B694" t="s">
        <v>1350</v>
      </c>
      <c r="C694" t="s">
        <v>953</v>
      </c>
      <c r="D694" t="s">
        <v>14</v>
      </c>
      <c r="E694" t="s">
        <v>1824</v>
      </c>
      <c r="F694" t="s">
        <v>1838</v>
      </c>
      <c r="G694" t="s">
        <v>1838</v>
      </c>
      <c r="H694" s="358">
        <v>150</v>
      </c>
      <c r="J694" s="358">
        <f t="shared" si="0"/>
        <v>0</v>
      </c>
      <c r="L694" s="358">
        <f>'Clearance Fee'!B17</f>
        <v>150</v>
      </c>
      <c r="N694" s="361">
        <f>'Clearance Fee'!L17</f>
        <v>0</v>
      </c>
      <c r="O694" s="361">
        <f>'Clearance Fee'!M17</f>
        <v>0</v>
      </c>
      <c r="P694" s="358">
        <f>'Clearance Fee'!N17</f>
        <v>150</v>
      </c>
      <c r="R694" s="358">
        <f>'Clearance Fee'!O17</f>
        <v>0</v>
      </c>
      <c r="T694" s="358">
        <f>'Clearance Fee'!P17</f>
        <v>150</v>
      </c>
      <c r="V694" s="365">
        <f>'Clearance Fee'!Q17</f>
        <v>0</v>
      </c>
      <c r="W694" s="358">
        <f>'Clearance Fee'!R17</f>
        <v>0</v>
      </c>
      <c r="X694" s="358">
        <f>'Clearance Fee'!S17</f>
        <v>0</v>
      </c>
      <c r="Y694" s="358">
        <f>'Clearance Fee'!T17</f>
        <v>0</v>
      </c>
    </row>
    <row r="695" spans="1:25" x14ac:dyDescent="0.35">
      <c r="A695">
        <v>694</v>
      </c>
      <c r="B695" t="s">
        <v>1350</v>
      </c>
      <c r="C695" t="s">
        <v>953</v>
      </c>
      <c r="D695" t="s">
        <v>14</v>
      </c>
      <c r="E695" t="s">
        <v>1824</v>
      </c>
      <c r="F695" t="s">
        <v>1839</v>
      </c>
      <c r="G695" t="s">
        <v>1839</v>
      </c>
      <c r="H695" s="358">
        <v>74</v>
      </c>
      <c r="J695" s="358">
        <f t="shared" si="0"/>
        <v>0</v>
      </c>
      <c r="L695" s="358">
        <f>'Clearance Fee'!B18</f>
        <v>74</v>
      </c>
      <c r="N695" s="361">
        <f>'Clearance Fee'!L18</f>
        <v>0</v>
      </c>
      <c r="O695" s="361">
        <f>'Clearance Fee'!M18</f>
        <v>0</v>
      </c>
      <c r="P695" s="358">
        <f>'Clearance Fee'!N18</f>
        <v>74</v>
      </c>
      <c r="R695" s="358">
        <f>'Clearance Fee'!O18</f>
        <v>0</v>
      </c>
      <c r="T695" s="358">
        <f>'Clearance Fee'!P18</f>
        <v>74</v>
      </c>
      <c r="V695" s="365">
        <f>'Clearance Fee'!Q18</f>
        <v>0</v>
      </c>
      <c r="W695" s="358">
        <f>'Clearance Fee'!R18</f>
        <v>0</v>
      </c>
      <c r="X695" s="358">
        <f>'Clearance Fee'!S18</f>
        <v>0</v>
      </c>
      <c r="Y695" s="358">
        <f>'Clearance Fee'!T18</f>
        <v>0</v>
      </c>
    </row>
    <row r="696" spans="1:25" x14ac:dyDescent="0.35">
      <c r="A696">
        <v>695</v>
      </c>
      <c r="B696" t="s">
        <v>1350</v>
      </c>
      <c r="C696" t="s">
        <v>953</v>
      </c>
      <c r="D696" t="s">
        <v>14</v>
      </c>
      <c r="E696" t="s">
        <v>1824</v>
      </c>
      <c r="F696" t="s">
        <v>1840</v>
      </c>
      <c r="G696" t="s">
        <v>1840</v>
      </c>
      <c r="H696" s="358">
        <v>0</v>
      </c>
      <c r="J696" s="358">
        <f t="shared" si="0"/>
        <v>0</v>
      </c>
      <c r="L696" s="358">
        <f>'Clearance Fee'!B19</f>
        <v>0</v>
      </c>
      <c r="N696" s="361">
        <f>'Clearance Fee'!L19</f>
        <v>0</v>
      </c>
      <c r="O696" s="361">
        <f>'Clearance Fee'!M19</f>
        <v>0</v>
      </c>
      <c r="P696" s="358">
        <f>'Clearance Fee'!N19</f>
        <v>0</v>
      </c>
      <c r="R696" s="358">
        <f>'Clearance Fee'!O19</f>
        <v>0</v>
      </c>
      <c r="T696" s="358">
        <f>'Clearance Fee'!P19</f>
        <v>0</v>
      </c>
      <c r="V696" s="365">
        <f>'Clearance Fee'!Q19</f>
        <v>0</v>
      </c>
      <c r="W696" s="358">
        <f>'Clearance Fee'!R19</f>
        <v>0</v>
      </c>
      <c r="X696" s="358">
        <f>'Clearance Fee'!S19</f>
        <v>0</v>
      </c>
      <c r="Y696" s="358">
        <f>'Clearance Fee'!T19</f>
        <v>0</v>
      </c>
    </row>
    <row r="697" spans="1:25" x14ac:dyDescent="0.35">
      <c r="A697">
        <v>696</v>
      </c>
      <c r="B697" t="s">
        <v>1350</v>
      </c>
      <c r="C697" t="s">
        <v>953</v>
      </c>
      <c r="D697" t="s">
        <v>14</v>
      </c>
      <c r="E697" t="s">
        <v>1824</v>
      </c>
      <c r="F697" t="s">
        <v>1841</v>
      </c>
      <c r="G697" t="s">
        <v>1841</v>
      </c>
      <c r="H697" s="358">
        <v>27.5</v>
      </c>
      <c r="J697" s="358">
        <f t="shared" si="0"/>
        <v>0</v>
      </c>
      <c r="L697" s="358">
        <f>'Clearance Fee'!B20</f>
        <v>27.5</v>
      </c>
      <c r="N697" s="361">
        <f>'Clearance Fee'!L20</f>
        <v>0</v>
      </c>
      <c r="O697" s="361">
        <f>'Clearance Fee'!M20</f>
        <v>0</v>
      </c>
      <c r="P697" s="358">
        <f>'Clearance Fee'!N20</f>
        <v>27.5</v>
      </c>
      <c r="R697" s="358">
        <f>'Clearance Fee'!O20</f>
        <v>0</v>
      </c>
      <c r="T697" s="358">
        <f>'Clearance Fee'!P20</f>
        <v>27.5</v>
      </c>
      <c r="V697" s="365">
        <f>'Clearance Fee'!Q20</f>
        <v>0</v>
      </c>
      <c r="W697" s="358">
        <f>'Clearance Fee'!R20</f>
        <v>0</v>
      </c>
      <c r="X697" s="358">
        <f>'Clearance Fee'!S20</f>
        <v>0</v>
      </c>
      <c r="Y697" s="358">
        <f>'Clearance Fee'!T20</f>
        <v>0</v>
      </c>
    </row>
    <row r="698" spans="1:25" x14ac:dyDescent="0.35">
      <c r="A698">
        <v>697</v>
      </c>
      <c r="B698" t="s">
        <v>1350</v>
      </c>
      <c r="C698" t="s">
        <v>953</v>
      </c>
      <c r="D698" t="s">
        <v>14</v>
      </c>
      <c r="E698" t="s">
        <v>851</v>
      </c>
      <c r="F698" t="s">
        <v>851</v>
      </c>
      <c r="G698" t="s">
        <v>2002</v>
      </c>
      <c r="H698" s="358">
        <v>55</v>
      </c>
      <c r="J698" s="358">
        <f t="shared" si="0"/>
        <v>0</v>
      </c>
      <c r="L698" s="358">
        <f>'Clearance Fee'!B21</f>
        <v>55</v>
      </c>
      <c r="N698" s="361">
        <f>'Clearance Fee'!L21</f>
        <v>0</v>
      </c>
      <c r="O698" s="361">
        <f>'Clearance Fee'!M21</f>
        <v>0</v>
      </c>
      <c r="P698" s="358">
        <f>'Clearance Fee'!N21</f>
        <v>55</v>
      </c>
      <c r="R698" s="358">
        <f>'Clearance Fee'!O21</f>
        <v>0</v>
      </c>
      <c r="T698" s="358">
        <f>'Clearance Fee'!P21</f>
        <v>55</v>
      </c>
      <c r="V698" s="365">
        <f>'Clearance Fee'!Q21</f>
        <v>0</v>
      </c>
      <c r="W698" s="358">
        <f>'Clearance Fee'!R21</f>
        <v>0</v>
      </c>
      <c r="X698" s="358">
        <f>'Clearance Fee'!S21</f>
        <v>0</v>
      </c>
      <c r="Y698" s="358">
        <f>'Clearance Fee'!T21</f>
        <v>0</v>
      </c>
    </row>
    <row r="699" spans="1:25" ht="16" x14ac:dyDescent="0.4">
      <c r="A699">
        <v>698</v>
      </c>
      <c r="B699" t="s">
        <v>1350</v>
      </c>
      <c r="C699" t="s">
        <v>946</v>
      </c>
      <c r="D699" t="s">
        <v>14</v>
      </c>
      <c r="E699" t="s">
        <v>53</v>
      </c>
      <c r="F699" s="556" t="s">
        <v>2003</v>
      </c>
      <c r="G699" t="s">
        <v>2003</v>
      </c>
      <c r="H699" s="358">
        <v>13</v>
      </c>
      <c r="J699" s="358">
        <f t="shared" si="0"/>
        <v>0</v>
      </c>
      <c r="L699" s="358">
        <f>'Clearance Fee'!B22</f>
        <v>13</v>
      </c>
      <c r="N699" s="361">
        <f>'Clearance Fee'!L22</f>
        <v>0</v>
      </c>
      <c r="O699" s="361">
        <f>'Clearance Fee'!M22</f>
        <v>0</v>
      </c>
      <c r="P699" s="358">
        <f>'Clearance Fee'!N22</f>
        <v>13</v>
      </c>
      <c r="R699" s="358">
        <f>'Clearance Fee'!O22</f>
        <v>0</v>
      </c>
      <c r="T699" s="358">
        <f>'Clearance Fee'!P22</f>
        <v>13</v>
      </c>
      <c r="V699" s="365">
        <f>'Clearance Fee'!Q22</f>
        <v>0</v>
      </c>
      <c r="W699" s="358">
        <f>'Clearance Fee'!R22</f>
        <v>0</v>
      </c>
      <c r="X699" s="358">
        <f>'Clearance Fee'!S22</f>
        <v>0</v>
      </c>
      <c r="Y699" s="358">
        <f>'Clearance Fee'!T22</f>
        <v>0</v>
      </c>
    </row>
    <row r="700" spans="1:25" x14ac:dyDescent="0.35">
      <c r="A700">
        <v>699</v>
      </c>
      <c r="B700" t="s">
        <v>1350</v>
      </c>
      <c r="C700" t="s">
        <v>953</v>
      </c>
      <c r="D700" t="s">
        <v>15</v>
      </c>
      <c r="E700" t="s">
        <v>1824</v>
      </c>
      <c r="F700" t="s">
        <v>1843</v>
      </c>
      <c r="G700" t="s">
        <v>1843</v>
      </c>
      <c r="H700" s="358">
        <v>3.5</v>
      </c>
      <c r="J700" s="358">
        <f t="shared" si="0"/>
        <v>0</v>
      </c>
      <c r="L700" s="358">
        <f>'Clearance Fee'!B25</f>
        <v>3.5</v>
      </c>
      <c r="N700" s="361">
        <f>'Clearance Fee'!L25</f>
        <v>0</v>
      </c>
      <c r="O700" s="361">
        <f>'Clearance Fee'!M25</f>
        <v>0</v>
      </c>
      <c r="P700" s="358">
        <f>'Clearance Fee'!N25</f>
        <v>3.5</v>
      </c>
      <c r="R700" s="358">
        <f>'Clearance Fee'!O25</f>
        <v>0</v>
      </c>
      <c r="T700" s="358">
        <f>'Clearance Fee'!P25</f>
        <v>3.5</v>
      </c>
      <c r="V700" s="365">
        <f>'Clearance Fee'!Q25</f>
        <v>0</v>
      </c>
      <c r="W700" s="358">
        <f>'Clearance Fee'!R25</f>
        <v>0</v>
      </c>
      <c r="X700" s="358">
        <f>'Clearance Fee'!S25</f>
        <v>0</v>
      </c>
      <c r="Y700" s="358">
        <f>'Clearance Fee'!T25</f>
        <v>0</v>
      </c>
    </row>
    <row r="701" spans="1:25" x14ac:dyDescent="0.35">
      <c r="A701">
        <v>700</v>
      </c>
      <c r="B701" t="s">
        <v>1350</v>
      </c>
      <c r="C701" t="s">
        <v>953</v>
      </c>
      <c r="D701" t="s">
        <v>15</v>
      </c>
      <c r="E701" t="s">
        <v>1824</v>
      </c>
      <c r="F701" t="s">
        <v>1844</v>
      </c>
      <c r="G701" t="s">
        <v>1844</v>
      </c>
      <c r="H701" s="358">
        <v>0</v>
      </c>
      <c r="J701" s="358">
        <f t="shared" si="0"/>
        <v>0</v>
      </c>
      <c r="L701" s="358">
        <f>'Clearance Fee'!B26</f>
        <v>0</v>
      </c>
      <c r="N701" s="361">
        <f>'Clearance Fee'!L26</f>
        <v>0</v>
      </c>
      <c r="O701" s="361">
        <f>'Clearance Fee'!M26</f>
        <v>0</v>
      </c>
      <c r="P701" s="358">
        <f>'Clearance Fee'!N26</f>
        <v>0</v>
      </c>
      <c r="R701" s="358">
        <f>'Clearance Fee'!O26</f>
        <v>0</v>
      </c>
      <c r="T701" s="358">
        <f>'Clearance Fee'!P26</f>
        <v>0</v>
      </c>
      <c r="V701" s="365">
        <f>'Clearance Fee'!Q26</f>
        <v>0</v>
      </c>
      <c r="W701" s="358">
        <f>'Clearance Fee'!R26</f>
        <v>0</v>
      </c>
      <c r="X701" s="358">
        <f>'Clearance Fee'!S26</f>
        <v>0</v>
      </c>
      <c r="Y701" s="358">
        <f>'Clearance Fee'!T26</f>
        <v>0</v>
      </c>
    </row>
    <row r="702" spans="1:25" x14ac:dyDescent="0.35">
      <c r="A702">
        <v>701</v>
      </c>
      <c r="B702" t="s">
        <v>1350</v>
      </c>
      <c r="C702" t="s">
        <v>953</v>
      </c>
      <c r="D702" t="s">
        <v>15</v>
      </c>
      <c r="E702" t="s">
        <v>1824</v>
      </c>
      <c r="F702" t="s">
        <v>1845</v>
      </c>
      <c r="G702" t="s">
        <v>1845</v>
      </c>
      <c r="H702" s="358">
        <v>0</v>
      </c>
      <c r="J702" s="358">
        <f t="shared" si="0"/>
        <v>0</v>
      </c>
      <c r="L702" s="358">
        <f>'Clearance Fee'!B27</f>
        <v>0</v>
      </c>
      <c r="N702" s="361">
        <f>'Clearance Fee'!L27</f>
        <v>0</v>
      </c>
      <c r="O702" s="361">
        <f>'Clearance Fee'!M27</f>
        <v>0</v>
      </c>
      <c r="P702" s="358">
        <f>'Clearance Fee'!N27</f>
        <v>0</v>
      </c>
      <c r="R702" s="358">
        <f>'Clearance Fee'!O27</f>
        <v>0</v>
      </c>
      <c r="T702" s="358">
        <f>'Clearance Fee'!P27</f>
        <v>0</v>
      </c>
      <c r="V702" s="365">
        <f>'Clearance Fee'!Q27</f>
        <v>0</v>
      </c>
      <c r="W702" s="358">
        <f>'Clearance Fee'!R27</f>
        <v>0</v>
      </c>
      <c r="X702" s="358">
        <f>'Clearance Fee'!S27</f>
        <v>0</v>
      </c>
      <c r="Y702" s="358">
        <f>'Clearance Fee'!T27</f>
        <v>0</v>
      </c>
    </row>
    <row r="703" spans="1:25" x14ac:dyDescent="0.35">
      <c r="A703">
        <v>702</v>
      </c>
      <c r="B703" t="s">
        <v>1350</v>
      </c>
      <c r="C703" t="s">
        <v>953</v>
      </c>
      <c r="D703" t="s">
        <v>15</v>
      </c>
      <c r="E703" t="s">
        <v>1824</v>
      </c>
      <c r="F703" t="s">
        <v>1846</v>
      </c>
      <c r="G703" t="s">
        <v>1846</v>
      </c>
      <c r="H703" s="358">
        <v>2</v>
      </c>
      <c r="J703" s="358">
        <f t="shared" si="0"/>
        <v>0</v>
      </c>
      <c r="L703" s="358">
        <f>'Clearance Fee'!B28</f>
        <v>2</v>
      </c>
      <c r="N703" s="361">
        <f>'Clearance Fee'!L28</f>
        <v>0</v>
      </c>
      <c r="O703" s="361">
        <f>'Clearance Fee'!M28</f>
        <v>0</v>
      </c>
      <c r="P703" s="358">
        <f>'Clearance Fee'!N28</f>
        <v>2</v>
      </c>
      <c r="R703" s="358">
        <f>'Clearance Fee'!O28</f>
        <v>0</v>
      </c>
      <c r="T703" s="358">
        <f>'Clearance Fee'!P28</f>
        <v>2</v>
      </c>
      <c r="V703" s="365">
        <f>'Clearance Fee'!Q28</f>
        <v>0</v>
      </c>
      <c r="W703" s="358">
        <f>'Clearance Fee'!R28</f>
        <v>0</v>
      </c>
      <c r="X703" s="358">
        <f>'Clearance Fee'!S28</f>
        <v>0</v>
      </c>
      <c r="Y703" s="358">
        <f>'Clearance Fee'!T28</f>
        <v>0</v>
      </c>
    </row>
    <row r="704" spans="1:25" x14ac:dyDescent="0.35">
      <c r="A704">
        <v>703</v>
      </c>
      <c r="B704" t="s">
        <v>1350</v>
      </c>
      <c r="C704" t="s">
        <v>953</v>
      </c>
      <c r="D704" t="s">
        <v>15</v>
      </c>
      <c r="E704" t="s">
        <v>1824</v>
      </c>
      <c r="F704" t="s">
        <v>1847</v>
      </c>
      <c r="G704" t="s">
        <v>1847</v>
      </c>
      <c r="H704" s="358">
        <v>0</v>
      </c>
      <c r="J704" s="358">
        <f t="shared" si="0"/>
        <v>0</v>
      </c>
      <c r="L704" s="358">
        <f>'Clearance Fee'!B29</f>
        <v>0</v>
      </c>
      <c r="N704" s="361">
        <f>'Clearance Fee'!L29</f>
        <v>0</v>
      </c>
      <c r="O704" s="361">
        <f>'Clearance Fee'!M29</f>
        <v>0</v>
      </c>
      <c r="P704" s="358">
        <f>'Clearance Fee'!N29</f>
        <v>0</v>
      </c>
      <c r="R704" s="358">
        <f>'Clearance Fee'!O29</f>
        <v>0</v>
      </c>
      <c r="T704" s="358">
        <f>'Clearance Fee'!P29</f>
        <v>0</v>
      </c>
      <c r="V704" s="365">
        <f>'Clearance Fee'!Q29</f>
        <v>0</v>
      </c>
      <c r="W704" s="358">
        <f>'Clearance Fee'!R29</f>
        <v>0</v>
      </c>
      <c r="X704" s="358">
        <f>'Clearance Fee'!S29</f>
        <v>0</v>
      </c>
      <c r="Y704" s="358">
        <f>'Clearance Fee'!T29</f>
        <v>0</v>
      </c>
    </row>
    <row r="705" spans="1:25" x14ac:dyDescent="0.35">
      <c r="A705">
        <v>704</v>
      </c>
      <c r="B705" t="s">
        <v>1350</v>
      </c>
      <c r="C705" t="s">
        <v>953</v>
      </c>
      <c r="D705" t="s">
        <v>15</v>
      </c>
      <c r="E705" t="s">
        <v>1824</v>
      </c>
      <c r="F705" t="s">
        <v>1848</v>
      </c>
      <c r="G705" t="s">
        <v>1848</v>
      </c>
      <c r="H705" s="358">
        <v>27.5</v>
      </c>
      <c r="J705" s="358">
        <f t="shared" si="0"/>
        <v>0</v>
      </c>
      <c r="L705" s="358">
        <f>'Clearance Fee'!B30</f>
        <v>27.5</v>
      </c>
      <c r="N705" s="361">
        <f>'Clearance Fee'!L30</f>
        <v>0</v>
      </c>
      <c r="O705" s="361">
        <f>'Clearance Fee'!M30</f>
        <v>0</v>
      </c>
      <c r="P705" s="358">
        <f>'Clearance Fee'!N30</f>
        <v>27.5</v>
      </c>
      <c r="R705" s="358">
        <f>'Clearance Fee'!O30</f>
        <v>0</v>
      </c>
      <c r="T705" s="358">
        <f>'Clearance Fee'!P30</f>
        <v>27.5</v>
      </c>
      <c r="V705" s="365">
        <f>'Clearance Fee'!Q30</f>
        <v>0</v>
      </c>
      <c r="W705" s="358">
        <f>'Clearance Fee'!R30</f>
        <v>0</v>
      </c>
      <c r="X705" s="358">
        <f>'Clearance Fee'!S30</f>
        <v>0</v>
      </c>
      <c r="Y705" s="358">
        <f>'Clearance Fee'!T30</f>
        <v>0</v>
      </c>
    </row>
    <row r="706" spans="1:25" x14ac:dyDescent="0.35">
      <c r="A706">
        <v>705</v>
      </c>
      <c r="B706" t="s">
        <v>1350</v>
      </c>
      <c r="C706" t="s">
        <v>953</v>
      </c>
      <c r="D706" t="s">
        <v>15</v>
      </c>
      <c r="E706" t="s">
        <v>1824</v>
      </c>
      <c r="F706" t="s">
        <v>1849</v>
      </c>
      <c r="G706" t="s">
        <v>1849</v>
      </c>
      <c r="H706" s="358">
        <v>20</v>
      </c>
      <c r="J706" s="358">
        <f t="shared" si="0"/>
        <v>0</v>
      </c>
      <c r="L706" s="358">
        <f>'Clearance Fee'!B31</f>
        <v>20</v>
      </c>
      <c r="N706" s="361">
        <f>'Clearance Fee'!L31</f>
        <v>0</v>
      </c>
      <c r="O706" s="361">
        <f>'Clearance Fee'!M31</f>
        <v>0</v>
      </c>
      <c r="P706" s="358">
        <f>'Clearance Fee'!N31</f>
        <v>20</v>
      </c>
      <c r="R706" s="358">
        <f>'Clearance Fee'!O31</f>
        <v>0</v>
      </c>
      <c r="T706" s="358">
        <f>'Clearance Fee'!P31</f>
        <v>20</v>
      </c>
      <c r="V706" s="365">
        <f>'Clearance Fee'!Q31</f>
        <v>0</v>
      </c>
      <c r="W706" s="358">
        <f>'Clearance Fee'!R31</f>
        <v>0</v>
      </c>
      <c r="X706" s="358">
        <f>'Clearance Fee'!S31</f>
        <v>0</v>
      </c>
      <c r="Y706" s="358">
        <f>'Clearance Fee'!T31</f>
        <v>0</v>
      </c>
    </row>
    <row r="707" spans="1:25" x14ac:dyDescent="0.35">
      <c r="A707">
        <v>706</v>
      </c>
      <c r="B707" t="s">
        <v>1350</v>
      </c>
      <c r="C707" t="s">
        <v>953</v>
      </c>
      <c r="D707" t="s">
        <v>15</v>
      </c>
      <c r="E707" t="s">
        <v>1824</v>
      </c>
      <c r="F707" t="s">
        <v>1850</v>
      </c>
      <c r="G707" t="s">
        <v>1850</v>
      </c>
      <c r="H707" s="358">
        <v>0</v>
      </c>
      <c r="J707" s="358">
        <f t="shared" si="0"/>
        <v>0</v>
      </c>
      <c r="L707" s="358">
        <f>'Clearance Fee'!B32</f>
        <v>0</v>
      </c>
      <c r="N707" s="361">
        <f>'Clearance Fee'!L32</f>
        <v>0</v>
      </c>
      <c r="O707" s="361">
        <f>'Clearance Fee'!M32</f>
        <v>0</v>
      </c>
      <c r="P707" s="358">
        <f>'Clearance Fee'!N32</f>
        <v>0</v>
      </c>
      <c r="R707" s="358">
        <f>'Clearance Fee'!O32</f>
        <v>0</v>
      </c>
      <c r="T707" s="358">
        <f>'Clearance Fee'!P32</f>
        <v>0</v>
      </c>
      <c r="V707" s="365">
        <f>'Clearance Fee'!Q32</f>
        <v>0</v>
      </c>
      <c r="W707" s="358">
        <f>'Clearance Fee'!R32</f>
        <v>0</v>
      </c>
      <c r="X707" s="358">
        <f>'Clearance Fee'!S32</f>
        <v>0</v>
      </c>
      <c r="Y707" s="358">
        <f>'Clearance Fee'!T32</f>
        <v>0</v>
      </c>
    </row>
    <row r="708" spans="1:25" x14ac:dyDescent="0.35">
      <c r="A708">
        <v>707</v>
      </c>
      <c r="B708" t="s">
        <v>1350</v>
      </c>
      <c r="C708" t="s">
        <v>953</v>
      </c>
      <c r="D708" t="s">
        <v>15</v>
      </c>
      <c r="E708" t="s">
        <v>1824</v>
      </c>
      <c r="F708" t="s">
        <v>1851</v>
      </c>
      <c r="G708" t="s">
        <v>1851</v>
      </c>
      <c r="H708" s="358">
        <v>0</v>
      </c>
      <c r="J708" s="358">
        <f t="shared" si="0"/>
        <v>0</v>
      </c>
      <c r="L708" s="358">
        <f>'Clearance Fee'!B33</f>
        <v>0</v>
      </c>
      <c r="N708" s="361">
        <f>'Clearance Fee'!L33</f>
        <v>0</v>
      </c>
      <c r="O708" s="361">
        <f>'Clearance Fee'!M33</f>
        <v>0</v>
      </c>
      <c r="P708" s="358">
        <f>'Clearance Fee'!N33</f>
        <v>0</v>
      </c>
      <c r="R708" s="358">
        <f>'Clearance Fee'!O33</f>
        <v>0</v>
      </c>
      <c r="T708" s="358">
        <f>'Clearance Fee'!P33</f>
        <v>0</v>
      </c>
      <c r="V708" s="365">
        <f>'Clearance Fee'!Q33</f>
        <v>0</v>
      </c>
      <c r="W708" s="358">
        <f>'Clearance Fee'!R33</f>
        <v>0</v>
      </c>
      <c r="X708" s="358">
        <f>'Clearance Fee'!S33</f>
        <v>0</v>
      </c>
      <c r="Y708" s="358">
        <f>'Clearance Fee'!T33</f>
        <v>0</v>
      </c>
    </row>
    <row r="709" spans="1:25" x14ac:dyDescent="0.35">
      <c r="A709">
        <v>708</v>
      </c>
      <c r="B709" t="s">
        <v>1350</v>
      </c>
      <c r="C709" t="s">
        <v>953</v>
      </c>
      <c r="D709" t="s">
        <v>15</v>
      </c>
      <c r="E709" t="s">
        <v>1824</v>
      </c>
      <c r="F709" t="s">
        <v>1852</v>
      </c>
      <c r="G709" t="s">
        <v>1852</v>
      </c>
      <c r="H709" s="358">
        <v>0</v>
      </c>
      <c r="J709" s="358">
        <f t="shared" si="0"/>
        <v>0</v>
      </c>
      <c r="L709" s="358">
        <f>'Clearance Fee'!B34</f>
        <v>0</v>
      </c>
      <c r="N709" s="361">
        <f>'Clearance Fee'!L34</f>
        <v>0</v>
      </c>
      <c r="O709" s="361">
        <f>'Clearance Fee'!M34</f>
        <v>0</v>
      </c>
      <c r="P709" s="358">
        <f>'Clearance Fee'!N34</f>
        <v>0</v>
      </c>
      <c r="R709" s="358">
        <f>'Clearance Fee'!O34</f>
        <v>0</v>
      </c>
      <c r="T709" s="358">
        <f>'Clearance Fee'!P34</f>
        <v>0</v>
      </c>
      <c r="V709" s="365">
        <f>'Clearance Fee'!Q34</f>
        <v>0</v>
      </c>
      <c r="W709" s="358">
        <f>'Clearance Fee'!R34</f>
        <v>0</v>
      </c>
      <c r="X709" s="358">
        <f>'Clearance Fee'!S34</f>
        <v>0</v>
      </c>
      <c r="Y709" s="358">
        <f>'Clearance Fee'!T34</f>
        <v>0</v>
      </c>
    </row>
    <row r="710" spans="1:25" x14ac:dyDescent="0.35">
      <c r="A710">
        <v>709</v>
      </c>
      <c r="B710" t="s">
        <v>1350</v>
      </c>
      <c r="C710" t="s">
        <v>953</v>
      </c>
      <c r="D710" t="s">
        <v>15</v>
      </c>
      <c r="E710" t="s">
        <v>1824</v>
      </c>
      <c r="F710" t="s">
        <v>1854</v>
      </c>
      <c r="G710" t="s">
        <v>1854</v>
      </c>
      <c r="H710" s="358">
        <v>5.3</v>
      </c>
      <c r="J710" s="358">
        <f t="shared" si="0"/>
        <v>0</v>
      </c>
      <c r="L710" s="358">
        <f>'Clearance Fee'!B37</f>
        <v>5.3</v>
      </c>
      <c r="N710" s="361">
        <f>'Clearance Fee'!L37</f>
        <v>0</v>
      </c>
      <c r="O710" s="361">
        <f>'Clearance Fee'!M37</f>
        <v>0</v>
      </c>
      <c r="P710" s="358">
        <f>'Clearance Fee'!N37</f>
        <v>5.3</v>
      </c>
      <c r="R710" s="358">
        <f>'Clearance Fee'!O37</f>
        <v>0</v>
      </c>
      <c r="T710" s="358">
        <f>'Clearance Fee'!P37</f>
        <v>5.3</v>
      </c>
      <c r="V710" s="365">
        <f>'Clearance Fee'!Q37</f>
        <v>0</v>
      </c>
      <c r="W710" s="358">
        <f>'Clearance Fee'!R37</f>
        <v>0</v>
      </c>
      <c r="X710" s="358">
        <f>'Clearance Fee'!S37</f>
        <v>0</v>
      </c>
      <c r="Y710" s="358">
        <f>'Clearance Fee'!T37</f>
        <v>0</v>
      </c>
    </row>
    <row r="711" spans="1:25" x14ac:dyDescent="0.35">
      <c r="A711">
        <v>710</v>
      </c>
      <c r="B711" t="s">
        <v>1350</v>
      </c>
      <c r="C711" t="s">
        <v>953</v>
      </c>
      <c r="D711" t="s">
        <v>15</v>
      </c>
      <c r="E711" t="s">
        <v>1824</v>
      </c>
      <c r="F711" t="s">
        <v>1855</v>
      </c>
      <c r="G711" t="s">
        <v>1855</v>
      </c>
      <c r="H711" s="358">
        <v>0</v>
      </c>
      <c r="J711" s="358">
        <f t="shared" si="0"/>
        <v>0</v>
      </c>
      <c r="L711" s="358">
        <f>'Clearance Fee'!B38</f>
        <v>0</v>
      </c>
      <c r="N711" s="361">
        <f>'Clearance Fee'!L38</f>
        <v>0</v>
      </c>
      <c r="O711" s="361">
        <f>'Clearance Fee'!M38</f>
        <v>0</v>
      </c>
      <c r="P711" s="358">
        <f>'Clearance Fee'!N38</f>
        <v>0</v>
      </c>
      <c r="R711" s="358">
        <f>'Clearance Fee'!O38</f>
        <v>0</v>
      </c>
      <c r="T711" s="358">
        <f>'Clearance Fee'!P38</f>
        <v>0</v>
      </c>
      <c r="V711" s="365">
        <f>'Clearance Fee'!Q38</f>
        <v>0</v>
      </c>
      <c r="W711" s="358">
        <f>'Clearance Fee'!R38</f>
        <v>0</v>
      </c>
      <c r="X711" s="358">
        <f>'Clearance Fee'!S38</f>
        <v>0</v>
      </c>
      <c r="Y711" s="358">
        <f>'Clearance Fee'!T38</f>
        <v>0</v>
      </c>
    </row>
    <row r="712" spans="1:25" x14ac:dyDescent="0.35">
      <c r="A712">
        <v>711</v>
      </c>
      <c r="B712" t="s">
        <v>1350</v>
      </c>
      <c r="C712" t="s">
        <v>953</v>
      </c>
      <c r="D712" t="s">
        <v>15</v>
      </c>
      <c r="E712" t="s">
        <v>1824</v>
      </c>
      <c r="F712" t="s">
        <v>1856</v>
      </c>
      <c r="G712" t="s">
        <v>1856</v>
      </c>
      <c r="H712" s="358">
        <v>0</v>
      </c>
      <c r="J712" s="358">
        <f t="shared" si="0"/>
        <v>0</v>
      </c>
      <c r="L712" s="358">
        <f>'Clearance Fee'!B39</f>
        <v>0</v>
      </c>
      <c r="N712" s="361">
        <f>'Clearance Fee'!L39</f>
        <v>0</v>
      </c>
      <c r="O712" s="361">
        <f>'Clearance Fee'!M39</f>
        <v>0</v>
      </c>
      <c r="P712" s="358">
        <f>'Clearance Fee'!N39</f>
        <v>0</v>
      </c>
      <c r="R712" s="358">
        <f>'Clearance Fee'!O39</f>
        <v>0</v>
      </c>
      <c r="T712" s="358">
        <f>'Clearance Fee'!P39</f>
        <v>0</v>
      </c>
      <c r="V712" s="365">
        <f>'Clearance Fee'!Q39</f>
        <v>0</v>
      </c>
      <c r="W712" s="358">
        <f>'Clearance Fee'!R39</f>
        <v>0</v>
      </c>
      <c r="X712" s="358">
        <f>'Clearance Fee'!S39</f>
        <v>0</v>
      </c>
      <c r="Y712" s="358">
        <f>'Clearance Fee'!T39</f>
        <v>0</v>
      </c>
    </row>
    <row r="713" spans="1:25" x14ac:dyDescent="0.35">
      <c r="A713">
        <v>712</v>
      </c>
      <c r="B713" t="s">
        <v>1350</v>
      </c>
      <c r="C713" t="s">
        <v>953</v>
      </c>
      <c r="D713" t="s">
        <v>15</v>
      </c>
      <c r="E713" t="s">
        <v>1824</v>
      </c>
      <c r="F713" t="s">
        <v>1857</v>
      </c>
      <c r="G713" t="s">
        <v>1857</v>
      </c>
      <c r="H713" s="358">
        <v>120</v>
      </c>
      <c r="J713" s="358">
        <f t="shared" si="0"/>
        <v>0</v>
      </c>
      <c r="L713" s="358">
        <f>'Clearance Fee'!B40</f>
        <v>120</v>
      </c>
      <c r="N713" s="361">
        <f>'Clearance Fee'!L40</f>
        <v>0</v>
      </c>
      <c r="O713" s="361">
        <f>'Clearance Fee'!M40</f>
        <v>0</v>
      </c>
      <c r="P713" s="358">
        <f>'Clearance Fee'!N40</f>
        <v>120</v>
      </c>
      <c r="R713" s="358">
        <f>'Clearance Fee'!O40</f>
        <v>0</v>
      </c>
      <c r="T713" s="358">
        <f>'Clearance Fee'!P40</f>
        <v>120</v>
      </c>
      <c r="V713" s="365">
        <f>'Clearance Fee'!Q40</f>
        <v>0</v>
      </c>
      <c r="W713" s="358">
        <f>'Clearance Fee'!R40</f>
        <v>0</v>
      </c>
      <c r="X713" s="358">
        <f>'Clearance Fee'!S40</f>
        <v>0</v>
      </c>
      <c r="Y713" s="358">
        <f>'Clearance Fee'!T40</f>
        <v>0</v>
      </c>
    </row>
    <row r="714" spans="1:25" x14ac:dyDescent="0.35">
      <c r="A714">
        <v>713</v>
      </c>
      <c r="B714" t="s">
        <v>1350</v>
      </c>
      <c r="C714" t="s">
        <v>953</v>
      </c>
      <c r="D714" t="s">
        <v>15</v>
      </c>
      <c r="E714" t="s">
        <v>1824</v>
      </c>
      <c r="F714" t="s">
        <v>1858</v>
      </c>
      <c r="G714" t="s">
        <v>1858</v>
      </c>
      <c r="H714" s="358">
        <v>16.5</v>
      </c>
      <c r="J714" s="358">
        <f t="shared" si="0"/>
        <v>0</v>
      </c>
      <c r="L714" s="358">
        <f>'Clearance Fee'!B41</f>
        <v>16.5</v>
      </c>
      <c r="N714" s="361">
        <f>'Clearance Fee'!L41</f>
        <v>0</v>
      </c>
      <c r="O714" s="361">
        <f>'Clearance Fee'!M41</f>
        <v>0</v>
      </c>
      <c r="P714" s="358">
        <f>'Clearance Fee'!N41</f>
        <v>16.5</v>
      </c>
      <c r="R714" s="358">
        <f>'Clearance Fee'!O41</f>
        <v>0</v>
      </c>
      <c r="T714" s="358">
        <f>'Clearance Fee'!P41</f>
        <v>16.5</v>
      </c>
      <c r="V714" s="365">
        <f>'Clearance Fee'!Q41</f>
        <v>0</v>
      </c>
      <c r="W714" s="358">
        <f>'Clearance Fee'!R41</f>
        <v>0</v>
      </c>
      <c r="X714" s="358">
        <f>'Clearance Fee'!S41</f>
        <v>0</v>
      </c>
      <c r="Y714" s="358">
        <f>'Clearance Fee'!T41</f>
        <v>0</v>
      </c>
    </row>
    <row r="715" spans="1:25" x14ac:dyDescent="0.35">
      <c r="A715">
        <v>714</v>
      </c>
      <c r="B715" t="s">
        <v>1350</v>
      </c>
      <c r="C715" t="s">
        <v>953</v>
      </c>
      <c r="D715" t="s">
        <v>15</v>
      </c>
      <c r="E715" t="s">
        <v>1824</v>
      </c>
      <c r="F715" t="s">
        <v>1859</v>
      </c>
      <c r="G715" t="s">
        <v>1859</v>
      </c>
      <c r="H715" s="358">
        <v>0</v>
      </c>
      <c r="J715" s="358">
        <f t="shared" ref="J715:J748" si="1">L715-H715</f>
        <v>0</v>
      </c>
      <c r="L715" s="358">
        <f>'Clearance Fee'!B42</f>
        <v>0</v>
      </c>
      <c r="N715" s="361">
        <f>'Clearance Fee'!L42</f>
        <v>0</v>
      </c>
      <c r="O715" s="361">
        <f>'Clearance Fee'!M42</f>
        <v>0</v>
      </c>
      <c r="P715" s="358">
        <f>'Clearance Fee'!N42</f>
        <v>0</v>
      </c>
      <c r="R715" s="358">
        <f>'Clearance Fee'!O42</f>
        <v>0</v>
      </c>
      <c r="T715" s="358">
        <f>'Clearance Fee'!P42</f>
        <v>0</v>
      </c>
      <c r="V715" s="365">
        <f>'Clearance Fee'!Q42</f>
        <v>0</v>
      </c>
      <c r="W715" s="358">
        <f>'Clearance Fee'!R42</f>
        <v>0</v>
      </c>
      <c r="X715" s="358">
        <f>'Clearance Fee'!S42</f>
        <v>0</v>
      </c>
      <c r="Y715" s="358">
        <f>'Clearance Fee'!T42</f>
        <v>0</v>
      </c>
    </row>
    <row r="716" spans="1:25" x14ac:dyDescent="0.35">
      <c r="A716">
        <v>715</v>
      </c>
      <c r="B716" t="s">
        <v>1351</v>
      </c>
      <c r="C716" t="s">
        <v>953</v>
      </c>
      <c r="D716" t="s">
        <v>14</v>
      </c>
      <c r="E716" t="s">
        <v>1824</v>
      </c>
      <c r="F716" t="s">
        <v>1827</v>
      </c>
      <c r="G716" t="s">
        <v>1827</v>
      </c>
      <c r="H716" s="358">
        <v>3.5</v>
      </c>
      <c r="J716" s="358">
        <f t="shared" si="1"/>
        <v>0</v>
      </c>
      <c r="L716" s="358">
        <f>'Clearance Fee'!B6</f>
        <v>3.5</v>
      </c>
      <c r="N716" s="361">
        <f>'Clearance Fee'!U6</f>
        <v>0</v>
      </c>
      <c r="O716" s="361">
        <f>'Clearance Fee'!V6</f>
        <v>0</v>
      </c>
      <c r="P716" s="358">
        <f>'Clearance Fee'!W6</f>
        <v>3.5</v>
      </c>
      <c r="R716" s="358">
        <f>'Clearance Fee'!X6</f>
        <v>0</v>
      </c>
      <c r="T716" s="358">
        <f>'Clearance Fee'!Y6</f>
        <v>3.5</v>
      </c>
      <c r="V716" s="365">
        <f>'Clearance Fee'!Z6</f>
        <v>0</v>
      </c>
      <c r="W716" s="358">
        <f>'Clearance Fee'!AA6</f>
        <v>0</v>
      </c>
      <c r="X716" s="358">
        <f>'Clearance Fee'!AB6</f>
        <v>0</v>
      </c>
      <c r="Y716" s="358">
        <f>'Clearance Fee'!AC6</f>
        <v>0</v>
      </c>
    </row>
    <row r="717" spans="1:25" x14ac:dyDescent="0.35">
      <c r="A717">
        <v>716</v>
      </c>
      <c r="B717" t="s">
        <v>1351</v>
      </c>
      <c r="C717" t="s">
        <v>953</v>
      </c>
      <c r="D717" t="s">
        <v>14</v>
      </c>
      <c r="E717" t="s">
        <v>1824</v>
      </c>
      <c r="F717" t="s">
        <v>1828</v>
      </c>
      <c r="G717" t="s">
        <v>1828</v>
      </c>
      <c r="H717" s="358">
        <v>0</v>
      </c>
      <c r="J717" s="358">
        <f t="shared" si="1"/>
        <v>0</v>
      </c>
      <c r="L717" s="358">
        <f>'Clearance Fee'!B7</f>
        <v>0</v>
      </c>
      <c r="N717" s="361">
        <f>'Clearance Fee'!U7</f>
        <v>0</v>
      </c>
      <c r="O717" s="361">
        <f>'Clearance Fee'!V7</f>
        <v>0</v>
      </c>
      <c r="P717" s="358">
        <f>'Clearance Fee'!W7</f>
        <v>0</v>
      </c>
      <c r="R717" s="358">
        <f>'Clearance Fee'!X7</f>
        <v>0</v>
      </c>
      <c r="T717" s="358">
        <f>'Clearance Fee'!Y7</f>
        <v>0</v>
      </c>
      <c r="V717" s="365">
        <f>'Clearance Fee'!Z7</f>
        <v>0</v>
      </c>
      <c r="W717" s="358">
        <f>'Clearance Fee'!AA7</f>
        <v>0</v>
      </c>
      <c r="X717" s="358">
        <f>'Clearance Fee'!AB7</f>
        <v>0</v>
      </c>
      <c r="Y717" s="358">
        <f>'Clearance Fee'!AC7</f>
        <v>0</v>
      </c>
    </row>
    <row r="718" spans="1:25" x14ac:dyDescent="0.35">
      <c r="A718">
        <v>717</v>
      </c>
      <c r="B718" t="s">
        <v>1351</v>
      </c>
      <c r="C718" t="s">
        <v>953</v>
      </c>
      <c r="D718" t="s">
        <v>14</v>
      </c>
      <c r="E718" t="s">
        <v>1824</v>
      </c>
      <c r="F718" t="s">
        <v>1829</v>
      </c>
      <c r="G718" t="s">
        <v>1829</v>
      </c>
      <c r="H718" s="358">
        <v>51</v>
      </c>
      <c r="J718" s="358">
        <f t="shared" si="1"/>
        <v>0</v>
      </c>
      <c r="L718" s="358">
        <f>'Clearance Fee'!B8</f>
        <v>51</v>
      </c>
      <c r="N718" s="361">
        <f>'Clearance Fee'!U8</f>
        <v>0</v>
      </c>
      <c r="O718" s="361">
        <f>'Clearance Fee'!V8</f>
        <v>0</v>
      </c>
      <c r="P718" s="358">
        <f>'Clearance Fee'!W8</f>
        <v>51</v>
      </c>
      <c r="R718" s="358">
        <f>'Clearance Fee'!X8</f>
        <v>0</v>
      </c>
      <c r="T718" s="358">
        <f>'Clearance Fee'!Y8</f>
        <v>51</v>
      </c>
      <c r="V718" s="365">
        <f>'Clearance Fee'!Z8</f>
        <v>0</v>
      </c>
      <c r="W718" s="358">
        <f>'Clearance Fee'!AA8</f>
        <v>0</v>
      </c>
      <c r="X718" s="358">
        <f>'Clearance Fee'!AB8</f>
        <v>0</v>
      </c>
      <c r="Y718" s="358">
        <f>'Clearance Fee'!AC8</f>
        <v>0</v>
      </c>
    </row>
    <row r="719" spans="1:25" x14ac:dyDescent="0.35">
      <c r="A719">
        <v>718</v>
      </c>
      <c r="B719" t="s">
        <v>1351</v>
      </c>
      <c r="C719" t="s">
        <v>953</v>
      </c>
      <c r="D719" t="s">
        <v>14</v>
      </c>
      <c r="E719" t="s">
        <v>1824</v>
      </c>
      <c r="F719" t="s">
        <v>1830</v>
      </c>
      <c r="G719" t="s">
        <v>1830</v>
      </c>
      <c r="H719" s="358">
        <v>90</v>
      </c>
      <c r="J719" s="358">
        <f t="shared" si="1"/>
        <v>0</v>
      </c>
      <c r="L719" s="358">
        <f>'Clearance Fee'!B9</f>
        <v>90</v>
      </c>
      <c r="N719" s="361">
        <f>'Clearance Fee'!U9</f>
        <v>0</v>
      </c>
      <c r="O719" s="361">
        <f>'Clearance Fee'!V9</f>
        <v>0</v>
      </c>
      <c r="P719" s="358">
        <f>'Clearance Fee'!W9</f>
        <v>90</v>
      </c>
      <c r="R719" s="358">
        <f>'Clearance Fee'!X9</f>
        <v>0</v>
      </c>
      <c r="T719" s="358">
        <f>'Clearance Fee'!Y9</f>
        <v>90</v>
      </c>
      <c r="V719" s="365">
        <f>'Clearance Fee'!Z9</f>
        <v>0</v>
      </c>
      <c r="W719" s="358">
        <f>'Clearance Fee'!AA9</f>
        <v>0</v>
      </c>
      <c r="X719" s="358">
        <f>'Clearance Fee'!AB9</f>
        <v>0</v>
      </c>
      <c r="Y719" s="358">
        <f>'Clearance Fee'!AC9</f>
        <v>0</v>
      </c>
    </row>
    <row r="720" spans="1:25" x14ac:dyDescent="0.35">
      <c r="A720">
        <v>719</v>
      </c>
      <c r="B720" t="s">
        <v>1351</v>
      </c>
      <c r="C720" t="s">
        <v>953</v>
      </c>
      <c r="D720" t="s">
        <v>14</v>
      </c>
      <c r="E720" t="s">
        <v>1824</v>
      </c>
      <c r="F720" t="s">
        <v>1831</v>
      </c>
      <c r="G720" t="s">
        <v>1831</v>
      </c>
      <c r="H720" s="358">
        <v>0</v>
      </c>
      <c r="J720" s="358">
        <f t="shared" si="1"/>
        <v>0</v>
      </c>
      <c r="L720" s="358">
        <f>'Clearance Fee'!B10</f>
        <v>0</v>
      </c>
      <c r="N720" s="361">
        <f>'Clearance Fee'!U10</f>
        <v>0</v>
      </c>
      <c r="O720" s="361">
        <f>'Clearance Fee'!V10</f>
        <v>0</v>
      </c>
      <c r="P720" s="358">
        <f>'Clearance Fee'!W10</f>
        <v>0</v>
      </c>
      <c r="R720" s="358">
        <f>'Clearance Fee'!X10</f>
        <v>0</v>
      </c>
      <c r="T720" s="358">
        <f>'Clearance Fee'!Y10</f>
        <v>0</v>
      </c>
      <c r="V720" s="365">
        <f>'Clearance Fee'!Z10</f>
        <v>0</v>
      </c>
      <c r="W720" s="358">
        <f>'Clearance Fee'!AA10</f>
        <v>0</v>
      </c>
      <c r="X720" s="358">
        <f>'Clearance Fee'!AB10</f>
        <v>0</v>
      </c>
      <c r="Y720" s="358">
        <f>'Clearance Fee'!AC10</f>
        <v>0</v>
      </c>
    </row>
    <row r="721" spans="1:25" x14ac:dyDescent="0.35">
      <c r="A721">
        <v>720</v>
      </c>
      <c r="B721" t="s">
        <v>1351</v>
      </c>
      <c r="C721" t="s">
        <v>953</v>
      </c>
      <c r="D721" t="s">
        <v>14</v>
      </c>
      <c r="E721" t="s">
        <v>1824</v>
      </c>
      <c r="F721" t="s">
        <v>1832</v>
      </c>
      <c r="G721" t="s">
        <v>1832</v>
      </c>
      <c r="H721" s="358">
        <v>2.1</v>
      </c>
      <c r="J721" s="358">
        <f t="shared" si="1"/>
        <v>0</v>
      </c>
      <c r="L721" s="358">
        <f>'Clearance Fee'!B11</f>
        <v>2.1</v>
      </c>
      <c r="N721" s="361">
        <f>'Clearance Fee'!U11</f>
        <v>0</v>
      </c>
      <c r="O721" s="361">
        <f>'Clearance Fee'!V11</f>
        <v>0</v>
      </c>
      <c r="P721" s="358">
        <f>'Clearance Fee'!W11</f>
        <v>2.1</v>
      </c>
      <c r="R721" s="358">
        <f>'Clearance Fee'!X11</f>
        <v>0</v>
      </c>
      <c r="T721" s="358">
        <f>'Clearance Fee'!Y11</f>
        <v>2.1</v>
      </c>
      <c r="V721" s="365">
        <f>'Clearance Fee'!Z11</f>
        <v>0</v>
      </c>
      <c r="W721" s="358">
        <f>'Clearance Fee'!AA11</f>
        <v>0</v>
      </c>
      <c r="X721" s="358">
        <f>'Clearance Fee'!AB11</f>
        <v>0</v>
      </c>
      <c r="Y721" s="358">
        <f>'Clearance Fee'!AC11</f>
        <v>0</v>
      </c>
    </row>
    <row r="722" spans="1:25" x14ac:dyDescent="0.35">
      <c r="A722">
        <v>721</v>
      </c>
      <c r="B722" t="s">
        <v>1351</v>
      </c>
      <c r="C722" t="s">
        <v>953</v>
      </c>
      <c r="D722" t="s">
        <v>14</v>
      </c>
      <c r="E722" t="s">
        <v>1824</v>
      </c>
      <c r="F722" t="s">
        <v>1833</v>
      </c>
      <c r="G722" t="s">
        <v>1833</v>
      </c>
      <c r="H722" s="358">
        <v>53</v>
      </c>
      <c r="J722" s="358">
        <f t="shared" si="1"/>
        <v>0</v>
      </c>
      <c r="L722" s="358">
        <f>'Clearance Fee'!B12</f>
        <v>53</v>
      </c>
      <c r="N722" s="361">
        <f>'Clearance Fee'!U12</f>
        <v>0</v>
      </c>
      <c r="O722" s="361">
        <f>'Clearance Fee'!V12</f>
        <v>0</v>
      </c>
      <c r="P722" s="358">
        <f>'Clearance Fee'!W12</f>
        <v>53</v>
      </c>
      <c r="R722" s="358">
        <f>'Clearance Fee'!X12</f>
        <v>0</v>
      </c>
      <c r="T722" s="358">
        <f>'Clearance Fee'!Y12</f>
        <v>53</v>
      </c>
      <c r="V722" s="365">
        <f>'Clearance Fee'!Z12</f>
        <v>0</v>
      </c>
      <c r="W722" s="358">
        <f>'Clearance Fee'!AA12</f>
        <v>0</v>
      </c>
      <c r="X722" s="358">
        <f>'Clearance Fee'!AB12</f>
        <v>0</v>
      </c>
      <c r="Y722" s="358">
        <f>'Clearance Fee'!AC12</f>
        <v>0</v>
      </c>
    </row>
    <row r="723" spans="1:25" x14ac:dyDescent="0.35">
      <c r="A723">
        <v>722</v>
      </c>
      <c r="B723" t="s">
        <v>1351</v>
      </c>
      <c r="C723" t="s">
        <v>953</v>
      </c>
      <c r="D723" t="s">
        <v>14</v>
      </c>
      <c r="E723" t="s">
        <v>1824</v>
      </c>
      <c r="F723" t="s">
        <v>1834</v>
      </c>
      <c r="G723" t="s">
        <v>1834</v>
      </c>
      <c r="H723" s="358">
        <v>27</v>
      </c>
      <c r="J723" s="358">
        <f t="shared" si="1"/>
        <v>0</v>
      </c>
      <c r="L723" s="358">
        <f>'Clearance Fee'!B13</f>
        <v>27</v>
      </c>
      <c r="N723" s="361">
        <f>'Clearance Fee'!U13</f>
        <v>0</v>
      </c>
      <c r="O723" s="361">
        <f>'Clearance Fee'!V13</f>
        <v>0</v>
      </c>
      <c r="P723" s="358">
        <f>'Clearance Fee'!W13</f>
        <v>27</v>
      </c>
      <c r="R723" s="358">
        <f>'Clearance Fee'!X13</f>
        <v>0</v>
      </c>
      <c r="T723" s="358">
        <f>'Clearance Fee'!Y13</f>
        <v>27</v>
      </c>
      <c r="V723" s="365">
        <f>'Clearance Fee'!Z13</f>
        <v>0</v>
      </c>
      <c r="W723" s="358">
        <f>'Clearance Fee'!AA13</f>
        <v>0</v>
      </c>
      <c r="X723" s="358">
        <f>'Clearance Fee'!AB13</f>
        <v>0</v>
      </c>
      <c r="Y723" s="358">
        <f>'Clearance Fee'!AC13</f>
        <v>0</v>
      </c>
    </row>
    <row r="724" spans="1:25" x14ac:dyDescent="0.35">
      <c r="A724">
        <v>723</v>
      </c>
      <c r="B724" t="s">
        <v>1351</v>
      </c>
      <c r="C724" t="s">
        <v>953</v>
      </c>
      <c r="D724" t="s">
        <v>14</v>
      </c>
      <c r="E724" t="s">
        <v>1824</v>
      </c>
      <c r="F724" t="s">
        <v>1835</v>
      </c>
      <c r="G724" t="s">
        <v>1835</v>
      </c>
      <c r="H724" s="358">
        <v>0</v>
      </c>
      <c r="J724" s="358">
        <f t="shared" si="1"/>
        <v>0</v>
      </c>
      <c r="L724" s="358">
        <f>'Clearance Fee'!B14</f>
        <v>0</v>
      </c>
      <c r="N724" s="361">
        <f>'Clearance Fee'!U14</f>
        <v>0</v>
      </c>
      <c r="O724" s="361">
        <f>'Clearance Fee'!V14</f>
        <v>0</v>
      </c>
      <c r="P724" s="358">
        <f>'Clearance Fee'!W14</f>
        <v>0</v>
      </c>
      <c r="R724" s="358">
        <f>'Clearance Fee'!X14</f>
        <v>0</v>
      </c>
      <c r="T724" s="358">
        <f>'Clearance Fee'!Y14</f>
        <v>0</v>
      </c>
      <c r="V724" s="365">
        <f>'Clearance Fee'!Z14</f>
        <v>0</v>
      </c>
      <c r="W724" s="358">
        <f>'Clearance Fee'!AA14</f>
        <v>0</v>
      </c>
      <c r="X724" s="358">
        <f>'Clearance Fee'!AB14</f>
        <v>0</v>
      </c>
      <c r="Y724" s="358">
        <f>'Clearance Fee'!AC14</f>
        <v>0</v>
      </c>
    </row>
    <row r="725" spans="1:25" x14ac:dyDescent="0.35">
      <c r="A725">
        <v>724</v>
      </c>
      <c r="B725" t="s">
        <v>1351</v>
      </c>
      <c r="C725" t="s">
        <v>953</v>
      </c>
      <c r="D725" t="s">
        <v>14</v>
      </c>
      <c r="E725" t="s">
        <v>1824</v>
      </c>
      <c r="F725" t="s">
        <v>1836</v>
      </c>
      <c r="G725" t="s">
        <v>1836</v>
      </c>
      <c r="H725" s="358">
        <v>13.5</v>
      </c>
      <c r="J725" s="358">
        <f t="shared" si="1"/>
        <v>0</v>
      </c>
      <c r="L725" s="358">
        <f>'Clearance Fee'!B15</f>
        <v>13.5</v>
      </c>
      <c r="N725" s="361">
        <f>'Clearance Fee'!U15</f>
        <v>0</v>
      </c>
      <c r="O725" s="361">
        <f>'Clearance Fee'!V15</f>
        <v>0</v>
      </c>
      <c r="P725" s="358">
        <f>'Clearance Fee'!W15</f>
        <v>13.5</v>
      </c>
      <c r="R725" s="358">
        <f>'Clearance Fee'!X15</f>
        <v>0</v>
      </c>
      <c r="T725" s="358">
        <f>'Clearance Fee'!Y15</f>
        <v>13.5</v>
      </c>
      <c r="V725" s="365">
        <f>'Clearance Fee'!Z15</f>
        <v>0</v>
      </c>
      <c r="W725" s="358">
        <f>'Clearance Fee'!AA15</f>
        <v>0</v>
      </c>
      <c r="X725" s="358">
        <f>'Clearance Fee'!AB15</f>
        <v>0</v>
      </c>
      <c r="Y725" s="358">
        <f>'Clearance Fee'!AC15</f>
        <v>0</v>
      </c>
    </row>
    <row r="726" spans="1:25" x14ac:dyDescent="0.35">
      <c r="A726">
        <v>725</v>
      </c>
      <c r="B726" t="s">
        <v>1351</v>
      </c>
      <c r="C726" t="s">
        <v>953</v>
      </c>
      <c r="D726" t="s">
        <v>14</v>
      </c>
      <c r="E726" t="s">
        <v>1824</v>
      </c>
      <c r="F726" t="s">
        <v>1837</v>
      </c>
      <c r="G726" t="s">
        <v>1837</v>
      </c>
      <c r="H726" s="358">
        <v>0</v>
      </c>
      <c r="J726" s="358">
        <f t="shared" si="1"/>
        <v>0</v>
      </c>
      <c r="L726" s="358">
        <f>'Clearance Fee'!B16</f>
        <v>0</v>
      </c>
      <c r="N726" s="361">
        <f>'Clearance Fee'!U16</f>
        <v>0</v>
      </c>
      <c r="O726" s="361">
        <f>'Clearance Fee'!V16</f>
        <v>0</v>
      </c>
      <c r="P726" s="358">
        <f>'Clearance Fee'!W16</f>
        <v>0</v>
      </c>
      <c r="R726" s="358">
        <f>'Clearance Fee'!X16</f>
        <v>0</v>
      </c>
      <c r="T726" s="358">
        <f>'Clearance Fee'!Y16</f>
        <v>0</v>
      </c>
      <c r="V726" s="365">
        <f>'Clearance Fee'!Z16</f>
        <v>0</v>
      </c>
      <c r="W726" s="358">
        <f>'Clearance Fee'!AA16</f>
        <v>0</v>
      </c>
      <c r="X726" s="358">
        <f>'Clearance Fee'!AB16</f>
        <v>0</v>
      </c>
      <c r="Y726" s="358">
        <f>'Clearance Fee'!AC16</f>
        <v>0</v>
      </c>
    </row>
    <row r="727" spans="1:25" x14ac:dyDescent="0.35">
      <c r="A727">
        <v>726</v>
      </c>
      <c r="B727" t="s">
        <v>1351</v>
      </c>
      <c r="C727" t="s">
        <v>953</v>
      </c>
      <c r="D727" t="s">
        <v>14</v>
      </c>
      <c r="E727" t="s">
        <v>1824</v>
      </c>
      <c r="F727" t="s">
        <v>1838</v>
      </c>
      <c r="G727" t="s">
        <v>1838</v>
      </c>
      <c r="H727" s="358">
        <v>150</v>
      </c>
      <c r="J727" s="358">
        <f t="shared" si="1"/>
        <v>0</v>
      </c>
      <c r="L727" s="358">
        <f>'Clearance Fee'!B17</f>
        <v>150</v>
      </c>
      <c r="N727" s="361">
        <f>'Clearance Fee'!U17</f>
        <v>0</v>
      </c>
      <c r="O727" s="361">
        <f>'Clearance Fee'!V17</f>
        <v>0</v>
      </c>
      <c r="P727" s="358">
        <f>'Clearance Fee'!W17</f>
        <v>150</v>
      </c>
      <c r="R727" s="358">
        <f>'Clearance Fee'!X17</f>
        <v>0</v>
      </c>
      <c r="T727" s="358">
        <f>'Clearance Fee'!Y17</f>
        <v>150</v>
      </c>
      <c r="V727" s="365">
        <f>'Clearance Fee'!Z17</f>
        <v>0</v>
      </c>
      <c r="W727" s="358">
        <f>'Clearance Fee'!AA17</f>
        <v>0</v>
      </c>
      <c r="X727" s="358">
        <f>'Clearance Fee'!AB17</f>
        <v>0</v>
      </c>
      <c r="Y727" s="358">
        <f>'Clearance Fee'!AC17</f>
        <v>0</v>
      </c>
    </row>
    <row r="728" spans="1:25" x14ac:dyDescent="0.35">
      <c r="A728">
        <v>727</v>
      </c>
      <c r="B728" t="s">
        <v>1351</v>
      </c>
      <c r="C728" t="s">
        <v>953</v>
      </c>
      <c r="D728" t="s">
        <v>14</v>
      </c>
      <c r="E728" t="s">
        <v>1824</v>
      </c>
      <c r="F728" t="s">
        <v>1839</v>
      </c>
      <c r="G728" t="s">
        <v>1839</v>
      </c>
      <c r="H728" s="358">
        <v>74</v>
      </c>
      <c r="J728" s="358">
        <f t="shared" si="1"/>
        <v>0</v>
      </c>
      <c r="L728" s="358">
        <f>'Clearance Fee'!B18</f>
        <v>74</v>
      </c>
      <c r="N728" s="361">
        <f>'Clearance Fee'!U18</f>
        <v>0</v>
      </c>
      <c r="O728" s="361">
        <f>'Clearance Fee'!V18</f>
        <v>0</v>
      </c>
      <c r="P728" s="358">
        <f>'Clearance Fee'!W18</f>
        <v>74</v>
      </c>
      <c r="R728" s="358">
        <f>'Clearance Fee'!X18</f>
        <v>0</v>
      </c>
      <c r="T728" s="358">
        <f>'Clearance Fee'!Y18</f>
        <v>74</v>
      </c>
      <c r="V728" s="365">
        <f>'Clearance Fee'!Z18</f>
        <v>0</v>
      </c>
      <c r="W728" s="358">
        <f>'Clearance Fee'!AA18</f>
        <v>0</v>
      </c>
      <c r="X728" s="358">
        <f>'Clearance Fee'!AB18</f>
        <v>0</v>
      </c>
      <c r="Y728" s="358">
        <f>'Clearance Fee'!AC18</f>
        <v>0</v>
      </c>
    </row>
    <row r="729" spans="1:25" x14ac:dyDescent="0.35">
      <c r="A729">
        <v>728</v>
      </c>
      <c r="B729" t="s">
        <v>1351</v>
      </c>
      <c r="C729" t="s">
        <v>953</v>
      </c>
      <c r="D729" t="s">
        <v>14</v>
      </c>
      <c r="E729" t="s">
        <v>1824</v>
      </c>
      <c r="F729" t="s">
        <v>1840</v>
      </c>
      <c r="G729" t="s">
        <v>1840</v>
      </c>
      <c r="H729" s="358">
        <v>0</v>
      </c>
      <c r="J729" s="358">
        <f t="shared" si="1"/>
        <v>0</v>
      </c>
      <c r="L729" s="358">
        <f>'Clearance Fee'!B19</f>
        <v>0</v>
      </c>
      <c r="N729" s="361">
        <f>'Clearance Fee'!U19</f>
        <v>0</v>
      </c>
      <c r="O729" s="361">
        <f>'Clearance Fee'!V19</f>
        <v>0</v>
      </c>
      <c r="P729" s="358">
        <f>'Clearance Fee'!W19</f>
        <v>0</v>
      </c>
      <c r="R729" s="358">
        <f>'Clearance Fee'!X19</f>
        <v>0</v>
      </c>
      <c r="T729" s="358">
        <f>'Clearance Fee'!Y19</f>
        <v>0</v>
      </c>
      <c r="V729" s="365">
        <f>'Clearance Fee'!Z19</f>
        <v>0</v>
      </c>
      <c r="W729" s="358">
        <f>'Clearance Fee'!AA19</f>
        <v>0</v>
      </c>
      <c r="X729" s="358">
        <f>'Clearance Fee'!AB19</f>
        <v>0</v>
      </c>
      <c r="Y729" s="358">
        <f>'Clearance Fee'!AC19</f>
        <v>0</v>
      </c>
    </row>
    <row r="730" spans="1:25" x14ac:dyDescent="0.35">
      <c r="A730">
        <v>729</v>
      </c>
      <c r="B730" t="s">
        <v>1351</v>
      </c>
      <c r="C730" t="s">
        <v>953</v>
      </c>
      <c r="D730" t="s">
        <v>14</v>
      </c>
      <c r="E730" t="s">
        <v>1824</v>
      </c>
      <c r="F730" t="s">
        <v>1841</v>
      </c>
      <c r="G730" t="s">
        <v>1841</v>
      </c>
      <c r="H730" s="358">
        <v>27.5</v>
      </c>
      <c r="J730" s="358">
        <f t="shared" si="1"/>
        <v>0</v>
      </c>
      <c r="L730" s="358">
        <f>'Clearance Fee'!B20</f>
        <v>27.5</v>
      </c>
      <c r="N730" s="361">
        <f>'Clearance Fee'!U20</f>
        <v>0</v>
      </c>
      <c r="O730" s="361">
        <f>'Clearance Fee'!V20</f>
        <v>0</v>
      </c>
      <c r="P730" s="358">
        <f>'Clearance Fee'!W20</f>
        <v>27.5</v>
      </c>
      <c r="R730" s="358">
        <f>'Clearance Fee'!X20</f>
        <v>0</v>
      </c>
      <c r="T730" s="358">
        <f>'Clearance Fee'!Y20</f>
        <v>27.5</v>
      </c>
      <c r="V730" s="365">
        <f>'Clearance Fee'!Z20</f>
        <v>0</v>
      </c>
      <c r="W730" s="358">
        <f>'Clearance Fee'!AA20</f>
        <v>0</v>
      </c>
      <c r="X730" s="358">
        <f>'Clearance Fee'!AB20</f>
        <v>0</v>
      </c>
      <c r="Y730" s="358">
        <f>'Clearance Fee'!AC20</f>
        <v>0</v>
      </c>
    </row>
    <row r="731" spans="1:25" x14ac:dyDescent="0.35">
      <c r="A731">
        <v>730</v>
      </c>
      <c r="B731" t="s">
        <v>1351</v>
      </c>
      <c r="C731" t="s">
        <v>953</v>
      </c>
      <c r="D731" t="s">
        <v>14</v>
      </c>
      <c r="E731" t="s">
        <v>851</v>
      </c>
      <c r="F731" t="s">
        <v>851</v>
      </c>
      <c r="G731" t="s">
        <v>2002</v>
      </c>
      <c r="H731" s="358">
        <v>55</v>
      </c>
      <c r="J731" s="358">
        <f t="shared" si="1"/>
        <v>0</v>
      </c>
      <c r="L731" s="358">
        <f>'Clearance Fee'!B21</f>
        <v>55</v>
      </c>
      <c r="N731" s="361">
        <f>'Clearance Fee'!U21</f>
        <v>0</v>
      </c>
      <c r="O731" s="361">
        <f>'Clearance Fee'!V21</f>
        <v>0</v>
      </c>
      <c r="P731" s="358">
        <f>'Clearance Fee'!W21</f>
        <v>55</v>
      </c>
      <c r="R731" s="358">
        <f>'Clearance Fee'!X21</f>
        <v>0</v>
      </c>
      <c r="T731" s="358">
        <f>'Clearance Fee'!Y21</f>
        <v>55</v>
      </c>
      <c r="V731" s="365">
        <f>'Clearance Fee'!Z21</f>
        <v>0</v>
      </c>
      <c r="W731" s="358">
        <f>'Clearance Fee'!AA21</f>
        <v>0</v>
      </c>
      <c r="X731" s="358">
        <f>'Clearance Fee'!AB21</f>
        <v>0</v>
      </c>
      <c r="Y731" s="358">
        <f>'Clearance Fee'!AC21</f>
        <v>0</v>
      </c>
    </row>
    <row r="732" spans="1:25" ht="16" x14ac:dyDescent="0.4">
      <c r="A732">
        <v>731</v>
      </c>
      <c r="B732" t="s">
        <v>1351</v>
      </c>
      <c r="C732" t="s">
        <v>946</v>
      </c>
      <c r="D732" t="s">
        <v>14</v>
      </c>
      <c r="E732" t="s">
        <v>53</v>
      </c>
      <c r="F732" s="556" t="s">
        <v>2003</v>
      </c>
      <c r="G732" t="s">
        <v>2003</v>
      </c>
      <c r="H732" s="358">
        <v>13</v>
      </c>
      <c r="J732" s="358">
        <f t="shared" si="1"/>
        <v>0</v>
      </c>
      <c r="L732" s="358">
        <f>'Clearance Fee'!B22</f>
        <v>13</v>
      </c>
      <c r="N732" s="361">
        <f>'Clearance Fee'!U22</f>
        <v>0</v>
      </c>
      <c r="O732" s="361">
        <f>'Clearance Fee'!V22</f>
        <v>0</v>
      </c>
      <c r="P732" s="358">
        <f>'Clearance Fee'!W22</f>
        <v>13</v>
      </c>
      <c r="R732" s="358">
        <f>'Clearance Fee'!X22</f>
        <v>0</v>
      </c>
      <c r="T732" s="358">
        <f>'Clearance Fee'!Y22</f>
        <v>13</v>
      </c>
      <c r="V732" s="365">
        <f>'Clearance Fee'!Z22</f>
        <v>0</v>
      </c>
      <c r="W732" s="358">
        <f>'Clearance Fee'!AA22</f>
        <v>0</v>
      </c>
      <c r="X732" s="358">
        <f>'Clearance Fee'!AB22</f>
        <v>0</v>
      </c>
      <c r="Y732" s="358">
        <f>'Clearance Fee'!AC22</f>
        <v>0</v>
      </c>
    </row>
    <row r="733" spans="1:25" x14ac:dyDescent="0.35">
      <c r="A733">
        <v>732</v>
      </c>
      <c r="B733" t="s">
        <v>1351</v>
      </c>
      <c r="C733" t="s">
        <v>953</v>
      </c>
      <c r="D733" t="s">
        <v>15</v>
      </c>
      <c r="E733" t="s">
        <v>1824</v>
      </c>
      <c r="F733" t="s">
        <v>1843</v>
      </c>
      <c r="G733" t="s">
        <v>1843</v>
      </c>
      <c r="H733" s="358">
        <v>3.5</v>
      </c>
      <c r="J733" s="358">
        <f t="shared" si="1"/>
        <v>0</v>
      </c>
      <c r="L733" s="358">
        <f>'Clearance Fee'!B25</f>
        <v>3.5</v>
      </c>
      <c r="N733" s="361">
        <f>'Clearance Fee'!U25</f>
        <v>0</v>
      </c>
      <c r="O733" s="361">
        <f>'Clearance Fee'!V25</f>
        <v>0</v>
      </c>
      <c r="P733" s="358">
        <f>'Clearance Fee'!W25</f>
        <v>3.5</v>
      </c>
      <c r="R733" s="358">
        <f>'Clearance Fee'!X25</f>
        <v>0</v>
      </c>
      <c r="T733" s="358">
        <f>'Clearance Fee'!Y25</f>
        <v>3.5</v>
      </c>
      <c r="V733" s="365">
        <f>'Clearance Fee'!Z25</f>
        <v>0</v>
      </c>
      <c r="W733" s="358">
        <f>'Clearance Fee'!AA25</f>
        <v>0</v>
      </c>
      <c r="X733" s="358">
        <f>'Clearance Fee'!AB25</f>
        <v>0</v>
      </c>
      <c r="Y733" s="358">
        <f>'Clearance Fee'!AC25</f>
        <v>0</v>
      </c>
    </row>
    <row r="734" spans="1:25" x14ac:dyDescent="0.35">
      <c r="A734">
        <v>733</v>
      </c>
      <c r="B734" t="s">
        <v>1351</v>
      </c>
      <c r="C734" t="s">
        <v>953</v>
      </c>
      <c r="D734" t="s">
        <v>15</v>
      </c>
      <c r="E734" t="s">
        <v>1824</v>
      </c>
      <c r="F734" t="s">
        <v>1844</v>
      </c>
      <c r="G734" t="s">
        <v>1844</v>
      </c>
      <c r="H734" s="358">
        <v>0</v>
      </c>
      <c r="J734" s="358">
        <f t="shared" si="1"/>
        <v>0</v>
      </c>
      <c r="L734" s="358">
        <f>'Clearance Fee'!B26</f>
        <v>0</v>
      </c>
      <c r="N734" s="361">
        <f>'Clearance Fee'!U26</f>
        <v>0</v>
      </c>
      <c r="O734" s="361">
        <f>'Clearance Fee'!V26</f>
        <v>0</v>
      </c>
      <c r="P734" s="358">
        <f>'Clearance Fee'!W26</f>
        <v>0</v>
      </c>
      <c r="R734" s="358">
        <f>'Clearance Fee'!X26</f>
        <v>0</v>
      </c>
      <c r="T734" s="358">
        <f>'Clearance Fee'!Y26</f>
        <v>0</v>
      </c>
      <c r="V734" s="365">
        <f>'Clearance Fee'!Z26</f>
        <v>0</v>
      </c>
      <c r="W734" s="358">
        <f>'Clearance Fee'!AA26</f>
        <v>0</v>
      </c>
      <c r="X734" s="358">
        <f>'Clearance Fee'!AB26</f>
        <v>0</v>
      </c>
      <c r="Y734" s="358">
        <f>'Clearance Fee'!AC26</f>
        <v>0</v>
      </c>
    </row>
    <row r="735" spans="1:25" x14ac:dyDescent="0.35">
      <c r="A735">
        <v>734</v>
      </c>
      <c r="B735" t="s">
        <v>1351</v>
      </c>
      <c r="C735" t="s">
        <v>953</v>
      </c>
      <c r="D735" t="s">
        <v>15</v>
      </c>
      <c r="E735" t="s">
        <v>1824</v>
      </c>
      <c r="F735" t="s">
        <v>1845</v>
      </c>
      <c r="G735" t="s">
        <v>1845</v>
      </c>
      <c r="H735" s="358">
        <v>0</v>
      </c>
      <c r="J735" s="358">
        <f t="shared" si="1"/>
        <v>0</v>
      </c>
      <c r="L735" s="358">
        <f>'Clearance Fee'!B27</f>
        <v>0</v>
      </c>
      <c r="N735" s="361">
        <f>'Clearance Fee'!U27</f>
        <v>0</v>
      </c>
      <c r="O735" s="361">
        <f>'Clearance Fee'!V27</f>
        <v>0</v>
      </c>
      <c r="P735" s="358">
        <f>'Clearance Fee'!W27</f>
        <v>0</v>
      </c>
      <c r="R735" s="358">
        <f>'Clearance Fee'!X27</f>
        <v>0</v>
      </c>
      <c r="T735" s="358">
        <f>'Clearance Fee'!Y27</f>
        <v>0</v>
      </c>
      <c r="V735" s="365">
        <f>'Clearance Fee'!Z27</f>
        <v>0</v>
      </c>
      <c r="W735" s="358">
        <f>'Clearance Fee'!AA27</f>
        <v>0</v>
      </c>
      <c r="X735" s="358">
        <f>'Clearance Fee'!AB27</f>
        <v>0</v>
      </c>
      <c r="Y735" s="358">
        <f>'Clearance Fee'!AC27</f>
        <v>0</v>
      </c>
    </row>
    <row r="736" spans="1:25" x14ac:dyDescent="0.35">
      <c r="A736">
        <v>735</v>
      </c>
      <c r="B736" t="s">
        <v>1351</v>
      </c>
      <c r="C736" t="s">
        <v>953</v>
      </c>
      <c r="D736" t="s">
        <v>15</v>
      </c>
      <c r="E736" t="s">
        <v>1824</v>
      </c>
      <c r="F736" t="s">
        <v>1846</v>
      </c>
      <c r="G736" t="s">
        <v>1846</v>
      </c>
      <c r="H736" s="358">
        <v>2</v>
      </c>
      <c r="J736" s="358">
        <f t="shared" si="1"/>
        <v>0</v>
      </c>
      <c r="L736" s="358">
        <f>'Clearance Fee'!B28</f>
        <v>2</v>
      </c>
      <c r="N736" s="361">
        <f>'Clearance Fee'!U28</f>
        <v>0</v>
      </c>
      <c r="O736" s="361">
        <f>'Clearance Fee'!V28</f>
        <v>0</v>
      </c>
      <c r="P736" s="358">
        <f>'Clearance Fee'!W28</f>
        <v>2</v>
      </c>
      <c r="R736" s="358">
        <f>'Clearance Fee'!X28</f>
        <v>0</v>
      </c>
      <c r="T736" s="358">
        <f>'Clearance Fee'!Y28</f>
        <v>2</v>
      </c>
      <c r="V736" s="365">
        <f>'Clearance Fee'!Z28</f>
        <v>0</v>
      </c>
      <c r="W736" s="358">
        <f>'Clearance Fee'!AA28</f>
        <v>0</v>
      </c>
      <c r="X736" s="358">
        <f>'Clearance Fee'!AB28</f>
        <v>0</v>
      </c>
      <c r="Y736" s="358">
        <f>'Clearance Fee'!AC28</f>
        <v>0</v>
      </c>
    </row>
    <row r="737" spans="1:25" x14ac:dyDescent="0.35">
      <c r="A737">
        <v>736</v>
      </c>
      <c r="B737" t="s">
        <v>1351</v>
      </c>
      <c r="C737" t="s">
        <v>953</v>
      </c>
      <c r="D737" t="s">
        <v>15</v>
      </c>
      <c r="E737" t="s">
        <v>1824</v>
      </c>
      <c r="F737" t="s">
        <v>1847</v>
      </c>
      <c r="G737" t="s">
        <v>1847</v>
      </c>
      <c r="H737" s="358">
        <v>0</v>
      </c>
      <c r="J737" s="358">
        <f t="shared" si="1"/>
        <v>0</v>
      </c>
      <c r="L737" s="358">
        <f>'Clearance Fee'!B29</f>
        <v>0</v>
      </c>
      <c r="N737" s="361">
        <f>'Clearance Fee'!U29</f>
        <v>0</v>
      </c>
      <c r="O737" s="361">
        <f>'Clearance Fee'!V29</f>
        <v>0</v>
      </c>
      <c r="P737" s="358">
        <f>'Clearance Fee'!W29</f>
        <v>0</v>
      </c>
      <c r="R737" s="358">
        <f>'Clearance Fee'!X29</f>
        <v>0</v>
      </c>
      <c r="T737" s="358">
        <f>'Clearance Fee'!Y29</f>
        <v>0</v>
      </c>
      <c r="V737" s="365">
        <f>'Clearance Fee'!Z29</f>
        <v>0</v>
      </c>
      <c r="W737" s="358">
        <f>'Clearance Fee'!AA29</f>
        <v>0</v>
      </c>
      <c r="X737" s="358">
        <f>'Clearance Fee'!AB29</f>
        <v>0</v>
      </c>
      <c r="Y737" s="358">
        <f>'Clearance Fee'!AC29</f>
        <v>0</v>
      </c>
    </row>
    <row r="738" spans="1:25" x14ac:dyDescent="0.35">
      <c r="A738">
        <v>737</v>
      </c>
      <c r="B738" t="s">
        <v>1351</v>
      </c>
      <c r="C738" t="s">
        <v>953</v>
      </c>
      <c r="D738" t="s">
        <v>15</v>
      </c>
      <c r="E738" t="s">
        <v>1824</v>
      </c>
      <c r="F738" t="s">
        <v>1848</v>
      </c>
      <c r="G738" t="s">
        <v>1848</v>
      </c>
      <c r="H738" s="358">
        <v>27.5</v>
      </c>
      <c r="J738" s="358">
        <f t="shared" si="1"/>
        <v>0</v>
      </c>
      <c r="L738" s="358">
        <f>'Clearance Fee'!B30</f>
        <v>27.5</v>
      </c>
      <c r="N738" s="361">
        <f>'Clearance Fee'!U30</f>
        <v>0</v>
      </c>
      <c r="O738" s="361">
        <f>'Clearance Fee'!V30</f>
        <v>0</v>
      </c>
      <c r="P738" s="358">
        <f>'Clearance Fee'!W30</f>
        <v>27.5</v>
      </c>
      <c r="R738" s="358">
        <f>'Clearance Fee'!X30</f>
        <v>0</v>
      </c>
      <c r="T738" s="358">
        <f>'Clearance Fee'!Y30</f>
        <v>27.5</v>
      </c>
      <c r="V738" s="365">
        <f>'Clearance Fee'!Z30</f>
        <v>0</v>
      </c>
      <c r="W738" s="358">
        <f>'Clearance Fee'!AA30</f>
        <v>0</v>
      </c>
      <c r="X738" s="358">
        <f>'Clearance Fee'!AB30</f>
        <v>0</v>
      </c>
      <c r="Y738" s="358">
        <f>'Clearance Fee'!AC30</f>
        <v>0</v>
      </c>
    </row>
    <row r="739" spans="1:25" x14ac:dyDescent="0.35">
      <c r="A739">
        <v>738</v>
      </c>
      <c r="B739" t="s">
        <v>1351</v>
      </c>
      <c r="C739" t="s">
        <v>953</v>
      </c>
      <c r="D739" t="s">
        <v>15</v>
      </c>
      <c r="E739" t="s">
        <v>1824</v>
      </c>
      <c r="F739" t="s">
        <v>1849</v>
      </c>
      <c r="G739" t="s">
        <v>1849</v>
      </c>
      <c r="H739" s="358">
        <v>20</v>
      </c>
      <c r="J739" s="358">
        <f t="shared" si="1"/>
        <v>0</v>
      </c>
      <c r="L739" s="358">
        <f>'Clearance Fee'!B31</f>
        <v>20</v>
      </c>
      <c r="N739" s="361">
        <f>'Clearance Fee'!U31</f>
        <v>0</v>
      </c>
      <c r="O739" s="361">
        <f>'Clearance Fee'!V31</f>
        <v>0</v>
      </c>
      <c r="P739" s="358">
        <f>'Clearance Fee'!W31</f>
        <v>20</v>
      </c>
      <c r="R739" s="358">
        <f>'Clearance Fee'!X31</f>
        <v>0</v>
      </c>
      <c r="T739" s="358">
        <f>'Clearance Fee'!Y31</f>
        <v>20</v>
      </c>
      <c r="V739" s="365">
        <f>'Clearance Fee'!Z31</f>
        <v>0</v>
      </c>
      <c r="W739" s="358">
        <f>'Clearance Fee'!AA31</f>
        <v>0</v>
      </c>
      <c r="X739" s="358">
        <f>'Clearance Fee'!AB31</f>
        <v>0</v>
      </c>
      <c r="Y739" s="358">
        <f>'Clearance Fee'!AC31</f>
        <v>0</v>
      </c>
    </row>
    <row r="740" spans="1:25" x14ac:dyDescent="0.35">
      <c r="A740">
        <v>739</v>
      </c>
      <c r="B740" t="s">
        <v>1351</v>
      </c>
      <c r="C740" t="s">
        <v>953</v>
      </c>
      <c r="D740" t="s">
        <v>15</v>
      </c>
      <c r="E740" t="s">
        <v>1824</v>
      </c>
      <c r="F740" t="s">
        <v>1850</v>
      </c>
      <c r="G740" t="s">
        <v>1850</v>
      </c>
      <c r="H740" s="358">
        <v>0</v>
      </c>
      <c r="J740" s="358">
        <f t="shared" si="1"/>
        <v>0</v>
      </c>
      <c r="L740" s="358">
        <f>'Clearance Fee'!B32</f>
        <v>0</v>
      </c>
      <c r="N740" s="361">
        <f>'Clearance Fee'!U32</f>
        <v>0</v>
      </c>
      <c r="O740" s="361">
        <f>'Clearance Fee'!V32</f>
        <v>0</v>
      </c>
      <c r="P740" s="358">
        <f>'Clearance Fee'!W32</f>
        <v>0</v>
      </c>
      <c r="R740" s="358">
        <f>'Clearance Fee'!X32</f>
        <v>0</v>
      </c>
      <c r="T740" s="358">
        <f>'Clearance Fee'!Y32</f>
        <v>0</v>
      </c>
      <c r="V740" s="365">
        <f>'Clearance Fee'!Z32</f>
        <v>0</v>
      </c>
      <c r="W740" s="358">
        <f>'Clearance Fee'!AA32</f>
        <v>0</v>
      </c>
      <c r="X740" s="358">
        <f>'Clearance Fee'!AB32</f>
        <v>0</v>
      </c>
      <c r="Y740" s="358">
        <f>'Clearance Fee'!AC32</f>
        <v>0</v>
      </c>
    </row>
    <row r="741" spans="1:25" x14ac:dyDescent="0.35">
      <c r="A741">
        <v>740</v>
      </c>
      <c r="B741" t="s">
        <v>1351</v>
      </c>
      <c r="C741" t="s">
        <v>953</v>
      </c>
      <c r="D741" t="s">
        <v>15</v>
      </c>
      <c r="E741" t="s">
        <v>1824</v>
      </c>
      <c r="F741" t="s">
        <v>1851</v>
      </c>
      <c r="G741" t="s">
        <v>1851</v>
      </c>
      <c r="H741" s="358">
        <v>0</v>
      </c>
      <c r="J741" s="358">
        <f t="shared" si="1"/>
        <v>0</v>
      </c>
      <c r="L741" s="358">
        <f>'Clearance Fee'!B33</f>
        <v>0</v>
      </c>
      <c r="N741" s="361">
        <f>'Clearance Fee'!U33</f>
        <v>0</v>
      </c>
      <c r="O741" s="361">
        <f>'Clearance Fee'!V33</f>
        <v>0</v>
      </c>
      <c r="P741" s="358">
        <f>'Clearance Fee'!W33</f>
        <v>0</v>
      </c>
      <c r="R741" s="358">
        <f>'Clearance Fee'!X33</f>
        <v>0</v>
      </c>
      <c r="T741" s="358">
        <f>'Clearance Fee'!Y33</f>
        <v>0</v>
      </c>
      <c r="V741" s="365">
        <f>'Clearance Fee'!Z33</f>
        <v>0</v>
      </c>
      <c r="W741" s="358">
        <f>'Clearance Fee'!AA33</f>
        <v>0</v>
      </c>
      <c r="X741" s="358">
        <f>'Clearance Fee'!AB33</f>
        <v>0</v>
      </c>
      <c r="Y741" s="358">
        <f>'Clearance Fee'!AC33</f>
        <v>0</v>
      </c>
    </row>
    <row r="742" spans="1:25" x14ac:dyDescent="0.35">
      <c r="A742">
        <v>741</v>
      </c>
      <c r="B742" t="s">
        <v>1351</v>
      </c>
      <c r="C742" t="s">
        <v>953</v>
      </c>
      <c r="D742" t="s">
        <v>15</v>
      </c>
      <c r="E742" t="s">
        <v>1824</v>
      </c>
      <c r="F742" t="s">
        <v>1852</v>
      </c>
      <c r="G742" t="s">
        <v>1852</v>
      </c>
      <c r="H742" s="358">
        <v>0</v>
      </c>
      <c r="J742" s="358">
        <f t="shared" si="1"/>
        <v>0</v>
      </c>
      <c r="L742" s="358">
        <f>'Clearance Fee'!B34</f>
        <v>0</v>
      </c>
      <c r="N742" s="361">
        <f>'Clearance Fee'!U34</f>
        <v>0</v>
      </c>
      <c r="O742" s="361">
        <f>'Clearance Fee'!V34</f>
        <v>0</v>
      </c>
      <c r="P742" s="358">
        <f>'Clearance Fee'!W34</f>
        <v>0</v>
      </c>
      <c r="R742" s="358">
        <f>'Clearance Fee'!X34</f>
        <v>0</v>
      </c>
      <c r="T742" s="358">
        <f>'Clearance Fee'!Y34</f>
        <v>0</v>
      </c>
      <c r="V742" s="365">
        <f>'Clearance Fee'!Z34</f>
        <v>0</v>
      </c>
      <c r="W742" s="358">
        <f>'Clearance Fee'!AA34</f>
        <v>0</v>
      </c>
      <c r="X742" s="358">
        <f>'Clearance Fee'!AB34</f>
        <v>0</v>
      </c>
      <c r="Y742" s="358">
        <f>'Clearance Fee'!AC34</f>
        <v>0</v>
      </c>
    </row>
    <row r="743" spans="1:25" x14ac:dyDescent="0.35">
      <c r="A743">
        <v>742</v>
      </c>
      <c r="B743" t="s">
        <v>1351</v>
      </c>
      <c r="C743" t="s">
        <v>953</v>
      </c>
      <c r="D743" t="s">
        <v>15</v>
      </c>
      <c r="E743" t="s">
        <v>1824</v>
      </c>
      <c r="F743" t="s">
        <v>1854</v>
      </c>
      <c r="G743" t="s">
        <v>1854</v>
      </c>
      <c r="H743" s="358">
        <v>5.3</v>
      </c>
      <c r="J743" s="358">
        <f t="shared" si="1"/>
        <v>0</v>
      </c>
      <c r="L743" s="358">
        <f>'Clearance Fee'!B37</f>
        <v>5.3</v>
      </c>
      <c r="N743" s="361">
        <f>'Clearance Fee'!U37</f>
        <v>0</v>
      </c>
      <c r="O743" s="361">
        <f>'Clearance Fee'!V37</f>
        <v>0</v>
      </c>
      <c r="P743" s="358">
        <f>'Clearance Fee'!W37</f>
        <v>5.3</v>
      </c>
      <c r="R743" s="358">
        <f>'Clearance Fee'!X37</f>
        <v>0</v>
      </c>
      <c r="T743" s="358">
        <f>'Clearance Fee'!Y37</f>
        <v>5.3</v>
      </c>
      <c r="V743" s="365">
        <f>'Clearance Fee'!Z37</f>
        <v>0</v>
      </c>
      <c r="W743" s="358">
        <f>'Clearance Fee'!AA37</f>
        <v>0</v>
      </c>
      <c r="X743" s="358">
        <f>'Clearance Fee'!AB37</f>
        <v>0</v>
      </c>
      <c r="Y743" s="358">
        <f>'Clearance Fee'!AC37</f>
        <v>0</v>
      </c>
    </row>
    <row r="744" spans="1:25" x14ac:dyDescent="0.35">
      <c r="A744">
        <v>743</v>
      </c>
      <c r="B744" t="s">
        <v>1351</v>
      </c>
      <c r="C744" t="s">
        <v>953</v>
      </c>
      <c r="D744" t="s">
        <v>15</v>
      </c>
      <c r="E744" t="s">
        <v>1824</v>
      </c>
      <c r="F744" t="s">
        <v>1855</v>
      </c>
      <c r="G744" t="s">
        <v>1855</v>
      </c>
      <c r="H744" s="358">
        <v>0</v>
      </c>
      <c r="J744" s="358">
        <f t="shared" si="1"/>
        <v>0</v>
      </c>
      <c r="L744" s="358">
        <f>'Clearance Fee'!B38</f>
        <v>0</v>
      </c>
      <c r="N744" s="361">
        <f>'Clearance Fee'!U38</f>
        <v>0</v>
      </c>
      <c r="O744" s="361">
        <f>'Clearance Fee'!V38</f>
        <v>0</v>
      </c>
      <c r="P744" s="358">
        <f>'Clearance Fee'!W38</f>
        <v>0</v>
      </c>
      <c r="R744" s="358">
        <f>'Clearance Fee'!X38</f>
        <v>0</v>
      </c>
      <c r="T744" s="358">
        <f>'Clearance Fee'!Y38</f>
        <v>0</v>
      </c>
      <c r="V744" s="365">
        <f>'Clearance Fee'!Z38</f>
        <v>0</v>
      </c>
      <c r="W744" s="358">
        <f>'Clearance Fee'!AA38</f>
        <v>0</v>
      </c>
      <c r="X744" s="358">
        <f>'Clearance Fee'!AB38</f>
        <v>0</v>
      </c>
      <c r="Y744" s="358">
        <f>'Clearance Fee'!AC38</f>
        <v>0</v>
      </c>
    </row>
    <row r="745" spans="1:25" x14ac:dyDescent="0.35">
      <c r="A745">
        <v>744</v>
      </c>
      <c r="B745" t="s">
        <v>1351</v>
      </c>
      <c r="C745" t="s">
        <v>953</v>
      </c>
      <c r="D745" t="s">
        <v>15</v>
      </c>
      <c r="E745" t="s">
        <v>1824</v>
      </c>
      <c r="F745" t="s">
        <v>1856</v>
      </c>
      <c r="G745" t="s">
        <v>1856</v>
      </c>
      <c r="H745" s="358">
        <v>0</v>
      </c>
      <c r="J745" s="358">
        <f t="shared" si="1"/>
        <v>0</v>
      </c>
      <c r="L745" s="358">
        <f>'Clearance Fee'!B39</f>
        <v>0</v>
      </c>
      <c r="N745" s="361">
        <f>'Clearance Fee'!U39</f>
        <v>0</v>
      </c>
      <c r="O745" s="361">
        <f>'Clearance Fee'!V39</f>
        <v>0</v>
      </c>
      <c r="P745" s="358">
        <f>'Clearance Fee'!W39</f>
        <v>0</v>
      </c>
      <c r="R745" s="358">
        <f>'Clearance Fee'!X39</f>
        <v>0</v>
      </c>
      <c r="T745" s="358">
        <f>'Clearance Fee'!Y39</f>
        <v>0</v>
      </c>
      <c r="V745" s="365">
        <f>'Clearance Fee'!Z39</f>
        <v>0</v>
      </c>
      <c r="W745" s="358">
        <f>'Clearance Fee'!AA39</f>
        <v>0</v>
      </c>
      <c r="X745" s="358">
        <f>'Clearance Fee'!AB39</f>
        <v>0</v>
      </c>
      <c r="Y745" s="358">
        <f>'Clearance Fee'!AC39</f>
        <v>0</v>
      </c>
    </row>
    <row r="746" spans="1:25" x14ac:dyDescent="0.35">
      <c r="A746">
        <v>745</v>
      </c>
      <c r="B746" t="s">
        <v>1351</v>
      </c>
      <c r="C746" t="s">
        <v>953</v>
      </c>
      <c r="D746" t="s">
        <v>15</v>
      </c>
      <c r="E746" t="s">
        <v>1824</v>
      </c>
      <c r="F746" t="s">
        <v>1857</v>
      </c>
      <c r="G746" t="s">
        <v>1857</v>
      </c>
      <c r="H746" s="358">
        <v>120</v>
      </c>
      <c r="J746" s="358">
        <f t="shared" si="1"/>
        <v>0</v>
      </c>
      <c r="L746" s="358">
        <f>'Clearance Fee'!B40</f>
        <v>120</v>
      </c>
      <c r="N746" s="361">
        <f>'Clearance Fee'!U40</f>
        <v>0</v>
      </c>
      <c r="O746" s="361">
        <f>'Clearance Fee'!V40</f>
        <v>0</v>
      </c>
      <c r="P746" s="358">
        <f>'Clearance Fee'!W40</f>
        <v>120</v>
      </c>
      <c r="R746" s="358">
        <f>'Clearance Fee'!X40</f>
        <v>0</v>
      </c>
      <c r="T746" s="358">
        <f>'Clearance Fee'!Y40</f>
        <v>120</v>
      </c>
      <c r="V746" s="365">
        <f>'Clearance Fee'!Z40</f>
        <v>0</v>
      </c>
      <c r="W746" s="358">
        <f>'Clearance Fee'!AA40</f>
        <v>0</v>
      </c>
      <c r="X746" s="358">
        <f>'Clearance Fee'!AB40</f>
        <v>0</v>
      </c>
      <c r="Y746" s="358">
        <f>'Clearance Fee'!AC40</f>
        <v>0</v>
      </c>
    </row>
    <row r="747" spans="1:25" x14ac:dyDescent="0.35">
      <c r="A747">
        <v>746</v>
      </c>
      <c r="B747" t="s">
        <v>1351</v>
      </c>
      <c r="C747" t="s">
        <v>953</v>
      </c>
      <c r="D747" t="s">
        <v>15</v>
      </c>
      <c r="E747" t="s">
        <v>1824</v>
      </c>
      <c r="F747" t="s">
        <v>1858</v>
      </c>
      <c r="G747" t="s">
        <v>1858</v>
      </c>
      <c r="H747" s="358">
        <v>16.5</v>
      </c>
      <c r="J747" s="358">
        <f t="shared" si="1"/>
        <v>0</v>
      </c>
      <c r="L747" s="358">
        <f>'Clearance Fee'!B41</f>
        <v>16.5</v>
      </c>
      <c r="N747" s="361">
        <f>'Clearance Fee'!U41</f>
        <v>0</v>
      </c>
      <c r="O747" s="361">
        <f>'Clearance Fee'!V41</f>
        <v>0</v>
      </c>
      <c r="P747" s="358">
        <f>'Clearance Fee'!W41</f>
        <v>16.5</v>
      </c>
      <c r="R747" s="358">
        <f>'Clearance Fee'!X41</f>
        <v>0</v>
      </c>
      <c r="T747" s="358">
        <f>'Clearance Fee'!Y41</f>
        <v>16.5</v>
      </c>
      <c r="V747" s="365">
        <f>'Clearance Fee'!Z41</f>
        <v>0</v>
      </c>
      <c r="W747" s="358">
        <f>'Clearance Fee'!AA41</f>
        <v>0</v>
      </c>
      <c r="X747" s="358">
        <f>'Clearance Fee'!AB41</f>
        <v>0</v>
      </c>
      <c r="Y747" s="358">
        <f>'Clearance Fee'!AC41</f>
        <v>0</v>
      </c>
    </row>
    <row r="748" spans="1:25" x14ac:dyDescent="0.35">
      <c r="A748">
        <v>747</v>
      </c>
      <c r="B748" t="s">
        <v>1351</v>
      </c>
      <c r="C748" t="s">
        <v>953</v>
      </c>
      <c r="D748" t="s">
        <v>15</v>
      </c>
      <c r="E748" t="s">
        <v>1824</v>
      </c>
      <c r="F748" t="s">
        <v>1859</v>
      </c>
      <c r="G748" t="s">
        <v>1859</v>
      </c>
      <c r="H748" s="358">
        <v>0</v>
      </c>
      <c r="J748" s="358">
        <f t="shared" si="1"/>
        <v>0</v>
      </c>
      <c r="L748" s="358">
        <f>'Clearance Fee'!B42</f>
        <v>0</v>
      </c>
      <c r="N748" s="361">
        <f>'Clearance Fee'!U42</f>
        <v>0</v>
      </c>
      <c r="O748" s="361">
        <f>'Clearance Fee'!V42</f>
        <v>0</v>
      </c>
      <c r="P748" s="358">
        <f>'Clearance Fee'!W42</f>
        <v>0</v>
      </c>
      <c r="R748" s="358">
        <f>'Clearance Fee'!X42</f>
        <v>0</v>
      </c>
      <c r="T748" s="358">
        <f>'Clearance Fee'!Y42</f>
        <v>0</v>
      </c>
      <c r="V748" s="365">
        <f>'Clearance Fee'!Z42</f>
        <v>0</v>
      </c>
      <c r="W748" s="358">
        <f>'Clearance Fee'!AA42</f>
        <v>0</v>
      </c>
      <c r="X748" s="358">
        <f>'Clearance Fee'!AB42</f>
        <v>0</v>
      </c>
      <c r="Y748" s="358">
        <f>'Clearance Fee'!AC42</f>
        <v>0</v>
      </c>
    </row>
  </sheetData>
  <phoneticPr fontId="2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9E612-10F7-4C2E-B0A5-E48DDBA42BAE}">
  <sheetPr codeName="Sheet6"/>
  <dimension ref="A1:I578"/>
  <sheetViews>
    <sheetView zoomScale="70" zoomScaleNormal="70" workbookViewId="0">
      <pane ySplit="1" topLeftCell="A2" activePane="bottomLeft" state="frozen"/>
      <selection sqref="A1:K1"/>
      <selection pane="bottomLeft" activeCell="C569" sqref="C569"/>
    </sheetView>
  </sheetViews>
  <sheetFormatPr defaultRowHeight="14.5" x14ac:dyDescent="0.35"/>
  <cols>
    <col min="1" max="1" width="12.54296875" bestFit="1" customWidth="1"/>
    <col min="2" max="2" width="20" bestFit="1" customWidth="1"/>
    <col min="3" max="3" width="55.81640625" bestFit="1" customWidth="1"/>
    <col min="4" max="4" width="14.81640625" bestFit="1" customWidth="1"/>
    <col min="5" max="5" width="15.1796875" bestFit="1" customWidth="1"/>
    <col min="6" max="6" width="50.1796875" bestFit="1" customWidth="1"/>
    <col min="7" max="7" width="16.1796875" bestFit="1" customWidth="1"/>
    <col min="8" max="8" width="37.7265625" bestFit="1" customWidth="1"/>
    <col min="9" max="9" width="36.7265625" bestFit="1" customWidth="1"/>
  </cols>
  <sheetData>
    <row r="1" spans="1:9" x14ac:dyDescent="0.35">
      <c r="A1" s="42" t="s">
        <v>1246</v>
      </c>
      <c r="B1" s="42" t="s">
        <v>1247</v>
      </c>
      <c r="C1" s="42" t="s">
        <v>1248</v>
      </c>
      <c r="D1" s="42" t="s">
        <v>1249</v>
      </c>
      <c r="E1" s="42" t="s">
        <v>1250</v>
      </c>
      <c r="F1" s="42" t="s">
        <v>1251</v>
      </c>
      <c r="G1" s="42" t="s">
        <v>0</v>
      </c>
      <c r="H1" s="42" t="s">
        <v>270</v>
      </c>
      <c r="I1" s="42" t="s">
        <v>271</v>
      </c>
    </row>
    <row r="2" spans="1:9" x14ac:dyDescent="0.35">
      <c r="A2" t="s">
        <v>946</v>
      </c>
      <c r="B2" t="s">
        <v>406</v>
      </c>
      <c r="C2" t="s">
        <v>62</v>
      </c>
      <c r="D2">
        <v>1021</v>
      </c>
      <c r="E2">
        <v>17</v>
      </c>
      <c r="F2" t="s">
        <v>1052</v>
      </c>
      <c r="G2" t="s">
        <v>14</v>
      </c>
      <c r="H2" t="s">
        <v>62</v>
      </c>
      <c r="I2" t="s">
        <v>51</v>
      </c>
    </row>
    <row r="3" spans="1:9" x14ac:dyDescent="0.35">
      <c r="A3" t="s">
        <v>953</v>
      </c>
      <c r="B3" t="s">
        <v>978</v>
      </c>
      <c r="C3" t="s">
        <v>979</v>
      </c>
      <c r="D3">
        <v>1022</v>
      </c>
      <c r="E3" t="s">
        <v>1393</v>
      </c>
      <c r="F3" t="s">
        <v>1394</v>
      </c>
      <c r="G3" t="s">
        <v>14</v>
      </c>
      <c r="H3" t="s">
        <v>62</v>
      </c>
      <c r="I3" t="s">
        <v>51</v>
      </c>
    </row>
    <row r="4" spans="1:9" x14ac:dyDescent="0.35">
      <c r="A4" t="s">
        <v>953</v>
      </c>
      <c r="B4" t="s">
        <v>408</v>
      </c>
      <c r="C4" t="s">
        <v>62</v>
      </c>
      <c r="D4" s="186"/>
      <c r="G4" t="s">
        <v>14</v>
      </c>
      <c r="H4" t="s">
        <v>62</v>
      </c>
      <c r="I4" t="s">
        <v>51</v>
      </c>
    </row>
    <row r="5" spans="1:9" x14ac:dyDescent="0.35">
      <c r="A5" t="s">
        <v>946</v>
      </c>
      <c r="B5" t="s">
        <v>854</v>
      </c>
      <c r="C5" t="s">
        <v>58</v>
      </c>
      <c r="G5" t="s">
        <v>14</v>
      </c>
      <c r="H5" t="s">
        <v>58</v>
      </c>
      <c r="I5" t="s">
        <v>57</v>
      </c>
    </row>
    <row r="6" spans="1:9" x14ac:dyDescent="0.35">
      <c r="A6" t="s">
        <v>953</v>
      </c>
      <c r="B6" t="s">
        <v>678</v>
      </c>
      <c r="C6" t="s">
        <v>58</v>
      </c>
      <c r="G6" t="s">
        <v>14</v>
      </c>
      <c r="H6" t="s">
        <v>58</v>
      </c>
      <c r="I6" t="s">
        <v>57</v>
      </c>
    </row>
    <row r="7" spans="1:9" x14ac:dyDescent="0.35">
      <c r="A7" t="s">
        <v>946</v>
      </c>
      <c r="B7" t="s">
        <v>372</v>
      </c>
      <c r="C7" t="s">
        <v>31</v>
      </c>
      <c r="D7">
        <v>1045</v>
      </c>
      <c r="E7">
        <v>24</v>
      </c>
      <c r="F7" t="s">
        <v>31</v>
      </c>
      <c r="G7" t="s">
        <v>14</v>
      </c>
      <c r="H7" t="s">
        <v>31</v>
      </c>
      <c r="I7" t="s">
        <v>31</v>
      </c>
    </row>
    <row r="8" spans="1:9" x14ac:dyDescent="0.35">
      <c r="A8" t="s">
        <v>946</v>
      </c>
      <c r="B8" t="s">
        <v>351</v>
      </c>
      <c r="C8" t="s">
        <v>32</v>
      </c>
      <c r="D8">
        <v>2001</v>
      </c>
      <c r="E8" t="s">
        <v>1017</v>
      </c>
      <c r="F8" t="s">
        <v>1016</v>
      </c>
      <c r="G8" t="s">
        <v>15</v>
      </c>
      <c r="H8" t="s">
        <v>31</v>
      </c>
      <c r="I8" t="s">
        <v>31</v>
      </c>
    </row>
    <row r="9" spans="1:9" x14ac:dyDescent="0.35">
      <c r="A9" t="s">
        <v>953</v>
      </c>
      <c r="B9" t="s">
        <v>666</v>
      </c>
      <c r="C9" t="s">
        <v>32</v>
      </c>
      <c r="G9" t="s">
        <v>15</v>
      </c>
      <c r="H9" t="s">
        <v>31</v>
      </c>
      <c r="I9" t="s">
        <v>31</v>
      </c>
    </row>
    <row r="10" spans="1:9" x14ac:dyDescent="0.35">
      <c r="A10" t="s">
        <v>953</v>
      </c>
      <c r="B10" t="s">
        <v>371</v>
      </c>
      <c r="C10" t="s">
        <v>31</v>
      </c>
      <c r="G10" t="s">
        <v>14</v>
      </c>
      <c r="H10" t="s">
        <v>31</v>
      </c>
      <c r="I10" t="s">
        <v>31</v>
      </c>
    </row>
    <row r="11" spans="1:9" x14ac:dyDescent="0.35">
      <c r="A11" t="s">
        <v>946</v>
      </c>
      <c r="B11" t="s">
        <v>423</v>
      </c>
      <c r="C11" t="s">
        <v>92</v>
      </c>
      <c r="D11">
        <v>1046</v>
      </c>
      <c r="E11">
        <v>160</v>
      </c>
      <c r="F11" t="s">
        <v>1142</v>
      </c>
      <c r="G11" t="s">
        <v>14</v>
      </c>
      <c r="H11" t="s">
        <v>1644</v>
      </c>
      <c r="I11" t="s">
        <v>31</v>
      </c>
    </row>
    <row r="12" spans="1:9" x14ac:dyDescent="0.35">
      <c r="A12" t="s">
        <v>946</v>
      </c>
      <c r="B12" t="s">
        <v>424</v>
      </c>
      <c r="C12" t="s">
        <v>108</v>
      </c>
      <c r="D12">
        <v>2002</v>
      </c>
      <c r="E12" t="s">
        <v>1015</v>
      </c>
      <c r="F12" t="s">
        <v>1014</v>
      </c>
      <c r="G12" t="s">
        <v>15</v>
      </c>
      <c r="H12" t="s">
        <v>1258</v>
      </c>
      <c r="I12" t="s">
        <v>31</v>
      </c>
    </row>
    <row r="13" spans="1:9" x14ac:dyDescent="0.35">
      <c r="A13" t="s">
        <v>946</v>
      </c>
      <c r="B13" t="s">
        <v>425</v>
      </c>
      <c r="C13" t="s">
        <v>108</v>
      </c>
      <c r="D13" s="186"/>
      <c r="G13" t="s">
        <v>15</v>
      </c>
      <c r="H13" t="s">
        <v>1258</v>
      </c>
      <c r="I13" t="s">
        <v>31</v>
      </c>
    </row>
    <row r="14" spans="1:9" x14ac:dyDescent="0.35">
      <c r="A14" t="s">
        <v>953</v>
      </c>
      <c r="B14" t="s">
        <v>744</v>
      </c>
      <c r="C14" t="s">
        <v>108</v>
      </c>
      <c r="G14" t="s">
        <v>15</v>
      </c>
      <c r="H14" t="s">
        <v>1258</v>
      </c>
      <c r="I14" t="s">
        <v>31</v>
      </c>
    </row>
    <row r="15" spans="1:9" x14ac:dyDescent="0.35">
      <c r="A15" t="s">
        <v>953</v>
      </c>
      <c r="B15" t="s">
        <v>683</v>
      </c>
      <c r="C15" t="s">
        <v>108</v>
      </c>
      <c r="G15" t="s">
        <v>15</v>
      </c>
      <c r="H15" t="s">
        <v>1258</v>
      </c>
      <c r="I15" t="s">
        <v>31</v>
      </c>
    </row>
    <row r="16" spans="1:9" x14ac:dyDescent="0.35">
      <c r="A16" t="s">
        <v>946</v>
      </c>
      <c r="B16" t="s">
        <v>355</v>
      </c>
      <c r="C16" t="s">
        <v>47</v>
      </c>
      <c r="D16">
        <v>1189</v>
      </c>
      <c r="E16">
        <v>134</v>
      </c>
      <c r="F16" t="s">
        <v>1053</v>
      </c>
      <c r="G16" t="s">
        <v>14</v>
      </c>
      <c r="H16" t="s">
        <v>288</v>
      </c>
      <c r="I16" t="s">
        <v>968</v>
      </c>
    </row>
    <row r="17" spans="1:9" x14ac:dyDescent="0.35">
      <c r="A17" t="s">
        <v>946</v>
      </c>
      <c r="B17" t="s">
        <v>595</v>
      </c>
      <c r="C17" t="s">
        <v>47</v>
      </c>
      <c r="D17" s="186"/>
      <c r="G17" t="s">
        <v>14</v>
      </c>
      <c r="H17" t="s">
        <v>288</v>
      </c>
      <c r="I17" t="s">
        <v>968</v>
      </c>
    </row>
    <row r="18" spans="1:9" x14ac:dyDescent="0.35">
      <c r="A18" t="s">
        <v>946</v>
      </c>
      <c r="B18" t="s">
        <v>370</v>
      </c>
      <c r="C18" t="s">
        <v>47</v>
      </c>
      <c r="D18">
        <v>2004</v>
      </c>
      <c r="E18" t="s">
        <v>1018</v>
      </c>
      <c r="F18" t="s">
        <v>288</v>
      </c>
      <c r="G18" t="s">
        <v>15</v>
      </c>
      <c r="H18" t="s">
        <v>288</v>
      </c>
      <c r="I18" t="s">
        <v>968</v>
      </c>
    </row>
    <row r="19" spans="1:9" x14ac:dyDescent="0.35">
      <c r="A19" t="s">
        <v>953</v>
      </c>
      <c r="B19" t="s">
        <v>392</v>
      </c>
      <c r="C19" t="s">
        <v>47</v>
      </c>
      <c r="D19" s="186"/>
      <c r="H19" t="s">
        <v>288</v>
      </c>
      <c r="I19" t="s">
        <v>968</v>
      </c>
    </row>
    <row r="20" spans="1:9" x14ac:dyDescent="0.35">
      <c r="A20" t="s">
        <v>953</v>
      </c>
      <c r="B20" t="s">
        <v>754</v>
      </c>
      <c r="C20" t="s">
        <v>47</v>
      </c>
      <c r="H20" t="s">
        <v>288</v>
      </c>
      <c r="I20" t="s">
        <v>968</v>
      </c>
    </row>
    <row r="21" spans="1:9" x14ac:dyDescent="0.35">
      <c r="A21" t="s">
        <v>953</v>
      </c>
      <c r="B21" t="s">
        <v>746</v>
      </c>
      <c r="C21" t="s">
        <v>47</v>
      </c>
      <c r="H21" t="s">
        <v>288</v>
      </c>
      <c r="I21" t="s">
        <v>968</v>
      </c>
    </row>
    <row r="22" spans="1:9" x14ac:dyDescent="0.35">
      <c r="A22" t="s">
        <v>946</v>
      </c>
      <c r="B22" t="s">
        <v>594</v>
      </c>
      <c r="C22" t="s">
        <v>256</v>
      </c>
      <c r="D22">
        <v>1190</v>
      </c>
      <c r="E22">
        <v>159</v>
      </c>
      <c r="F22" t="s">
        <v>1143</v>
      </c>
      <c r="G22" t="s">
        <v>14</v>
      </c>
      <c r="H22" t="s">
        <v>1645</v>
      </c>
      <c r="I22" t="s">
        <v>968</v>
      </c>
    </row>
    <row r="23" spans="1:9" x14ac:dyDescent="0.35">
      <c r="A23" t="s">
        <v>946</v>
      </c>
      <c r="B23" t="s">
        <v>358</v>
      </c>
      <c r="C23" t="s">
        <v>59</v>
      </c>
      <c r="D23">
        <v>1105</v>
      </c>
      <c r="E23">
        <v>163</v>
      </c>
      <c r="F23" t="s">
        <v>1054</v>
      </c>
      <c r="G23" t="s">
        <v>14</v>
      </c>
      <c r="H23" t="s">
        <v>290</v>
      </c>
      <c r="I23" t="s">
        <v>66</v>
      </c>
    </row>
    <row r="24" spans="1:9" x14ac:dyDescent="0.35">
      <c r="A24" t="s">
        <v>953</v>
      </c>
      <c r="B24" t="s">
        <v>779</v>
      </c>
      <c r="C24" t="s">
        <v>604</v>
      </c>
      <c r="D24">
        <v>1109</v>
      </c>
      <c r="E24" t="s">
        <v>1277</v>
      </c>
      <c r="F24" t="s">
        <v>1278</v>
      </c>
      <c r="H24" t="s">
        <v>290</v>
      </c>
      <c r="I24" t="s">
        <v>66</v>
      </c>
    </row>
    <row r="25" spans="1:9" x14ac:dyDescent="0.35">
      <c r="A25" t="s">
        <v>953</v>
      </c>
      <c r="B25" t="s">
        <v>659</v>
      </c>
      <c r="C25" t="s">
        <v>604</v>
      </c>
      <c r="H25" t="s">
        <v>290</v>
      </c>
      <c r="I25" t="s">
        <v>66</v>
      </c>
    </row>
    <row r="26" spans="1:9" x14ac:dyDescent="0.35">
      <c r="A26" t="s">
        <v>946</v>
      </c>
      <c r="B26" t="s">
        <v>361</v>
      </c>
      <c r="C26" t="s">
        <v>155</v>
      </c>
      <c r="D26">
        <v>2005</v>
      </c>
      <c r="E26" t="s">
        <v>1011</v>
      </c>
      <c r="F26" t="s">
        <v>1010</v>
      </c>
      <c r="G26" t="s">
        <v>15</v>
      </c>
      <c r="H26" t="s">
        <v>290</v>
      </c>
      <c r="I26" t="s">
        <v>66</v>
      </c>
    </row>
    <row r="27" spans="1:9" x14ac:dyDescent="0.35">
      <c r="A27" t="s">
        <v>946</v>
      </c>
      <c r="B27" t="s">
        <v>422</v>
      </c>
      <c r="C27" t="s">
        <v>60</v>
      </c>
      <c r="D27" s="186">
        <v>1107</v>
      </c>
      <c r="E27">
        <v>219</v>
      </c>
      <c r="F27" t="s">
        <v>1056</v>
      </c>
      <c r="G27" t="s">
        <v>335</v>
      </c>
      <c r="H27" t="s">
        <v>293</v>
      </c>
      <c r="I27" t="s">
        <v>66</v>
      </c>
    </row>
    <row r="28" spans="1:9" x14ac:dyDescent="0.35">
      <c r="A28" t="s">
        <v>953</v>
      </c>
      <c r="B28" t="s">
        <v>814</v>
      </c>
      <c r="C28" t="s">
        <v>60</v>
      </c>
      <c r="D28">
        <v>1111</v>
      </c>
      <c r="E28" t="s">
        <v>1412</v>
      </c>
      <c r="F28" t="s">
        <v>1413</v>
      </c>
      <c r="G28" t="s">
        <v>335</v>
      </c>
      <c r="H28" t="s">
        <v>293</v>
      </c>
      <c r="I28" t="s">
        <v>66</v>
      </c>
    </row>
    <row r="29" spans="1:9" x14ac:dyDescent="0.35">
      <c r="A29" t="s">
        <v>946</v>
      </c>
      <c r="B29" t="s">
        <v>966</v>
      </c>
      <c r="C29" t="s">
        <v>967</v>
      </c>
      <c r="H29" t="s">
        <v>1420</v>
      </c>
      <c r="I29" t="s">
        <v>66</v>
      </c>
    </row>
    <row r="30" spans="1:9" x14ac:dyDescent="0.35">
      <c r="A30" t="s">
        <v>946</v>
      </c>
      <c r="B30" t="s">
        <v>409</v>
      </c>
      <c r="C30" t="s">
        <v>39</v>
      </c>
      <c r="D30">
        <v>1240</v>
      </c>
      <c r="E30">
        <v>244</v>
      </c>
      <c r="F30" t="s">
        <v>1057</v>
      </c>
      <c r="G30" t="s">
        <v>335</v>
      </c>
      <c r="H30" t="s">
        <v>291</v>
      </c>
      <c r="I30" t="s">
        <v>66</v>
      </c>
    </row>
    <row r="31" spans="1:9" x14ac:dyDescent="0.35">
      <c r="A31" t="s">
        <v>953</v>
      </c>
      <c r="B31" t="s">
        <v>395</v>
      </c>
      <c r="C31" t="s">
        <v>396</v>
      </c>
      <c r="D31" s="42">
        <v>1241</v>
      </c>
      <c r="E31" t="s">
        <v>1309</v>
      </c>
      <c r="F31" t="s">
        <v>1310</v>
      </c>
      <c r="G31" t="s">
        <v>335</v>
      </c>
      <c r="H31" t="s">
        <v>291</v>
      </c>
      <c r="I31" t="s">
        <v>66</v>
      </c>
    </row>
    <row r="32" spans="1:9" x14ac:dyDescent="0.35">
      <c r="A32" t="s">
        <v>946</v>
      </c>
      <c r="B32" t="s">
        <v>352</v>
      </c>
      <c r="C32" t="s">
        <v>23</v>
      </c>
      <c r="D32">
        <v>1104</v>
      </c>
      <c r="E32">
        <v>52</v>
      </c>
      <c r="F32" t="s">
        <v>1064</v>
      </c>
      <c r="G32" t="s">
        <v>14</v>
      </c>
      <c r="H32" t="s">
        <v>68</v>
      </c>
      <c r="I32" t="s">
        <v>66</v>
      </c>
    </row>
    <row r="33" spans="1:9" x14ac:dyDescent="0.35">
      <c r="A33" t="s">
        <v>953</v>
      </c>
      <c r="B33" t="s">
        <v>748</v>
      </c>
      <c r="C33" t="s">
        <v>631</v>
      </c>
      <c r="D33" s="186">
        <v>1108</v>
      </c>
      <c r="E33" t="s">
        <v>1273</v>
      </c>
      <c r="F33" t="s">
        <v>1274</v>
      </c>
      <c r="G33" t="s">
        <v>14</v>
      </c>
      <c r="H33" t="s">
        <v>68</v>
      </c>
      <c r="I33" t="s">
        <v>66</v>
      </c>
    </row>
    <row r="34" spans="1:9" x14ac:dyDescent="0.35">
      <c r="A34" t="s">
        <v>953</v>
      </c>
      <c r="B34" t="s">
        <v>692</v>
      </c>
      <c r="C34" t="s">
        <v>23</v>
      </c>
      <c r="G34" t="s">
        <v>15</v>
      </c>
      <c r="H34" t="s">
        <v>68</v>
      </c>
      <c r="I34" t="s">
        <v>66</v>
      </c>
    </row>
    <row r="35" spans="1:9" x14ac:dyDescent="0.35">
      <c r="A35" t="s">
        <v>946</v>
      </c>
      <c r="B35" t="s">
        <v>386</v>
      </c>
      <c r="C35" t="s">
        <v>130</v>
      </c>
      <c r="D35">
        <v>2128</v>
      </c>
      <c r="E35" t="s">
        <v>1020</v>
      </c>
      <c r="F35" t="s">
        <v>1019</v>
      </c>
      <c r="G35" t="s">
        <v>15</v>
      </c>
      <c r="H35" t="s">
        <v>68</v>
      </c>
      <c r="I35" t="s">
        <v>66</v>
      </c>
    </row>
    <row r="36" spans="1:9" x14ac:dyDescent="0.35">
      <c r="A36" t="s">
        <v>953</v>
      </c>
      <c r="B36" t="s">
        <v>964</v>
      </c>
      <c r="C36" t="s">
        <v>965</v>
      </c>
      <c r="H36" t="s">
        <v>68</v>
      </c>
      <c r="I36" t="s">
        <v>66</v>
      </c>
    </row>
    <row r="37" spans="1:9" x14ac:dyDescent="0.35">
      <c r="A37" t="s">
        <v>946</v>
      </c>
      <c r="B37" t="s">
        <v>379</v>
      </c>
      <c r="C37" t="s">
        <v>16</v>
      </c>
      <c r="D37">
        <v>1106</v>
      </c>
      <c r="E37">
        <v>164</v>
      </c>
      <c r="F37" t="s">
        <v>1067</v>
      </c>
      <c r="G37" t="s">
        <v>14</v>
      </c>
      <c r="H37" t="s">
        <v>67</v>
      </c>
      <c r="I37" t="s">
        <v>66</v>
      </c>
    </row>
    <row r="38" spans="1:9" x14ac:dyDescent="0.35">
      <c r="A38" t="s">
        <v>953</v>
      </c>
      <c r="B38" t="s">
        <v>815</v>
      </c>
      <c r="C38" t="s">
        <v>626</v>
      </c>
      <c r="D38">
        <v>1110</v>
      </c>
      <c r="E38" t="s">
        <v>1275</v>
      </c>
      <c r="F38" t="s">
        <v>1276</v>
      </c>
      <c r="H38" t="s">
        <v>67</v>
      </c>
      <c r="I38" t="s">
        <v>66</v>
      </c>
    </row>
    <row r="39" spans="1:9" x14ac:dyDescent="0.35">
      <c r="A39" t="s">
        <v>953</v>
      </c>
      <c r="B39" t="s">
        <v>729</v>
      </c>
      <c r="C39" t="s">
        <v>626</v>
      </c>
      <c r="H39" t="s">
        <v>67</v>
      </c>
      <c r="I39" t="s">
        <v>66</v>
      </c>
    </row>
    <row r="40" spans="1:9" x14ac:dyDescent="0.35">
      <c r="A40" t="s">
        <v>946</v>
      </c>
      <c r="B40" t="s">
        <v>363</v>
      </c>
      <c r="C40" t="s">
        <v>259</v>
      </c>
      <c r="D40">
        <v>2006</v>
      </c>
      <c r="E40" t="s">
        <v>1013</v>
      </c>
      <c r="F40" t="s">
        <v>1012</v>
      </c>
      <c r="G40" t="s">
        <v>15</v>
      </c>
      <c r="H40" t="s">
        <v>67</v>
      </c>
      <c r="I40" t="s">
        <v>66</v>
      </c>
    </row>
    <row r="41" spans="1:9" x14ac:dyDescent="0.35">
      <c r="A41" t="s">
        <v>946</v>
      </c>
      <c r="B41" t="s">
        <v>541</v>
      </c>
      <c r="C41" t="s">
        <v>159</v>
      </c>
      <c r="D41">
        <v>2011</v>
      </c>
      <c r="E41" t="s">
        <v>1022</v>
      </c>
      <c r="F41" t="s">
        <v>1021</v>
      </c>
      <c r="G41" t="s">
        <v>15</v>
      </c>
      <c r="H41" t="s">
        <v>342</v>
      </c>
      <c r="I41" t="s">
        <v>337</v>
      </c>
    </row>
    <row r="42" spans="1:9" x14ac:dyDescent="0.35">
      <c r="A42" t="s">
        <v>946</v>
      </c>
      <c r="B42" t="s">
        <v>542</v>
      </c>
      <c r="C42" t="s">
        <v>137</v>
      </c>
      <c r="D42">
        <v>2103</v>
      </c>
      <c r="E42" t="s">
        <v>1182</v>
      </c>
      <c r="F42" t="s">
        <v>1181</v>
      </c>
      <c r="G42" t="s">
        <v>15</v>
      </c>
      <c r="H42" t="s">
        <v>342</v>
      </c>
      <c r="I42" t="s">
        <v>337</v>
      </c>
    </row>
    <row r="43" spans="1:9" x14ac:dyDescent="0.35">
      <c r="A43" t="s">
        <v>946</v>
      </c>
      <c r="B43" t="s">
        <v>543</v>
      </c>
      <c r="C43" t="s">
        <v>205</v>
      </c>
      <c r="D43">
        <v>2125</v>
      </c>
      <c r="E43" t="s">
        <v>1212</v>
      </c>
      <c r="F43" t="s">
        <v>1211</v>
      </c>
      <c r="G43" t="s">
        <v>15</v>
      </c>
      <c r="H43" t="s">
        <v>342</v>
      </c>
      <c r="I43" t="s">
        <v>337</v>
      </c>
    </row>
    <row r="44" spans="1:9" x14ac:dyDescent="0.35">
      <c r="A44" t="s">
        <v>953</v>
      </c>
      <c r="B44" t="s">
        <v>694</v>
      </c>
      <c r="C44" t="s">
        <v>190</v>
      </c>
      <c r="G44" t="s">
        <v>15</v>
      </c>
      <c r="H44" t="s">
        <v>342</v>
      </c>
      <c r="I44" t="s">
        <v>342</v>
      </c>
    </row>
    <row r="45" spans="1:9" x14ac:dyDescent="0.35">
      <c r="A45" t="s">
        <v>953</v>
      </c>
      <c r="B45" t="s">
        <v>836</v>
      </c>
      <c r="C45" t="s">
        <v>655</v>
      </c>
      <c r="G45" t="s">
        <v>15</v>
      </c>
      <c r="H45" t="s">
        <v>342</v>
      </c>
      <c r="I45" t="s">
        <v>337</v>
      </c>
    </row>
    <row r="46" spans="1:9" x14ac:dyDescent="0.35">
      <c r="A46" t="s">
        <v>953</v>
      </c>
      <c r="B46" t="s">
        <v>669</v>
      </c>
      <c r="C46" t="s">
        <v>607</v>
      </c>
      <c r="G46" t="s">
        <v>15</v>
      </c>
      <c r="H46" t="s">
        <v>342</v>
      </c>
      <c r="I46" t="s">
        <v>337</v>
      </c>
    </row>
    <row r="47" spans="1:9" x14ac:dyDescent="0.35">
      <c r="A47" t="s">
        <v>953</v>
      </c>
      <c r="B47" t="s">
        <v>675</v>
      </c>
      <c r="C47" t="s">
        <v>612</v>
      </c>
      <c r="G47" t="s">
        <v>15</v>
      </c>
      <c r="H47" t="s">
        <v>342</v>
      </c>
      <c r="I47" t="s">
        <v>337</v>
      </c>
    </row>
    <row r="48" spans="1:9" x14ac:dyDescent="0.35">
      <c r="A48" t="s">
        <v>946</v>
      </c>
      <c r="B48" t="s">
        <v>426</v>
      </c>
      <c r="C48" t="s">
        <v>227</v>
      </c>
      <c r="G48" t="s">
        <v>15</v>
      </c>
      <c r="H48" t="s">
        <v>342</v>
      </c>
      <c r="I48" t="s">
        <v>342</v>
      </c>
    </row>
    <row r="49" spans="1:9" x14ac:dyDescent="0.35">
      <c r="A49" t="s">
        <v>946</v>
      </c>
      <c r="B49" t="s">
        <v>544</v>
      </c>
      <c r="C49" t="s">
        <v>128</v>
      </c>
      <c r="G49" t="s">
        <v>15</v>
      </c>
      <c r="H49" t="s">
        <v>342</v>
      </c>
      <c r="I49" t="s">
        <v>337</v>
      </c>
    </row>
    <row r="50" spans="1:9" x14ac:dyDescent="0.35">
      <c r="A50" t="s">
        <v>953</v>
      </c>
      <c r="B50" t="s">
        <v>765</v>
      </c>
      <c r="C50" t="s">
        <v>637</v>
      </c>
      <c r="H50" t="s">
        <v>342</v>
      </c>
      <c r="I50" t="s">
        <v>337</v>
      </c>
    </row>
    <row r="51" spans="1:9" x14ac:dyDescent="0.35">
      <c r="A51" t="s">
        <v>953</v>
      </c>
      <c r="B51" t="s">
        <v>799</v>
      </c>
      <c r="C51" t="s">
        <v>644</v>
      </c>
      <c r="H51" t="s">
        <v>342</v>
      </c>
      <c r="I51" t="s">
        <v>337</v>
      </c>
    </row>
    <row r="52" spans="1:9" x14ac:dyDescent="0.35">
      <c r="A52" t="s">
        <v>953</v>
      </c>
      <c r="B52" t="s">
        <v>382</v>
      </c>
      <c r="C52" t="s">
        <v>383</v>
      </c>
      <c r="G52" t="s">
        <v>14</v>
      </c>
      <c r="H52" t="s">
        <v>383</v>
      </c>
      <c r="I52" t="s">
        <v>851</v>
      </c>
    </row>
    <row r="53" spans="1:9" x14ac:dyDescent="0.35">
      <c r="A53" t="s">
        <v>946</v>
      </c>
      <c r="B53" t="s">
        <v>428</v>
      </c>
      <c r="C53" t="s">
        <v>17</v>
      </c>
      <c r="D53">
        <v>2016</v>
      </c>
      <c r="E53" t="s">
        <v>1071</v>
      </c>
      <c r="F53" t="s">
        <v>1070</v>
      </c>
      <c r="G53" t="s">
        <v>15</v>
      </c>
      <c r="H53" t="s">
        <v>17</v>
      </c>
      <c r="I53" t="s">
        <v>17</v>
      </c>
    </row>
    <row r="54" spans="1:9" x14ac:dyDescent="0.35">
      <c r="A54" t="s">
        <v>953</v>
      </c>
      <c r="B54" t="s">
        <v>790</v>
      </c>
      <c r="C54" t="s">
        <v>17</v>
      </c>
      <c r="G54" t="s">
        <v>15</v>
      </c>
      <c r="H54" t="s">
        <v>17</v>
      </c>
      <c r="I54" t="s">
        <v>17</v>
      </c>
    </row>
    <row r="55" spans="1:9" x14ac:dyDescent="0.35">
      <c r="A55" t="s">
        <v>953</v>
      </c>
      <c r="B55" t="s">
        <v>693</v>
      </c>
      <c r="C55" t="s">
        <v>188</v>
      </c>
      <c r="G55" t="s">
        <v>15</v>
      </c>
      <c r="H55" t="s">
        <v>17</v>
      </c>
      <c r="I55" t="s">
        <v>17</v>
      </c>
    </row>
    <row r="56" spans="1:9" x14ac:dyDescent="0.35">
      <c r="A56" t="s">
        <v>946</v>
      </c>
      <c r="B56" t="s">
        <v>429</v>
      </c>
      <c r="C56" t="s">
        <v>188</v>
      </c>
      <c r="D56">
        <v>2017</v>
      </c>
      <c r="E56" t="s">
        <v>1150</v>
      </c>
      <c r="F56" t="s">
        <v>1149</v>
      </c>
      <c r="G56" t="s">
        <v>15</v>
      </c>
      <c r="H56" t="s">
        <v>1414</v>
      </c>
      <c r="I56" t="s">
        <v>17</v>
      </c>
    </row>
    <row r="57" spans="1:9" x14ac:dyDescent="0.35">
      <c r="A57" t="s">
        <v>946</v>
      </c>
      <c r="B57" t="s">
        <v>447</v>
      </c>
      <c r="C57" t="s">
        <v>233</v>
      </c>
      <c r="D57">
        <v>2132</v>
      </c>
      <c r="E57" t="s">
        <v>1134</v>
      </c>
      <c r="F57" t="s">
        <v>1133</v>
      </c>
      <c r="G57" t="s">
        <v>15</v>
      </c>
      <c r="H57" t="s">
        <v>299</v>
      </c>
      <c r="I57" t="s">
        <v>298</v>
      </c>
    </row>
    <row r="58" spans="1:9" x14ac:dyDescent="0.35">
      <c r="A58" t="s">
        <v>946</v>
      </c>
      <c r="B58" t="s">
        <v>445</v>
      </c>
      <c r="C58" t="s">
        <v>168</v>
      </c>
      <c r="D58">
        <v>2171</v>
      </c>
      <c r="E58" t="s">
        <v>1030</v>
      </c>
      <c r="F58" t="s">
        <v>1029</v>
      </c>
      <c r="G58" t="s">
        <v>15</v>
      </c>
      <c r="H58" t="s">
        <v>299</v>
      </c>
      <c r="I58" t="s">
        <v>298</v>
      </c>
    </row>
    <row r="59" spans="1:9" x14ac:dyDescent="0.35">
      <c r="A59" t="s">
        <v>946</v>
      </c>
      <c r="B59" t="s">
        <v>448</v>
      </c>
      <c r="C59" t="s">
        <v>224</v>
      </c>
      <c r="G59" t="s">
        <v>15</v>
      </c>
      <c r="H59" t="s">
        <v>299</v>
      </c>
      <c r="I59" t="s">
        <v>298</v>
      </c>
    </row>
    <row r="60" spans="1:9" x14ac:dyDescent="0.35">
      <c r="A60" t="s">
        <v>953</v>
      </c>
      <c r="B60" t="s">
        <v>759</v>
      </c>
      <c r="C60" t="s">
        <v>635</v>
      </c>
      <c r="G60" t="s">
        <v>15</v>
      </c>
      <c r="H60" t="s">
        <v>299</v>
      </c>
      <c r="I60" t="s">
        <v>298</v>
      </c>
    </row>
    <row r="61" spans="1:9" x14ac:dyDescent="0.35">
      <c r="A61" t="s">
        <v>946</v>
      </c>
      <c r="B61" t="s">
        <v>446</v>
      </c>
      <c r="C61" t="s">
        <v>215</v>
      </c>
      <c r="G61" t="s">
        <v>15</v>
      </c>
      <c r="H61" t="s">
        <v>299</v>
      </c>
      <c r="I61" t="s">
        <v>298</v>
      </c>
    </row>
    <row r="62" spans="1:9" x14ac:dyDescent="0.35">
      <c r="A62" t="s">
        <v>953</v>
      </c>
      <c r="B62" t="s">
        <v>846</v>
      </c>
      <c r="C62" t="s">
        <v>656</v>
      </c>
      <c r="D62" s="186"/>
      <c r="G62" t="s">
        <v>15</v>
      </c>
      <c r="H62" t="s">
        <v>299</v>
      </c>
      <c r="I62" t="s">
        <v>298</v>
      </c>
    </row>
    <row r="63" spans="1:9" x14ac:dyDescent="0.35">
      <c r="A63" t="s">
        <v>953</v>
      </c>
      <c r="B63" t="s">
        <v>843</v>
      </c>
      <c r="C63" t="s">
        <v>656</v>
      </c>
      <c r="G63" t="s">
        <v>15</v>
      </c>
      <c r="H63" t="s">
        <v>299</v>
      </c>
      <c r="I63" t="s">
        <v>298</v>
      </c>
    </row>
    <row r="64" spans="1:9" x14ac:dyDescent="0.35">
      <c r="A64" t="s">
        <v>953</v>
      </c>
      <c r="B64" t="s">
        <v>824</v>
      </c>
      <c r="C64" t="s">
        <v>650</v>
      </c>
      <c r="D64" s="186"/>
      <c r="H64" t="s">
        <v>299</v>
      </c>
      <c r="I64" t="s">
        <v>298</v>
      </c>
    </row>
    <row r="65" spans="1:9" x14ac:dyDescent="0.35">
      <c r="A65" t="s">
        <v>946</v>
      </c>
      <c r="B65" t="s">
        <v>450</v>
      </c>
      <c r="C65" t="s">
        <v>222</v>
      </c>
      <c r="D65">
        <v>2127</v>
      </c>
      <c r="E65" t="s">
        <v>1132</v>
      </c>
      <c r="F65" t="s">
        <v>1131</v>
      </c>
      <c r="G65" t="s">
        <v>15</v>
      </c>
      <c r="H65" t="s">
        <v>300</v>
      </c>
      <c r="I65" t="s">
        <v>849</v>
      </c>
    </row>
    <row r="66" spans="1:9" x14ac:dyDescent="0.35">
      <c r="A66" t="s">
        <v>946</v>
      </c>
      <c r="B66" t="s">
        <v>449</v>
      </c>
      <c r="C66" t="s">
        <v>197</v>
      </c>
      <c r="D66">
        <v>2170</v>
      </c>
      <c r="E66" t="s">
        <v>1034</v>
      </c>
      <c r="F66" t="s">
        <v>1033</v>
      </c>
      <c r="G66" t="s">
        <v>15</v>
      </c>
      <c r="H66" t="s">
        <v>300</v>
      </c>
      <c r="I66" t="s">
        <v>298</v>
      </c>
    </row>
    <row r="67" spans="1:9" x14ac:dyDescent="0.35">
      <c r="A67" t="s">
        <v>946</v>
      </c>
      <c r="B67" t="s">
        <v>451</v>
      </c>
      <c r="C67" t="s">
        <v>195</v>
      </c>
      <c r="G67" t="s">
        <v>15</v>
      </c>
      <c r="H67" t="s">
        <v>300</v>
      </c>
      <c r="I67" t="s">
        <v>298</v>
      </c>
    </row>
    <row r="68" spans="1:9" x14ac:dyDescent="0.35">
      <c r="A68" t="s">
        <v>953</v>
      </c>
      <c r="B68" t="s">
        <v>782</v>
      </c>
      <c r="C68" t="s">
        <v>640</v>
      </c>
      <c r="G68" t="s">
        <v>15</v>
      </c>
      <c r="H68" t="s">
        <v>300</v>
      </c>
      <c r="I68" t="s">
        <v>298</v>
      </c>
    </row>
    <row r="69" spans="1:9" x14ac:dyDescent="0.35">
      <c r="A69" t="s">
        <v>953</v>
      </c>
      <c r="B69" t="s">
        <v>698</v>
      </c>
      <c r="C69" t="s">
        <v>222</v>
      </c>
      <c r="H69" t="s">
        <v>300</v>
      </c>
      <c r="I69" t="s">
        <v>849</v>
      </c>
    </row>
    <row r="70" spans="1:9" x14ac:dyDescent="0.35">
      <c r="A70" t="s">
        <v>953</v>
      </c>
      <c r="B70" t="s">
        <v>699</v>
      </c>
      <c r="C70" t="s">
        <v>192</v>
      </c>
      <c r="D70">
        <v>2043</v>
      </c>
      <c r="E70" t="s">
        <v>1288</v>
      </c>
      <c r="F70" t="s">
        <v>1289</v>
      </c>
      <c r="G70" t="s">
        <v>15</v>
      </c>
      <c r="H70" t="s">
        <v>301</v>
      </c>
      <c r="I70" t="s">
        <v>298</v>
      </c>
    </row>
    <row r="71" spans="1:9" x14ac:dyDescent="0.35">
      <c r="A71" t="s">
        <v>953</v>
      </c>
      <c r="B71" t="s">
        <v>662</v>
      </c>
      <c r="C71" t="s">
        <v>606</v>
      </c>
      <c r="G71" t="s">
        <v>15</v>
      </c>
      <c r="H71" t="s">
        <v>301</v>
      </c>
      <c r="I71" t="s">
        <v>298</v>
      </c>
    </row>
    <row r="72" spans="1:9" x14ac:dyDescent="0.35">
      <c r="A72" t="s">
        <v>946</v>
      </c>
      <c r="B72" t="s">
        <v>452</v>
      </c>
      <c r="C72" t="s">
        <v>150</v>
      </c>
      <c r="D72">
        <v>2169</v>
      </c>
      <c r="E72" t="s">
        <v>1032</v>
      </c>
      <c r="F72" t="s">
        <v>1031</v>
      </c>
      <c r="G72" t="s">
        <v>15</v>
      </c>
      <c r="H72" t="s">
        <v>301</v>
      </c>
      <c r="I72" t="s">
        <v>298</v>
      </c>
    </row>
    <row r="73" spans="1:9" x14ac:dyDescent="0.35">
      <c r="A73" t="s">
        <v>946</v>
      </c>
      <c r="B73" t="s">
        <v>453</v>
      </c>
      <c r="C73" t="s">
        <v>192</v>
      </c>
      <c r="G73" t="s">
        <v>15</v>
      </c>
      <c r="H73" t="s">
        <v>301</v>
      </c>
      <c r="I73" t="s">
        <v>298</v>
      </c>
    </row>
    <row r="74" spans="1:9" x14ac:dyDescent="0.35">
      <c r="A74" t="s">
        <v>946</v>
      </c>
      <c r="B74" t="s">
        <v>454</v>
      </c>
      <c r="C74" t="s">
        <v>72</v>
      </c>
      <c r="G74" t="s">
        <v>15</v>
      </c>
      <c r="H74" t="s">
        <v>301</v>
      </c>
      <c r="I74" t="s">
        <v>298</v>
      </c>
    </row>
    <row r="75" spans="1:9" x14ac:dyDescent="0.35">
      <c r="A75" t="s">
        <v>946</v>
      </c>
      <c r="B75" t="s">
        <v>455</v>
      </c>
      <c r="C75" t="s">
        <v>183</v>
      </c>
      <c r="D75">
        <v>2172</v>
      </c>
      <c r="E75" t="s">
        <v>1036</v>
      </c>
      <c r="F75" t="s">
        <v>1035</v>
      </c>
      <c r="G75" t="s">
        <v>15</v>
      </c>
      <c r="H75" t="s">
        <v>970</v>
      </c>
      <c r="I75" t="s">
        <v>298</v>
      </c>
    </row>
    <row r="76" spans="1:9" x14ac:dyDescent="0.35">
      <c r="A76" t="s">
        <v>946</v>
      </c>
      <c r="B76" t="s">
        <v>456</v>
      </c>
      <c r="C76" t="s">
        <v>200</v>
      </c>
      <c r="D76">
        <v>2173</v>
      </c>
      <c r="E76" t="s">
        <v>1038</v>
      </c>
      <c r="F76" t="s">
        <v>1037</v>
      </c>
      <c r="G76" t="s">
        <v>15</v>
      </c>
      <c r="H76" t="s">
        <v>971</v>
      </c>
      <c r="I76" t="s">
        <v>298</v>
      </c>
    </row>
    <row r="77" spans="1:9" x14ac:dyDescent="0.35">
      <c r="A77" t="s">
        <v>946</v>
      </c>
      <c r="B77" t="s">
        <v>457</v>
      </c>
      <c r="C77" t="s">
        <v>246</v>
      </c>
      <c r="G77" t="s">
        <v>15</v>
      </c>
      <c r="H77" t="s">
        <v>972</v>
      </c>
      <c r="I77" t="s">
        <v>298</v>
      </c>
    </row>
    <row r="78" spans="1:9" x14ac:dyDescent="0.35">
      <c r="A78" t="s">
        <v>946</v>
      </c>
      <c r="B78" t="s">
        <v>596</v>
      </c>
      <c r="C78" t="s">
        <v>131</v>
      </c>
      <c r="D78">
        <v>2126</v>
      </c>
      <c r="E78" t="s">
        <v>1130</v>
      </c>
      <c r="F78" t="s">
        <v>1129</v>
      </c>
      <c r="G78" t="s">
        <v>15</v>
      </c>
      <c r="H78" t="s">
        <v>312</v>
      </c>
      <c r="I78" t="s">
        <v>968</v>
      </c>
    </row>
    <row r="79" spans="1:9" x14ac:dyDescent="0.35">
      <c r="A79" t="s">
        <v>953</v>
      </c>
      <c r="B79" t="s">
        <v>750</v>
      </c>
      <c r="C79" t="s">
        <v>633</v>
      </c>
      <c r="G79" t="s">
        <v>15</v>
      </c>
      <c r="H79" t="s">
        <v>312</v>
      </c>
      <c r="I79" t="s">
        <v>968</v>
      </c>
    </row>
    <row r="80" spans="1:9" x14ac:dyDescent="0.35">
      <c r="A80" t="s">
        <v>946</v>
      </c>
      <c r="B80" t="s">
        <v>858</v>
      </c>
      <c r="C80" t="s">
        <v>189</v>
      </c>
      <c r="D80" s="186">
        <v>1024</v>
      </c>
      <c r="E80" t="s">
        <v>1409</v>
      </c>
      <c r="F80" t="s">
        <v>332</v>
      </c>
      <c r="H80" t="s">
        <v>969</v>
      </c>
      <c r="I80" t="s">
        <v>274</v>
      </c>
    </row>
    <row r="81" spans="1:9" x14ac:dyDescent="0.35">
      <c r="A81" t="s">
        <v>946</v>
      </c>
      <c r="B81" t="s">
        <v>435</v>
      </c>
      <c r="C81" t="s">
        <v>219</v>
      </c>
      <c r="D81">
        <v>2023</v>
      </c>
      <c r="E81" t="s">
        <v>1026</v>
      </c>
      <c r="F81" t="s">
        <v>1025</v>
      </c>
      <c r="G81" t="s">
        <v>15</v>
      </c>
      <c r="H81" t="s">
        <v>969</v>
      </c>
      <c r="I81" t="s">
        <v>274</v>
      </c>
    </row>
    <row r="82" spans="1:9" x14ac:dyDescent="0.35">
      <c r="A82" t="s">
        <v>946</v>
      </c>
      <c r="B82" t="s">
        <v>436</v>
      </c>
      <c r="C82" t="s">
        <v>219</v>
      </c>
      <c r="G82" t="s">
        <v>15</v>
      </c>
      <c r="H82" t="s">
        <v>969</v>
      </c>
      <c r="I82" t="s">
        <v>274</v>
      </c>
    </row>
    <row r="83" spans="1:9" x14ac:dyDescent="0.35">
      <c r="A83" t="s">
        <v>953</v>
      </c>
      <c r="B83" t="s">
        <v>685</v>
      </c>
      <c r="C83" t="s">
        <v>219</v>
      </c>
      <c r="G83" t="s">
        <v>15</v>
      </c>
      <c r="H83" t="s">
        <v>969</v>
      </c>
      <c r="I83" t="s">
        <v>274</v>
      </c>
    </row>
    <row r="84" spans="1:9" x14ac:dyDescent="0.35">
      <c r="A84" t="s">
        <v>953</v>
      </c>
      <c r="B84" t="s">
        <v>721</v>
      </c>
      <c r="C84" t="s">
        <v>219</v>
      </c>
      <c r="G84" t="s">
        <v>15</v>
      </c>
      <c r="H84" t="s">
        <v>969</v>
      </c>
      <c r="I84" t="s">
        <v>274</v>
      </c>
    </row>
    <row r="85" spans="1:9" x14ac:dyDescent="0.35">
      <c r="A85" t="s">
        <v>953</v>
      </c>
      <c r="B85" t="s">
        <v>800</v>
      </c>
      <c r="C85" t="s">
        <v>645</v>
      </c>
      <c r="D85" s="186"/>
      <c r="G85" t="s">
        <v>15</v>
      </c>
      <c r="H85" t="s">
        <v>969</v>
      </c>
      <c r="I85" t="s">
        <v>274</v>
      </c>
    </row>
    <row r="86" spans="1:9" x14ac:dyDescent="0.35">
      <c r="A86" t="s">
        <v>946</v>
      </c>
      <c r="B86" t="s">
        <v>438</v>
      </c>
      <c r="C86" t="s">
        <v>229</v>
      </c>
      <c r="G86" t="s">
        <v>15</v>
      </c>
      <c r="H86" t="s">
        <v>969</v>
      </c>
      <c r="I86" t="s">
        <v>274</v>
      </c>
    </row>
    <row r="87" spans="1:9" x14ac:dyDescent="0.35">
      <c r="A87" t="s">
        <v>946</v>
      </c>
      <c r="B87" t="s">
        <v>430</v>
      </c>
      <c r="C87" t="s">
        <v>238</v>
      </c>
      <c r="H87" t="s">
        <v>969</v>
      </c>
      <c r="I87" t="s">
        <v>274</v>
      </c>
    </row>
    <row r="88" spans="1:9" x14ac:dyDescent="0.35">
      <c r="A88" t="s">
        <v>946</v>
      </c>
      <c r="B88" t="s">
        <v>431</v>
      </c>
      <c r="C88" t="s">
        <v>238</v>
      </c>
      <c r="H88" t="s">
        <v>969</v>
      </c>
      <c r="I88" t="s">
        <v>274</v>
      </c>
    </row>
    <row r="89" spans="1:9" x14ac:dyDescent="0.35">
      <c r="A89" t="s">
        <v>953</v>
      </c>
      <c r="B89" t="s">
        <v>758</v>
      </c>
      <c r="C89" t="s">
        <v>238</v>
      </c>
      <c r="H89" t="s">
        <v>969</v>
      </c>
      <c r="I89" t="s">
        <v>274</v>
      </c>
    </row>
    <row r="90" spans="1:9" x14ac:dyDescent="0.35">
      <c r="A90" t="s">
        <v>953</v>
      </c>
      <c r="B90" t="s">
        <v>695</v>
      </c>
      <c r="C90" t="s">
        <v>238</v>
      </c>
      <c r="H90" t="s">
        <v>969</v>
      </c>
      <c r="I90" t="s">
        <v>274</v>
      </c>
    </row>
    <row r="91" spans="1:9" x14ac:dyDescent="0.35">
      <c r="A91" t="s">
        <v>953</v>
      </c>
      <c r="B91" t="s">
        <v>805</v>
      </c>
      <c r="C91" t="s">
        <v>647</v>
      </c>
      <c r="H91" t="s">
        <v>969</v>
      </c>
      <c r="I91" t="s">
        <v>274</v>
      </c>
    </row>
    <row r="92" spans="1:9" x14ac:dyDescent="0.35">
      <c r="A92" t="s">
        <v>946</v>
      </c>
      <c r="B92" t="s">
        <v>432</v>
      </c>
      <c r="C92" t="s">
        <v>166</v>
      </c>
      <c r="H92" t="s">
        <v>969</v>
      </c>
      <c r="I92" t="s">
        <v>274</v>
      </c>
    </row>
    <row r="93" spans="1:9" x14ac:dyDescent="0.35">
      <c r="A93" t="s">
        <v>953</v>
      </c>
      <c r="B93" t="s">
        <v>672</v>
      </c>
      <c r="C93" t="s">
        <v>610</v>
      </c>
      <c r="D93" s="186"/>
      <c r="H93" t="s">
        <v>969</v>
      </c>
      <c r="I93" t="s">
        <v>274</v>
      </c>
    </row>
    <row r="94" spans="1:9" x14ac:dyDescent="0.35">
      <c r="A94" t="s">
        <v>946</v>
      </c>
      <c r="B94" t="s">
        <v>433</v>
      </c>
      <c r="C94" t="s">
        <v>257</v>
      </c>
      <c r="H94" t="s">
        <v>969</v>
      </c>
      <c r="I94" t="s">
        <v>274</v>
      </c>
    </row>
    <row r="95" spans="1:9" x14ac:dyDescent="0.35">
      <c r="A95" t="s">
        <v>953</v>
      </c>
      <c r="B95" t="s">
        <v>817</v>
      </c>
      <c r="C95" t="s">
        <v>189</v>
      </c>
      <c r="H95" t="s">
        <v>969</v>
      </c>
      <c r="I95" t="s">
        <v>274</v>
      </c>
    </row>
    <row r="96" spans="1:9" x14ac:dyDescent="0.35">
      <c r="A96" t="s">
        <v>946</v>
      </c>
      <c r="B96" t="s">
        <v>437</v>
      </c>
      <c r="C96" t="s">
        <v>88</v>
      </c>
      <c r="H96" t="s">
        <v>969</v>
      </c>
      <c r="I96" t="s">
        <v>274</v>
      </c>
    </row>
    <row r="97" spans="1:9" x14ac:dyDescent="0.35">
      <c r="A97" t="s">
        <v>946</v>
      </c>
      <c r="B97" t="s">
        <v>434</v>
      </c>
      <c r="C97" t="s">
        <v>96</v>
      </c>
      <c r="H97" t="s">
        <v>1646</v>
      </c>
      <c r="I97" t="s">
        <v>274</v>
      </c>
    </row>
    <row r="98" spans="1:9" x14ac:dyDescent="0.35">
      <c r="A98" t="s">
        <v>946</v>
      </c>
      <c r="B98" t="s">
        <v>458</v>
      </c>
      <c r="C98" t="s">
        <v>201</v>
      </c>
      <c r="G98" t="s">
        <v>14</v>
      </c>
      <c r="H98" t="s">
        <v>51</v>
      </c>
      <c r="I98" t="s">
        <v>51</v>
      </c>
    </row>
    <row r="99" spans="1:9" x14ac:dyDescent="0.35">
      <c r="A99" t="s">
        <v>946</v>
      </c>
      <c r="B99" t="s">
        <v>871</v>
      </c>
      <c r="C99" t="s">
        <v>20</v>
      </c>
      <c r="H99" t="s">
        <v>284</v>
      </c>
      <c r="I99" t="s">
        <v>69</v>
      </c>
    </row>
    <row r="100" spans="1:9" x14ac:dyDescent="0.35">
      <c r="A100" t="s">
        <v>953</v>
      </c>
      <c r="B100" t="s">
        <v>820</v>
      </c>
      <c r="C100" t="s">
        <v>20</v>
      </c>
      <c r="H100" t="s">
        <v>284</v>
      </c>
      <c r="I100" t="s">
        <v>69</v>
      </c>
    </row>
    <row r="101" spans="1:9" x14ac:dyDescent="0.35">
      <c r="A101" t="s">
        <v>946</v>
      </c>
      <c r="B101" t="s">
        <v>461</v>
      </c>
      <c r="C101" t="s">
        <v>240</v>
      </c>
      <c r="G101" t="s">
        <v>941</v>
      </c>
      <c r="H101" t="s">
        <v>294</v>
      </c>
      <c r="I101" t="s">
        <v>69</v>
      </c>
    </row>
    <row r="102" spans="1:9" x14ac:dyDescent="0.35">
      <c r="A102" t="s">
        <v>946</v>
      </c>
      <c r="B102" t="s">
        <v>462</v>
      </c>
      <c r="C102" t="s">
        <v>182</v>
      </c>
      <c r="G102" t="s">
        <v>941</v>
      </c>
      <c r="H102" t="s">
        <v>294</v>
      </c>
      <c r="I102" t="s">
        <v>69</v>
      </c>
    </row>
    <row r="103" spans="1:9" x14ac:dyDescent="0.35">
      <c r="A103" t="s">
        <v>946</v>
      </c>
      <c r="B103" t="s">
        <v>463</v>
      </c>
      <c r="C103" t="s">
        <v>191</v>
      </c>
      <c r="D103">
        <v>2162</v>
      </c>
      <c r="E103" t="s">
        <v>1225</v>
      </c>
      <c r="F103" t="s">
        <v>1224</v>
      </c>
      <c r="G103" t="s">
        <v>941</v>
      </c>
      <c r="H103" t="s">
        <v>294</v>
      </c>
      <c r="I103" t="s">
        <v>69</v>
      </c>
    </row>
    <row r="104" spans="1:9" x14ac:dyDescent="0.35">
      <c r="A104" t="s">
        <v>946</v>
      </c>
      <c r="B104" t="s">
        <v>464</v>
      </c>
      <c r="C104" t="s">
        <v>266</v>
      </c>
      <c r="D104" s="186"/>
      <c r="G104" t="s">
        <v>941</v>
      </c>
      <c r="H104" t="s">
        <v>294</v>
      </c>
      <c r="I104" t="s">
        <v>69</v>
      </c>
    </row>
    <row r="105" spans="1:9" x14ac:dyDescent="0.35">
      <c r="A105" t="s">
        <v>946</v>
      </c>
      <c r="B105" t="s">
        <v>465</v>
      </c>
      <c r="C105" t="s">
        <v>104</v>
      </c>
      <c r="G105" t="s">
        <v>941</v>
      </c>
      <c r="H105" t="s">
        <v>294</v>
      </c>
      <c r="I105" t="s">
        <v>69</v>
      </c>
    </row>
    <row r="106" spans="1:9" x14ac:dyDescent="0.35">
      <c r="A106" t="s">
        <v>946</v>
      </c>
      <c r="B106" t="s">
        <v>466</v>
      </c>
      <c r="C106" t="s">
        <v>22</v>
      </c>
      <c r="D106">
        <v>1092</v>
      </c>
      <c r="E106">
        <v>188</v>
      </c>
      <c r="F106" t="s">
        <v>1039</v>
      </c>
      <c r="G106" t="s">
        <v>14</v>
      </c>
      <c r="H106" t="s">
        <v>304</v>
      </c>
      <c r="I106" t="s">
        <v>69</v>
      </c>
    </row>
    <row r="107" spans="1:9" x14ac:dyDescent="0.35">
      <c r="A107" t="s">
        <v>946</v>
      </c>
      <c r="B107" t="s">
        <v>404</v>
      </c>
      <c r="C107" t="s">
        <v>176</v>
      </c>
      <c r="D107">
        <v>2060</v>
      </c>
      <c r="E107" t="s">
        <v>1098</v>
      </c>
      <c r="F107" t="s">
        <v>1097</v>
      </c>
      <c r="G107" t="s">
        <v>15</v>
      </c>
      <c r="H107" t="s">
        <v>304</v>
      </c>
      <c r="I107" t="s">
        <v>69</v>
      </c>
    </row>
    <row r="108" spans="1:9" x14ac:dyDescent="0.35">
      <c r="A108" t="s">
        <v>953</v>
      </c>
      <c r="B108" t="s">
        <v>768</v>
      </c>
      <c r="C108" t="s">
        <v>22</v>
      </c>
      <c r="G108" t="s">
        <v>14</v>
      </c>
      <c r="H108" t="s">
        <v>304</v>
      </c>
      <c r="I108" t="s">
        <v>69</v>
      </c>
    </row>
    <row r="109" spans="1:9" x14ac:dyDescent="0.35">
      <c r="A109" t="s">
        <v>953</v>
      </c>
      <c r="B109" t="s">
        <v>760</v>
      </c>
      <c r="C109" t="s">
        <v>176</v>
      </c>
      <c r="G109" t="s">
        <v>15</v>
      </c>
      <c r="H109" t="s">
        <v>304</v>
      </c>
      <c r="I109" t="s">
        <v>69</v>
      </c>
    </row>
    <row r="110" spans="1:9" x14ac:dyDescent="0.35">
      <c r="A110" t="s">
        <v>946</v>
      </c>
      <c r="B110" t="s">
        <v>467</v>
      </c>
      <c r="C110" t="s">
        <v>147</v>
      </c>
      <c r="D110">
        <v>1093</v>
      </c>
      <c r="E110">
        <v>189</v>
      </c>
      <c r="F110" t="s">
        <v>1135</v>
      </c>
      <c r="G110" t="s">
        <v>14</v>
      </c>
      <c r="H110" t="s">
        <v>1647</v>
      </c>
      <c r="I110" t="s">
        <v>69</v>
      </c>
    </row>
    <row r="111" spans="1:9" x14ac:dyDescent="0.35">
      <c r="A111" t="s">
        <v>946</v>
      </c>
      <c r="B111" t="s">
        <v>468</v>
      </c>
      <c r="C111" t="s">
        <v>212</v>
      </c>
      <c r="D111">
        <v>2061</v>
      </c>
      <c r="E111" t="s">
        <v>1152</v>
      </c>
      <c r="F111" t="s">
        <v>1151</v>
      </c>
      <c r="G111" t="s">
        <v>15</v>
      </c>
      <c r="H111" t="s">
        <v>1647</v>
      </c>
      <c r="I111" t="s">
        <v>69</v>
      </c>
    </row>
    <row r="112" spans="1:9" x14ac:dyDescent="0.35">
      <c r="A112" t="s">
        <v>953</v>
      </c>
      <c r="B112" t="s">
        <v>825</v>
      </c>
      <c r="C112" t="s">
        <v>147</v>
      </c>
      <c r="G112" t="s">
        <v>14</v>
      </c>
      <c r="H112" t="s">
        <v>1647</v>
      </c>
      <c r="I112" t="s">
        <v>69</v>
      </c>
    </row>
    <row r="113" spans="1:9" x14ac:dyDescent="0.35">
      <c r="A113" t="s">
        <v>953</v>
      </c>
      <c r="B113" t="s">
        <v>812</v>
      </c>
      <c r="C113" t="s">
        <v>212</v>
      </c>
      <c r="G113" t="s">
        <v>15</v>
      </c>
      <c r="H113" t="s">
        <v>1647</v>
      </c>
      <c r="I113" t="s">
        <v>69</v>
      </c>
    </row>
    <row r="114" spans="1:9" x14ac:dyDescent="0.35">
      <c r="A114" t="s">
        <v>946</v>
      </c>
      <c r="B114" t="s">
        <v>469</v>
      </c>
      <c r="C114" t="s">
        <v>48</v>
      </c>
      <c r="D114">
        <v>1102</v>
      </c>
      <c r="E114">
        <v>198</v>
      </c>
      <c r="F114" t="s">
        <v>1040</v>
      </c>
      <c r="G114" t="s">
        <v>14</v>
      </c>
      <c r="H114" t="s">
        <v>305</v>
      </c>
      <c r="I114" t="s">
        <v>69</v>
      </c>
    </row>
    <row r="115" spans="1:9" x14ac:dyDescent="0.35">
      <c r="A115" t="s">
        <v>946</v>
      </c>
      <c r="B115" t="s">
        <v>418</v>
      </c>
      <c r="C115" t="s">
        <v>249</v>
      </c>
      <c r="D115">
        <v>2048</v>
      </c>
      <c r="E115" t="s">
        <v>1120</v>
      </c>
      <c r="F115" t="s">
        <v>1119</v>
      </c>
      <c r="G115" t="s">
        <v>15</v>
      </c>
      <c r="H115" t="s">
        <v>1730</v>
      </c>
      <c r="I115" t="s">
        <v>69</v>
      </c>
    </row>
    <row r="116" spans="1:9" x14ac:dyDescent="0.35">
      <c r="A116" t="s">
        <v>946</v>
      </c>
      <c r="B116" t="s">
        <v>471</v>
      </c>
      <c r="C116" t="s">
        <v>210</v>
      </c>
      <c r="D116">
        <v>2070</v>
      </c>
      <c r="E116" t="s">
        <v>1100</v>
      </c>
      <c r="F116" t="s">
        <v>1099</v>
      </c>
      <c r="G116" t="s">
        <v>15</v>
      </c>
      <c r="H116" t="s">
        <v>305</v>
      </c>
      <c r="I116" t="s">
        <v>69</v>
      </c>
    </row>
    <row r="117" spans="1:9" x14ac:dyDescent="0.35">
      <c r="A117" t="s">
        <v>953</v>
      </c>
      <c r="B117" t="s">
        <v>816</v>
      </c>
      <c r="C117" t="s">
        <v>48</v>
      </c>
      <c r="G117" t="s">
        <v>14</v>
      </c>
      <c r="H117" t="s">
        <v>305</v>
      </c>
      <c r="I117" t="s">
        <v>69</v>
      </c>
    </row>
    <row r="118" spans="1:9" x14ac:dyDescent="0.35">
      <c r="A118" t="s">
        <v>953</v>
      </c>
      <c r="B118" t="s">
        <v>837</v>
      </c>
      <c r="C118" t="s">
        <v>210</v>
      </c>
      <c r="G118" t="s">
        <v>15</v>
      </c>
      <c r="H118" t="s">
        <v>305</v>
      </c>
      <c r="I118" t="s">
        <v>69</v>
      </c>
    </row>
    <row r="119" spans="1:9" x14ac:dyDescent="0.35">
      <c r="A119" t="s">
        <v>953</v>
      </c>
      <c r="B119" t="s">
        <v>734</v>
      </c>
      <c r="C119" t="s">
        <v>628</v>
      </c>
      <c r="G119" t="s">
        <v>15</v>
      </c>
      <c r="H119" t="s">
        <v>1730</v>
      </c>
      <c r="I119" t="s">
        <v>69</v>
      </c>
    </row>
    <row r="120" spans="1:9" x14ac:dyDescent="0.35">
      <c r="A120" t="s">
        <v>953</v>
      </c>
      <c r="B120" t="s">
        <v>747</v>
      </c>
      <c r="C120" t="s">
        <v>628</v>
      </c>
      <c r="G120" t="s">
        <v>15</v>
      </c>
      <c r="H120" t="s">
        <v>1730</v>
      </c>
      <c r="I120" t="s">
        <v>69</v>
      </c>
    </row>
    <row r="121" spans="1:9" x14ac:dyDescent="0.35">
      <c r="A121" t="s">
        <v>946</v>
      </c>
      <c r="B121" t="s">
        <v>470</v>
      </c>
      <c r="C121" t="s">
        <v>187</v>
      </c>
      <c r="D121" s="186">
        <v>1103</v>
      </c>
      <c r="E121">
        <v>199</v>
      </c>
      <c r="F121" t="s">
        <v>1136</v>
      </c>
      <c r="G121" t="s">
        <v>14</v>
      </c>
      <c r="H121" t="s">
        <v>1648</v>
      </c>
      <c r="I121" t="s">
        <v>69</v>
      </c>
    </row>
    <row r="122" spans="1:9" x14ac:dyDescent="0.35">
      <c r="A122" t="s">
        <v>946</v>
      </c>
      <c r="B122" t="s">
        <v>473</v>
      </c>
      <c r="C122" t="s">
        <v>129</v>
      </c>
      <c r="G122" t="s">
        <v>15</v>
      </c>
      <c r="H122" t="s">
        <v>1648</v>
      </c>
      <c r="I122" t="s">
        <v>69</v>
      </c>
    </row>
    <row r="123" spans="1:9" x14ac:dyDescent="0.35">
      <c r="A123" t="s">
        <v>946</v>
      </c>
      <c r="B123" t="s">
        <v>472</v>
      </c>
      <c r="C123" t="s">
        <v>177</v>
      </c>
      <c r="D123">
        <v>2071</v>
      </c>
      <c r="E123" t="s">
        <v>1154</v>
      </c>
      <c r="F123" t="s">
        <v>1153</v>
      </c>
      <c r="G123" t="s">
        <v>15</v>
      </c>
      <c r="H123" t="s">
        <v>1648</v>
      </c>
      <c r="I123" t="s">
        <v>69</v>
      </c>
    </row>
    <row r="124" spans="1:9" x14ac:dyDescent="0.35">
      <c r="A124" t="s">
        <v>953</v>
      </c>
      <c r="B124" t="s">
        <v>771</v>
      </c>
      <c r="C124" t="s">
        <v>187</v>
      </c>
      <c r="G124" t="s">
        <v>14</v>
      </c>
      <c r="H124" t="s">
        <v>1648</v>
      </c>
      <c r="I124" t="s">
        <v>69</v>
      </c>
    </row>
    <row r="125" spans="1:9" x14ac:dyDescent="0.35">
      <c r="A125" t="s">
        <v>953</v>
      </c>
      <c r="B125" t="s">
        <v>668</v>
      </c>
      <c r="C125" t="s">
        <v>177</v>
      </c>
      <c r="G125" t="s">
        <v>15</v>
      </c>
      <c r="H125" t="s">
        <v>1648</v>
      </c>
      <c r="I125" t="s">
        <v>69</v>
      </c>
    </row>
    <row r="126" spans="1:9" x14ac:dyDescent="0.35">
      <c r="A126" t="s">
        <v>946</v>
      </c>
      <c r="B126" t="s">
        <v>378</v>
      </c>
      <c r="C126" t="s">
        <v>29</v>
      </c>
      <c r="D126" s="186">
        <v>1084</v>
      </c>
      <c r="E126">
        <v>180</v>
      </c>
      <c r="F126" t="s">
        <v>1041</v>
      </c>
      <c r="G126" t="s">
        <v>14</v>
      </c>
      <c r="H126" t="s">
        <v>281</v>
      </c>
      <c r="I126" t="s">
        <v>69</v>
      </c>
    </row>
    <row r="127" spans="1:9" x14ac:dyDescent="0.35">
      <c r="A127" t="s">
        <v>946</v>
      </c>
      <c r="B127" t="s">
        <v>387</v>
      </c>
      <c r="C127" t="s">
        <v>267</v>
      </c>
      <c r="D127" s="186">
        <v>2056</v>
      </c>
      <c r="E127" t="s">
        <v>1102</v>
      </c>
      <c r="F127" t="s">
        <v>1101</v>
      </c>
      <c r="G127" t="s">
        <v>15</v>
      </c>
      <c r="H127" t="s">
        <v>281</v>
      </c>
      <c r="I127" t="s">
        <v>69</v>
      </c>
    </row>
    <row r="128" spans="1:9" x14ac:dyDescent="0.35">
      <c r="A128" t="s">
        <v>953</v>
      </c>
      <c r="B128" t="s">
        <v>773</v>
      </c>
      <c r="C128" t="s">
        <v>29</v>
      </c>
      <c r="G128" t="s">
        <v>14</v>
      </c>
      <c r="H128" t="s">
        <v>281</v>
      </c>
      <c r="I128" t="s">
        <v>69</v>
      </c>
    </row>
    <row r="129" spans="1:9" x14ac:dyDescent="0.35">
      <c r="A129" t="s">
        <v>953</v>
      </c>
      <c r="B129" t="s">
        <v>778</v>
      </c>
      <c r="C129" t="s">
        <v>267</v>
      </c>
      <c r="G129" t="s">
        <v>15</v>
      </c>
      <c r="H129" t="s">
        <v>281</v>
      </c>
      <c r="I129" t="s">
        <v>69</v>
      </c>
    </row>
    <row r="130" spans="1:9" x14ac:dyDescent="0.35">
      <c r="A130" t="s">
        <v>946</v>
      </c>
      <c r="B130" t="s">
        <v>869</v>
      </c>
      <c r="C130" t="s">
        <v>221</v>
      </c>
      <c r="D130" s="186"/>
      <c r="H130" t="s">
        <v>281</v>
      </c>
      <c r="I130" t="s">
        <v>69</v>
      </c>
    </row>
    <row r="131" spans="1:9" x14ac:dyDescent="0.35">
      <c r="A131" t="s">
        <v>953</v>
      </c>
      <c r="B131" t="s">
        <v>704</v>
      </c>
      <c r="C131" t="s">
        <v>221</v>
      </c>
      <c r="H131" t="s">
        <v>281</v>
      </c>
      <c r="I131" t="s">
        <v>69</v>
      </c>
    </row>
    <row r="132" spans="1:9" x14ac:dyDescent="0.35">
      <c r="A132" t="s">
        <v>953</v>
      </c>
      <c r="B132" t="s">
        <v>697</v>
      </c>
      <c r="C132" t="s">
        <v>617</v>
      </c>
      <c r="H132" t="s">
        <v>281</v>
      </c>
      <c r="I132" t="s">
        <v>69</v>
      </c>
    </row>
    <row r="133" spans="1:9" x14ac:dyDescent="0.35">
      <c r="A133" t="s">
        <v>953</v>
      </c>
      <c r="B133" t="s">
        <v>831</v>
      </c>
      <c r="C133" t="s">
        <v>617</v>
      </c>
      <c r="H133" t="s">
        <v>281</v>
      </c>
      <c r="I133" t="s">
        <v>69</v>
      </c>
    </row>
    <row r="134" spans="1:9" x14ac:dyDescent="0.35">
      <c r="A134" t="s">
        <v>946</v>
      </c>
      <c r="B134" t="s">
        <v>475</v>
      </c>
      <c r="C134" t="s">
        <v>95</v>
      </c>
      <c r="H134" t="s">
        <v>281</v>
      </c>
      <c r="I134" t="s">
        <v>69</v>
      </c>
    </row>
    <row r="135" spans="1:9" x14ac:dyDescent="0.35">
      <c r="A135" t="s">
        <v>946</v>
      </c>
      <c r="B135" t="s">
        <v>476</v>
      </c>
      <c r="C135" t="s">
        <v>95</v>
      </c>
      <c r="H135" t="s">
        <v>281</v>
      </c>
      <c r="I135" t="s">
        <v>69</v>
      </c>
    </row>
    <row r="136" spans="1:9" x14ac:dyDescent="0.35">
      <c r="A136" t="s">
        <v>946</v>
      </c>
      <c r="B136" t="s">
        <v>477</v>
      </c>
      <c r="C136" t="s">
        <v>103</v>
      </c>
      <c r="D136">
        <v>1085</v>
      </c>
      <c r="E136" t="s">
        <v>1410</v>
      </c>
      <c r="F136" t="s">
        <v>1411</v>
      </c>
      <c r="G136" t="s">
        <v>14</v>
      </c>
      <c r="H136" t="s">
        <v>1649</v>
      </c>
      <c r="I136" t="s">
        <v>69</v>
      </c>
    </row>
    <row r="137" spans="1:9" x14ac:dyDescent="0.35">
      <c r="A137" t="s">
        <v>953</v>
      </c>
      <c r="B137" t="s">
        <v>706</v>
      </c>
      <c r="C137" t="s">
        <v>103</v>
      </c>
      <c r="G137" t="s">
        <v>14</v>
      </c>
      <c r="H137" t="s">
        <v>1649</v>
      </c>
      <c r="I137" t="s">
        <v>69</v>
      </c>
    </row>
    <row r="138" spans="1:9" x14ac:dyDescent="0.35">
      <c r="A138" t="s">
        <v>953</v>
      </c>
      <c r="B138" t="s">
        <v>709</v>
      </c>
      <c r="C138" t="s">
        <v>106</v>
      </c>
      <c r="G138" t="s">
        <v>15</v>
      </c>
      <c r="H138" t="s">
        <v>1649</v>
      </c>
      <c r="I138" t="s">
        <v>69</v>
      </c>
    </row>
    <row r="139" spans="1:9" x14ac:dyDescent="0.35">
      <c r="A139" t="s">
        <v>946</v>
      </c>
      <c r="B139" t="s">
        <v>474</v>
      </c>
      <c r="C139" t="s">
        <v>123</v>
      </c>
      <c r="H139" t="s">
        <v>1649</v>
      </c>
      <c r="I139" t="s">
        <v>69</v>
      </c>
    </row>
    <row r="140" spans="1:9" x14ac:dyDescent="0.35">
      <c r="A140" t="s">
        <v>946</v>
      </c>
      <c r="B140" t="s">
        <v>478</v>
      </c>
      <c r="C140" t="s">
        <v>106</v>
      </c>
      <c r="D140" s="186">
        <v>2057</v>
      </c>
      <c r="E140" t="s">
        <v>1156</v>
      </c>
      <c r="F140" t="s">
        <v>1155</v>
      </c>
      <c r="G140" t="s">
        <v>15</v>
      </c>
      <c r="H140" t="s">
        <v>1650</v>
      </c>
      <c r="I140" t="s">
        <v>69</v>
      </c>
    </row>
    <row r="141" spans="1:9" x14ac:dyDescent="0.35">
      <c r="A141" t="s">
        <v>946</v>
      </c>
      <c r="B141" t="s">
        <v>460</v>
      </c>
      <c r="C141" t="s">
        <v>119</v>
      </c>
      <c r="G141" t="s">
        <v>941</v>
      </c>
      <c r="H141" t="s">
        <v>336</v>
      </c>
      <c r="I141" t="s">
        <v>69</v>
      </c>
    </row>
    <row r="142" spans="1:9" x14ac:dyDescent="0.35">
      <c r="A142" t="s">
        <v>946</v>
      </c>
      <c r="B142" t="s">
        <v>479</v>
      </c>
      <c r="C142" t="s">
        <v>269</v>
      </c>
      <c r="G142" t="s">
        <v>941</v>
      </c>
      <c r="H142" t="s">
        <v>336</v>
      </c>
      <c r="I142" t="s">
        <v>69</v>
      </c>
    </row>
    <row r="143" spans="1:9" x14ac:dyDescent="0.35">
      <c r="A143" t="s">
        <v>946</v>
      </c>
      <c r="B143" t="s">
        <v>480</v>
      </c>
      <c r="C143" t="s">
        <v>120</v>
      </c>
      <c r="D143">
        <v>2160</v>
      </c>
      <c r="E143" t="s">
        <v>1223</v>
      </c>
      <c r="F143" t="s">
        <v>1222</v>
      </c>
      <c r="G143" t="s">
        <v>941</v>
      </c>
      <c r="H143" t="s">
        <v>336</v>
      </c>
      <c r="I143" t="s">
        <v>69</v>
      </c>
    </row>
    <row r="144" spans="1:9" x14ac:dyDescent="0.35">
      <c r="A144" t="s">
        <v>946</v>
      </c>
      <c r="B144" t="s">
        <v>481</v>
      </c>
      <c r="C144" t="s">
        <v>101</v>
      </c>
      <c r="G144" t="s">
        <v>941</v>
      </c>
      <c r="H144" t="s">
        <v>336</v>
      </c>
      <c r="I144" t="s">
        <v>69</v>
      </c>
    </row>
    <row r="145" spans="1:9" x14ac:dyDescent="0.35">
      <c r="A145" t="s">
        <v>946</v>
      </c>
      <c r="B145" t="s">
        <v>482</v>
      </c>
      <c r="C145" t="s">
        <v>180</v>
      </c>
      <c r="G145" t="s">
        <v>941</v>
      </c>
      <c r="H145" t="s">
        <v>336</v>
      </c>
      <c r="I145" t="s">
        <v>69</v>
      </c>
    </row>
    <row r="146" spans="1:9" x14ac:dyDescent="0.35">
      <c r="A146" t="s">
        <v>946</v>
      </c>
      <c r="B146" t="s">
        <v>483</v>
      </c>
      <c r="C146" t="s">
        <v>76</v>
      </c>
      <c r="G146" t="s">
        <v>941</v>
      </c>
      <c r="H146" t="s">
        <v>295</v>
      </c>
      <c r="I146" t="s">
        <v>69</v>
      </c>
    </row>
    <row r="147" spans="1:9" x14ac:dyDescent="0.35">
      <c r="A147" t="s">
        <v>946</v>
      </c>
      <c r="B147" t="s">
        <v>484</v>
      </c>
      <c r="C147" t="s">
        <v>235</v>
      </c>
      <c r="G147" t="s">
        <v>941</v>
      </c>
      <c r="H147" t="s">
        <v>295</v>
      </c>
      <c r="I147" t="s">
        <v>69</v>
      </c>
    </row>
    <row r="148" spans="1:9" x14ac:dyDescent="0.35">
      <c r="A148" t="s">
        <v>946</v>
      </c>
      <c r="B148" t="s">
        <v>485</v>
      </c>
      <c r="C148" t="s">
        <v>154</v>
      </c>
      <c r="D148" s="186">
        <v>2161</v>
      </c>
      <c r="E148" t="s">
        <v>1227</v>
      </c>
      <c r="F148" t="s">
        <v>1226</v>
      </c>
      <c r="G148" t="s">
        <v>941</v>
      </c>
      <c r="H148" t="s">
        <v>295</v>
      </c>
      <c r="I148" t="s">
        <v>69</v>
      </c>
    </row>
    <row r="149" spans="1:9" x14ac:dyDescent="0.35">
      <c r="A149" t="s">
        <v>946</v>
      </c>
      <c r="B149" t="s">
        <v>486</v>
      </c>
      <c r="C149" t="s">
        <v>174</v>
      </c>
      <c r="G149" t="s">
        <v>941</v>
      </c>
      <c r="H149" t="s">
        <v>295</v>
      </c>
      <c r="I149" t="s">
        <v>69</v>
      </c>
    </row>
    <row r="150" spans="1:9" x14ac:dyDescent="0.35">
      <c r="A150" t="s">
        <v>946</v>
      </c>
      <c r="B150" t="s">
        <v>487</v>
      </c>
      <c r="C150" t="s">
        <v>186</v>
      </c>
      <c r="D150" s="186"/>
      <c r="G150" t="s">
        <v>941</v>
      </c>
      <c r="H150" t="s">
        <v>295</v>
      </c>
      <c r="I150" t="s">
        <v>69</v>
      </c>
    </row>
    <row r="151" spans="1:9" x14ac:dyDescent="0.35">
      <c r="A151" t="s">
        <v>946</v>
      </c>
      <c r="B151" t="s">
        <v>380</v>
      </c>
      <c r="C151" t="s">
        <v>38</v>
      </c>
      <c r="D151">
        <v>1086</v>
      </c>
      <c r="E151">
        <v>182</v>
      </c>
      <c r="F151" t="s">
        <v>1042</v>
      </c>
      <c r="G151" t="s">
        <v>14</v>
      </c>
      <c r="H151" t="s">
        <v>306</v>
      </c>
      <c r="I151" t="s">
        <v>69</v>
      </c>
    </row>
    <row r="152" spans="1:9" x14ac:dyDescent="0.35">
      <c r="A152" t="s">
        <v>946</v>
      </c>
      <c r="B152" t="s">
        <v>393</v>
      </c>
      <c r="C152" t="s">
        <v>77</v>
      </c>
      <c r="D152">
        <v>2058</v>
      </c>
      <c r="E152" t="s">
        <v>1104</v>
      </c>
      <c r="F152" t="s">
        <v>1103</v>
      </c>
      <c r="G152" t="s">
        <v>15</v>
      </c>
      <c r="H152" t="s">
        <v>306</v>
      </c>
      <c r="I152" t="s">
        <v>69</v>
      </c>
    </row>
    <row r="153" spans="1:9" x14ac:dyDescent="0.35">
      <c r="A153" t="s">
        <v>953</v>
      </c>
      <c r="B153" t="s">
        <v>769</v>
      </c>
      <c r="C153" t="s">
        <v>38</v>
      </c>
      <c r="G153" t="s">
        <v>14</v>
      </c>
      <c r="H153" t="s">
        <v>306</v>
      </c>
      <c r="I153" t="s">
        <v>69</v>
      </c>
    </row>
    <row r="154" spans="1:9" x14ac:dyDescent="0.35">
      <c r="A154" t="s">
        <v>953</v>
      </c>
      <c r="B154" t="s">
        <v>762</v>
      </c>
      <c r="C154" t="s">
        <v>77</v>
      </c>
      <c r="G154" t="s">
        <v>15</v>
      </c>
      <c r="H154" t="s">
        <v>306</v>
      </c>
      <c r="I154" t="s">
        <v>69</v>
      </c>
    </row>
    <row r="155" spans="1:9" x14ac:dyDescent="0.35">
      <c r="A155" t="s">
        <v>946</v>
      </c>
      <c r="B155" t="s">
        <v>488</v>
      </c>
      <c r="C155" t="s">
        <v>175</v>
      </c>
      <c r="D155" s="186"/>
      <c r="G155" t="s">
        <v>14</v>
      </c>
      <c r="H155" t="s">
        <v>1651</v>
      </c>
      <c r="I155" t="s">
        <v>69</v>
      </c>
    </row>
    <row r="156" spans="1:9" x14ac:dyDescent="0.35">
      <c r="A156" t="s">
        <v>953</v>
      </c>
      <c r="B156" t="s">
        <v>667</v>
      </c>
      <c r="C156" t="s">
        <v>175</v>
      </c>
      <c r="D156" s="186"/>
      <c r="G156" t="s">
        <v>14</v>
      </c>
      <c r="H156" t="s">
        <v>1651</v>
      </c>
      <c r="I156" t="s">
        <v>69</v>
      </c>
    </row>
    <row r="157" spans="1:9" x14ac:dyDescent="0.35">
      <c r="A157" t="s">
        <v>946</v>
      </c>
      <c r="B157" t="s">
        <v>489</v>
      </c>
      <c r="C157" t="s">
        <v>203</v>
      </c>
      <c r="D157">
        <v>2059</v>
      </c>
      <c r="E157" t="s">
        <v>1158</v>
      </c>
      <c r="F157" t="s">
        <v>1157</v>
      </c>
      <c r="G157" t="s">
        <v>15</v>
      </c>
      <c r="H157" t="s">
        <v>1652</v>
      </c>
      <c r="I157" t="s">
        <v>69</v>
      </c>
    </row>
    <row r="158" spans="1:9" x14ac:dyDescent="0.35">
      <c r="A158" t="s">
        <v>953</v>
      </c>
      <c r="B158" t="s">
        <v>845</v>
      </c>
      <c r="C158" t="s">
        <v>203</v>
      </c>
      <c r="G158" t="s">
        <v>15</v>
      </c>
      <c r="H158" t="s">
        <v>1652</v>
      </c>
      <c r="I158" t="s">
        <v>69</v>
      </c>
    </row>
    <row r="159" spans="1:9" x14ac:dyDescent="0.35">
      <c r="A159" t="s">
        <v>946</v>
      </c>
      <c r="B159" t="s">
        <v>348</v>
      </c>
      <c r="C159" t="s">
        <v>21</v>
      </c>
      <c r="D159">
        <v>1096</v>
      </c>
      <c r="E159">
        <v>192</v>
      </c>
      <c r="F159" t="s">
        <v>1043</v>
      </c>
      <c r="G159" t="s">
        <v>14</v>
      </c>
      <c r="H159" t="s">
        <v>307</v>
      </c>
      <c r="I159" t="s">
        <v>69</v>
      </c>
    </row>
    <row r="160" spans="1:9" x14ac:dyDescent="0.35">
      <c r="A160" t="s">
        <v>946</v>
      </c>
      <c r="B160" t="s">
        <v>405</v>
      </c>
      <c r="C160" t="s">
        <v>250</v>
      </c>
      <c r="D160">
        <v>2068</v>
      </c>
      <c r="E160" t="s">
        <v>1106</v>
      </c>
      <c r="F160" t="s">
        <v>1105</v>
      </c>
      <c r="G160" t="s">
        <v>15</v>
      </c>
      <c r="H160" t="s">
        <v>307</v>
      </c>
      <c r="I160" t="s">
        <v>69</v>
      </c>
    </row>
    <row r="161" spans="1:9" x14ac:dyDescent="0.35">
      <c r="A161" t="s">
        <v>953</v>
      </c>
      <c r="B161" t="s">
        <v>791</v>
      </c>
      <c r="C161" t="s">
        <v>21</v>
      </c>
      <c r="G161" t="s">
        <v>14</v>
      </c>
      <c r="H161" t="s">
        <v>307</v>
      </c>
      <c r="I161" t="s">
        <v>69</v>
      </c>
    </row>
    <row r="162" spans="1:9" x14ac:dyDescent="0.35">
      <c r="A162" t="s">
        <v>953</v>
      </c>
      <c r="B162" t="s">
        <v>835</v>
      </c>
      <c r="C162" t="s">
        <v>250</v>
      </c>
      <c r="G162" t="s">
        <v>15</v>
      </c>
      <c r="H162" t="s">
        <v>307</v>
      </c>
      <c r="I162" t="s">
        <v>69</v>
      </c>
    </row>
    <row r="163" spans="1:9" x14ac:dyDescent="0.35">
      <c r="A163" t="s">
        <v>946</v>
      </c>
      <c r="B163" t="s">
        <v>490</v>
      </c>
      <c r="C163" t="s">
        <v>109</v>
      </c>
      <c r="D163" s="186"/>
      <c r="G163" t="s">
        <v>14</v>
      </c>
      <c r="H163" t="s">
        <v>1653</v>
      </c>
      <c r="I163" t="s">
        <v>69</v>
      </c>
    </row>
    <row r="164" spans="1:9" x14ac:dyDescent="0.35">
      <c r="A164" t="s">
        <v>953</v>
      </c>
      <c r="B164" t="s">
        <v>712</v>
      </c>
      <c r="C164" t="s">
        <v>621</v>
      </c>
      <c r="D164" s="186"/>
      <c r="G164" t="s">
        <v>14</v>
      </c>
      <c r="H164" t="s">
        <v>1653</v>
      </c>
      <c r="I164" t="s">
        <v>69</v>
      </c>
    </row>
    <row r="165" spans="1:9" x14ac:dyDescent="0.35">
      <c r="A165" t="s">
        <v>946</v>
      </c>
      <c r="B165" t="s">
        <v>491</v>
      </c>
      <c r="C165" t="s">
        <v>178</v>
      </c>
      <c r="D165">
        <v>2069</v>
      </c>
      <c r="E165" t="s">
        <v>1160</v>
      </c>
      <c r="F165" t="s">
        <v>1159</v>
      </c>
      <c r="G165" t="s">
        <v>15</v>
      </c>
      <c r="H165" t="s">
        <v>1654</v>
      </c>
      <c r="I165" t="s">
        <v>69</v>
      </c>
    </row>
    <row r="166" spans="1:9" x14ac:dyDescent="0.35">
      <c r="A166" t="s">
        <v>953</v>
      </c>
      <c r="B166" t="s">
        <v>671</v>
      </c>
      <c r="C166" t="s">
        <v>609</v>
      </c>
      <c r="G166" t="s">
        <v>15</v>
      </c>
      <c r="H166" t="s">
        <v>1654</v>
      </c>
      <c r="I166" t="s">
        <v>69</v>
      </c>
    </row>
    <row r="167" spans="1:9" x14ac:dyDescent="0.35">
      <c r="A167" t="s">
        <v>946</v>
      </c>
      <c r="B167" t="s">
        <v>495</v>
      </c>
      <c r="C167" t="s">
        <v>184</v>
      </c>
      <c r="D167" s="186">
        <v>2163</v>
      </c>
      <c r="E167" t="s">
        <v>1229</v>
      </c>
      <c r="F167" t="s">
        <v>1228</v>
      </c>
      <c r="G167" t="s">
        <v>941</v>
      </c>
      <c r="H167" t="s">
        <v>296</v>
      </c>
      <c r="I167" t="s">
        <v>69</v>
      </c>
    </row>
    <row r="168" spans="1:9" x14ac:dyDescent="0.35">
      <c r="A168" t="s">
        <v>946</v>
      </c>
      <c r="B168" t="s">
        <v>493</v>
      </c>
      <c r="C168" t="s">
        <v>99</v>
      </c>
      <c r="G168" t="s">
        <v>941</v>
      </c>
      <c r="H168" t="s">
        <v>296</v>
      </c>
      <c r="I168" t="s">
        <v>69</v>
      </c>
    </row>
    <row r="169" spans="1:9" x14ac:dyDescent="0.35">
      <c r="A169" t="s">
        <v>946</v>
      </c>
      <c r="B169" t="s">
        <v>494</v>
      </c>
      <c r="C169" t="s">
        <v>144</v>
      </c>
      <c r="G169" t="s">
        <v>941</v>
      </c>
      <c r="H169" t="s">
        <v>296</v>
      </c>
      <c r="I169" t="s">
        <v>69</v>
      </c>
    </row>
    <row r="170" spans="1:9" x14ac:dyDescent="0.35">
      <c r="A170" t="s">
        <v>946</v>
      </c>
      <c r="B170" t="s">
        <v>496</v>
      </c>
      <c r="C170" t="s">
        <v>264</v>
      </c>
      <c r="G170" t="s">
        <v>941</v>
      </c>
      <c r="H170" t="s">
        <v>296</v>
      </c>
      <c r="I170" t="s">
        <v>69</v>
      </c>
    </row>
    <row r="171" spans="1:9" x14ac:dyDescent="0.35">
      <c r="A171" t="s">
        <v>946</v>
      </c>
      <c r="B171" t="s">
        <v>497</v>
      </c>
      <c r="C171" t="s">
        <v>143</v>
      </c>
      <c r="D171" s="186"/>
      <c r="G171" t="s">
        <v>941</v>
      </c>
      <c r="H171" t="s">
        <v>296</v>
      </c>
      <c r="I171" t="s">
        <v>69</v>
      </c>
    </row>
    <row r="172" spans="1:9" x14ac:dyDescent="0.35">
      <c r="A172" t="s">
        <v>946</v>
      </c>
      <c r="B172" t="s">
        <v>384</v>
      </c>
      <c r="C172" t="s">
        <v>36</v>
      </c>
      <c r="D172">
        <v>1088</v>
      </c>
      <c r="E172">
        <v>184</v>
      </c>
      <c r="F172" t="s">
        <v>1044</v>
      </c>
      <c r="G172" t="s">
        <v>14</v>
      </c>
      <c r="H172" t="s">
        <v>308</v>
      </c>
      <c r="I172" t="s">
        <v>69</v>
      </c>
    </row>
    <row r="173" spans="1:9" x14ac:dyDescent="0.35">
      <c r="A173" t="s">
        <v>946</v>
      </c>
      <c r="B173" t="s">
        <v>499</v>
      </c>
      <c r="C173" t="s">
        <v>142</v>
      </c>
      <c r="D173">
        <v>2062</v>
      </c>
      <c r="E173" t="s">
        <v>1108</v>
      </c>
      <c r="F173" t="s">
        <v>1107</v>
      </c>
      <c r="G173" t="s">
        <v>15</v>
      </c>
      <c r="H173" t="s">
        <v>308</v>
      </c>
      <c r="I173" t="s">
        <v>69</v>
      </c>
    </row>
    <row r="174" spans="1:9" x14ac:dyDescent="0.35">
      <c r="A174" t="s">
        <v>953</v>
      </c>
      <c r="B174" t="s">
        <v>727</v>
      </c>
      <c r="C174" t="s">
        <v>36</v>
      </c>
      <c r="G174" t="s">
        <v>14</v>
      </c>
      <c r="H174" t="s">
        <v>308</v>
      </c>
      <c r="I174" t="s">
        <v>69</v>
      </c>
    </row>
    <row r="175" spans="1:9" x14ac:dyDescent="0.35">
      <c r="A175" t="s">
        <v>953</v>
      </c>
      <c r="B175" t="s">
        <v>777</v>
      </c>
      <c r="C175" t="s">
        <v>142</v>
      </c>
      <c r="G175" t="s">
        <v>15</v>
      </c>
      <c r="H175" t="s">
        <v>308</v>
      </c>
      <c r="I175" t="s">
        <v>69</v>
      </c>
    </row>
    <row r="176" spans="1:9" x14ac:dyDescent="0.35">
      <c r="A176" t="s">
        <v>946</v>
      </c>
      <c r="B176" t="s">
        <v>498</v>
      </c>
      <c r="C176" t="s">
        <v>254</v>
      </c>
      <c r="D176">
        <v>1089</v>
      </c>
      <c r="E176">
        <v>185</v>
      </c>
      <c r="F176" t="s">
        <v>1137</v>
      </c>
      <c r="G176" t="s">
        <v>14</v>
      </c>
      <c r="H176" t="s">
        <v>1655</v>
      </c>
      <c r="I176" t="s">
        <v>69</v>
      </c>
    </row>
    <row r="177" spans="1:9" x14ac:dyDescent="0.35">
      <c r="A177" t="s">
        <v>953</v>
      </c>
      <c r="B177" t="s">
        <v>752</v>
      </c>
      <c r="C177" t="s">
        <v>254</v>
      </c>
      <c r="D177" s="186"/>
      <c r="G177" t="s">
        <v>14</v>
      </c>
      <c r="H177" t="s">
        <v>1655</v>
      </c>
      <c r="I177" t="s">
        <v>69</v>
      </c>
    </row>
    <row r="178" spans="1:9" x14ac:dyDescent="0.35">
      <c r="A178" t="s">
        <v>946</v>
      </c>
      <c r="B178" t="s">
        <v>500</v>
      </c>
      <c r="C178" t="s">
        <v>161</v>
      </c>
      <c r="D178">
        <v>2063</v>
      </c>
      <c r="E178" t="s">
        <v>1162</v>
      </c>
      <c r="F178" t="s">
        <v>1161</v>
      </c>
      <c r="G178" t="s">
        <v>15</v>
      </c>
      <c r="H178" t="s">
        <v>1656</v>
      </c>
      <c r="I178" t="s">
        <v>69</v>
      </c>
    </row>
    <row r="179" spans="1:9" x14ac:dyDescent="0.35">
      <c r="A179" t="s">
        <v>953</v>
      </c>
      <c r="B179" t="s">
        <v>832</v>
      </c>
      <c r="C179" t="s">
        <v>161</v>
      </c>
      <c r="D179" s="42"/>
      <c r="G179" t="s">
        <v>15</v>
      </c>
      <c r="H179" t="s">
        <v>1656</v>
      </c>
      <c r="I179" t="s">
        <v>69</v>
      </c>
    </row>
    <row r="180" spans="1:9" x14ac:dyDescent="0.35">
      <c r="A180" t="s">
        <v>946</v>
      </c>
      <c r="B180" t="s">
        <v>402</v>
      </c>
      <c r="C180" t="s">
        <v>34</v>
      </c>
      <c r="D180">
        <v>1098</v>
      </c>
      <c r="E180">
        <v>194</v>
      </c>
      <c r="F180" t="s">
        <v>1045</v>
      </c>
      <c r="G180" t="s">
        <v>14</v>
      </c>
      <c r="H180" t="s">
        <v>309</v>
      </c>
      <c r="I180" t="s">
        <v>69</v>
      </c>
    </row>
    <row r="181" spans="1:9" x14ac:dyDescent="0.35">
      <c r="A181" t="s">
        <v>946</v>
      </c>
      <c r="B181" t="s">
        <v>414</v>
      </c>
      <c r="C181" t="s">
        <v>245</v>
      </c>
      <c r="D181">
        <v>2050</v>
      </c>
      <c r="E181" t="s">
        <v>1124</v>
      </c>
      <c r="F181" t="s">
        <v>1123</v>
      </c>
      <c r="G181" t="s">
        <v>15</v>
      </c>
      <c r="H181" t="s">
        <v>1729</v>
      </c>
      <c r="I181" t="s">
        <v>69</v>
      </c>
    </row>
    <row r="182" spans="1:9" x14ac:dyDescent="0.35">
      <c r="A182" t="s">
        <v>946</v>
      </c>
      <c r="B182" t="s">
        <v>502</v>
      </c>
      <c r="C182" t="s">
        <v>163</v>
      </c>
      <c r="D182">
        <v>2072</v>
      </c>
      <c r="E182" t="s">
        <v>1110</v>
      </c>
      <c r="F182" t="s">
        <v>1109</v>
      </c>
      <c r="G182" t="s">
        <v>15</v>
      </c>
      <c r="H182" t="s">
        <v>309</v>
      </c>
      <c r="I182" t="s">
        <v>69</v>
      </c>
    </row>
    <row r="183" spans="1:9" x14ac:dyDescent="0.35">
      <c r="A183" t="s">
        <v>953</v>
      </c>
      <c r="B183" t="s">
        <v>717</v>
      </c>
      <c r="C183" t="s">
        <v>34</v>
      </c>
      <c r="G183" t="s">
        <v>14</v>
      </c>
      <c r="H183" t="s">
        <v>309</v>
      </c>
      <c r="I183" t="s">
        <v>69</v>
      </c>
    </row>
    <row r="184" spans="1:9" x14ac:dyDescent="0.35">
      <c r="A184" t="s">
        <v>953</v>
      </c>
      <c r="B184" t="s">
        <v>739</v>
      </c>
      <c r="C184" t="s">
        <v>163</v>
      </c>
      <c r="G184" t="s">
        <v>15</v>
      </c>
      <c r="H184" t="s">
        <v>309</v>
      </c>
      <c r="I184" t="s">
        <v>69</v>
      </c>
    </row>
    <row r="185" spans="1:9" x14ac:dyDescent="0.35">
      <c r="A185" t="s">
        <v>953</v>
      </c>
      <c r="B185" t="s">
        <v>707</v>
      </c>
      <c r="C185" t="s">
        <v>619</v>
      </c>
      <c r="G185" t="s">
        <v>15</v>
      </c>
      <c r="H185" t="s">
        <v>1729</v>
      </c>
      <c r="I185" t="s">
        <v>69</v>
      </c>
    </row>
    <row r="186" spans="1:9" x14ac:dyDescent="0.35">
      <c r="A186" t="s">
        <v>953</v>
      </c>
      <c r="B186" t="s">
        <v>838</v>
      </c>
      <c r="C186" t="s">
        <v>619</v>
      </c>
      <c r="D186" s="186"/>
      <c r="G186" t="s">
        <v>15</v>
      </c>
      <c r="H186" t="s">
        <v>1729</v>
      </c>
      <c r="I186" t="s">
        <v>69</v>
      </c>
    </row>
    <row r="187" spans="1:9" x14ac:dyDescent="0.35">
      <c r="A187" t="s">
        <v>946</v>
      </c>
      <c r="B187" t="s">
        <v>501</v>
      </c>
      <c r="C187" t="s">
        <v>110</v>
      </c>
      <c r="D187">
        <v>1099</v>
      </c>
      <c r="E187">
        <v>195</v>
      </c>
      <c r="F187" t="s">
        <v>1138</v>
      </c>
      <c r="G187" t="s">
        <v>14</v>
      </c>
      <c r="H187" t="s">
        <v>1657</v>
      </c>
      <c r="I187" t="s">
        <v>69</v>
      </c>
    </row>
    <row r="188" spans="1:9" x14ac:dyDescent="0.35">
      <c r="A188" t="s">
        <v>953</v>
      </c>
      <c r="B188" t="s">
        <v>713</v>
      </c>
      <c r="C188" t="s">
        <v>110</v>
      </c>
      <c r="G188" t="s">
        <v>14</v>
      </c>
      <c r="H188" t="s">
        <v>1657</v>
      </c>
      <c r="I188" t="s">
        <v>69</v>
      </c>
    </row>
    <row r="189" spans="1:9" x14ac:dyDescent="0.35">
      <c r="A189" t="s">
        <v>946</v>
      </c>
      <c r="B189" t="s">
        <v>504</v>
      </c>
      <c r="C189" t="s">
        <v>169</v>
      </c>
      <c r="D189">
        <v>2051</v>
      </c>
      <c r="E189" t="s">
        <v>1174</v>
      </c>
      <c r="F189" t="s">
        <v>1173</v>
      </c>
      <c r="G189" t="s">
        <v>15</v>
      </c>
      <c r="H189" t="s">
        <v>1658</v>
      </c>
      <c r="I189" t="s">
        <v>69</v>
      </c>
    </row>
    <row r="190" spans="1:9" x14ac:dyDescent="0.35">
      <c r="A190" t="s">
        <v>946</v>
      </c>
      <c r="B190" t="s">
        <v>503</v>
      </c>
      <c r="C190" t="s">
        <v>196</v>
      </c>
      <c r="D190">
        <v>2073</v>
      </c>
      <c r="E190" t="s">
        <v>1164</v>
      </c>
      <c r="F190" t="s">
        <v>1163</v>
      </c>
      <c r="G190" t="s">
        <v>15</v>
      </c>
      <c r="H190" t="s">
        <v>1658</v>
      </c>
      <c r="I190" t="s">
        <v>69</v>
      </c>
    </row>
    <row r="191" spans="1:9" x14ac:dyDescent="0.35">
      <c r="A191" t="s">
        <v>953</v>
      </c>
      <c r="B191" t="s">
        <v>783</v>
      </c>
      <c r="C191" t="s">
        <v>196</v>
      </c>
      <c r="G191" t="s">
        <v>15</v>
      </c>
      <c r="H191" t="s">
        <v>1658</v>
      </c>
      <c r="I191" t="s">
        <v>69</v>
      </c>
    </row>
    <row r="192" spans="1:9" x14ac:dyDescent="0.35">
      <c r="A192" t="s">
        <v>946</v>
      </c>
      <c r="B192" t="s">
        <v>389</v>
      </c>
      <c r="C192" t="s">
        <v>79</v>
      </c>
      <c r="D192">
        <v>2046</v>
      </c>
      <c r="E192" t="s">
        <v>1122</v>
      </c>
      <c r="F192" t="s">
        <v>1121</v>
      </c>
      <c r="G192" t="s">
        <v>15</v>
      </c>
      <c r="H192" t="s">
        <v>882</v>
      </c>
      <c r="I192" t="s">
        <v>69</v>
      </c>
    </row>
    <row r="193" spans="1:9" x14ac:dyDescent="0.35">
      <c r="A193" t="s">
        <v>953</v>
      </c>
      <c r="B193" t="s">
        <v>670</v>
      </c>
      <c r="C193" t="s">
        <v>608</v>
      </c>
      <c r="G193" t="s">
        <v>15</v>
      </c>
      <c r="H193" t="s">
        <v>882</v>
      </c>
      <c r="I193" t="s">
        <v>69</v>
      </c>
    </row>
    <row r="194" spans="1:9" x14ac:dyDescent="0.35">
      <c r="A194" t="s">
        <v>953</v>
      </c>
      <c r="B194" t="s">
        <v>740</v>
      </c>
      <c r="C194" t="s">
        <v>608</v>
      </c>
      <c r="G194" t="s">
        <v>15</v>
      </c>
      <c r="H194" t="s">
        <v>882</v>
      </c>
      <c r="I194" t="s">
        <v>69</v>
      </c>
    </row>
    <row r="195" spans="1:9" x14ac:dyDescent="0.35">
      <c r="A195" t="s">
        <v>946</v>
      </c>
      <c r="B195" t="s">
        <v>492</v>
      </c>
      <c r="C195" t="s">
        <v>164</v>
      </c>
      <c r="D195">
        <v>2047</v>
      </c>
      <c r="E195" t="s">
        <v>1172</v>
      </c>
      <c r="F195" t="s">
        <v>1171</v>
      </c>
      <c r="G195" t="s">
        <v>15</v>
      </c>
      <c r="H195" t="s">
        <v>1659</v>
      </c>
      <c r="I195" t="s">
        <v>69</v>
      </c>
    </row>
    <row r="196" spans="1:9" x14ac:dyDescent="0.35">
      <c r="A196" t="s">
        <v>946</v>
      </c>
      <c r="D196">
        <v>2232</v>
      </c>
      <c r="E196" t="s">
        <v>1009</v>
      </c>
      <c r="F196" t="s">
        <v>1259</v>
      </c>
      <c r="G196" t="s">
        <v>15</v>
      </c>
      <c r="H196" t="s">
        <v>1260</v>
      </c>
      <c r="I196" t="s">
        <v>69</v>
      </c>
    </row>
    <row r="197" spans="1:9" x14ac:dyDescent="0.35">
      <c r="A197" t="s">
        <v>946</v>
      </c>
      <c r="B197" t="s">
        <v>376</v>
      </c>
      <c r="C197" t="s">
        <v>172</v>
      </c>
      <c r="D197">
        <v>2044</v>
      </c>
      <c r="E197" t="s">
        <v>1128</v>
      </c>
      <c r="F197" t="s">
        <v>1127</v>
      </c>
      <c r="G197" t="s">
        <v>15</v>
      </c>
      <c r="H197" t="s">
        <v>881</v>
      </c>
      <c r="I197" t="s">
        <v>69</v>
      </c>
    </row>
    <row r="198" spans="1:9" x14ac:dyDescent="0.35">
      <c r="A198" t="s">
        <v>953</v>
      </c>
      <c r="B198" t="s">
        <v>660</v>
      </c>
      <c r="C198" t="s">
        <v>172</v>
      </c>
      <c r="D198" s="186"/>
      <c r="G198" t="s">
        <v>15</v>
      </c>
      <c r="H198" t="s">
        <v>881</v>
      </c>
      <c r="I198" t="s">
        <v>69</v>
      </c>
    </row>
    <row r="199" spans="1:9" x14ac:dyDescent="0.35">
      <c r="A199" t="s">
        <v>946</v>
      </c>
      <c r="B199" t="s">
        <v>524</v>
      </c>
      <c r="C199" t="s">
        <v>136</v>
      </c>
      <c r="D199">
        <v>2045</v>
      </c>
      <c r="E199" t="s">
        <v>1178</v>
      </c>
      <c r="F199" t="s">
        <v>1177</v>
      </c>
      <c r="G199" t="s">
        <v>15</v>
      </c>
      <c r="H199" t="s">
        <v>1660</v>
      </c>
      <c r="I199" t="s">
        <v>69</v>
      </c>
    </row>
    <row r="200" spans="1:9" x14ac:dyDescent="0.35">
      <c r="A200" t="s">
        <v>953</v>
      </c>
      <c r="B200" t="s">
        <v>674</v>
      </c>
      <c r="C200" t="s">
        <v>136</v>
      </c>
      <c r="G200" t="s">
        <v>15</v>
      </c>
      <c r="H200" t="s">
        <v>1660</v>
      </c>
      <c r="I200" t="s">
        <v>69</v>
      </c>
    </row>
    <row r="201" spans="1:9" x14ac:dyDescent="0.35">
      <c r="A201" t="s">
        <v>946</v>
      </c>
      <c r="B201" t="s">
        <v>505</v>
      </c>
      <c r="C201" t="s">
        <v>230</v>
      </c>
      <c r="G201" t="s">
        <v>941</v>
      </c>
      <c r="H201" t="s">
        <v>313</v>
      </c>
      <c r="I201" t="s">
        <v>69</v>
      </c>
    </row>
    <row r="202" spans="1:9" x14ac:dyDescent="0.35">
      <c r="A202" t="s">
        <v>946</v>
      </c>
      <c r="B202" t="s">
        <v>506</v>
      </c>
      <c r="C202" t="s">
        <v>139</v>
      </c>
      <c r="G202" t="s">
        <v>941</v>
      </c>
      <c r="H202" t="s">
        <v>313</v>
      </c>
      <c r="I202" t="s">
        <v>69</v>
      </c>
    </row>
    <row r="203" spans="1:9" x14ac:dyDescent="0.35">
      <c r="A203" t="s">
        <v>946</v>
      </c>
      <c r="B203" t="s">
        <v>507</v>
      </c>
      <c r="C203" t="s">
        <v>111</v>
      </c>
      <c r="D203" s="186">
        <v>2164</v>
      </c>
      <c r="E203" t="s">
        <v>1231</v>
      </c>
      <c r="F203" t="s">
        <v>1230</v>
      </c>
      <c r="G203" t="s">
        <v>941</v>
      </c>
      <c r="H203" t="s">
        <v>297</v>
      </c>
      <c r="I203" t="s">
        <v>69</v>
      </c>
    </row>
    <row r="204" spans="1:9" x14ac:dyDescent="0.35">
      <c r="A204" t="s">
        <v>946</v>
      </c>
      <c r="B204" t="s">
        <v>508</v>
      </c>
      <c r="C204" t="s">
        <v>211</v>
      </c>
      <c r="G204" t="s">
        <v>941</v>
      </c>
      <c r="H204" t="s">
        <v>297</v>
      </c>
      <c r="I204" t="s">
        <v>69</v>
      </c>
    </row>
    <row r="205" spans="1:9" x14ac:dyDescent="0.35">
      <c r="A205" t="s">
        <v>946</v>
      </c>
      <c r="B205" t="s">
        <v>509</v>
      </c>
      <c r="C205" t="s">
        <v>248</v>
      </c>
      <c r="G205" t="s">
        <v>941</v>
      </c>
      <c r="H205" t="s">
        <v>297</v>
      </c>
      <c r="I205" t="s">
        <v>69</v>
      </c>
    </row>
    <row r="206" spans="1:9" x14ac:dyDescent="0.35">
      <c r="A206" t="s">
        <v>946</v>
      </c>
      <c r="B206" t="s">
        <v>510</v>
      </c>
      <c r="C206" t="s">
        <v>117</v>
      </c>
      <c r="D206" s="186">
        <v>1090</v>
      </c>
      <c r="E206">
        <v>186</v>
      </c>
      <c r="F206" t="s">
        <v>1046</v>
      </c>
      <c r="G206" t="s">
        <v>14</v>
      </c>
      <c r="H206" t="s">
        <v>310</v>
      </c>
      <c r="I206" t="s">
        <v>69</v>
      </c>
    </row>
    <row r="207" spans="1:9" x14ac:dyDescent="0.35">
      <c r="A207" t="s">
        <v>946</v>
      </c>
      <c r="B207" t="s">
        <v>511</v>
      </c>
      <c r="C207" t="s">
        <v>73</v>
      </c>
      <c r="D207">
        <v>2064</v>
      </c>
      <c r="E207" t="s">
        <v>1112</v>
      </c>
      <c r="F207" t="s">
        <v>1111</v>
      </c>
      <c r="G207" t="s">
        <v>15</v>
      </c>
      <c r="H207" t="s">
        <v>310</v>
      </c>
      <c r="I207" t="s">
        <v>69</v>
      </c>
    </row>
    <row r="208" spans="1:9" x14ac:dyDescent="0.35">
      <c r="A208" t="s">
        <v>953</v>
      </c>
      <c r="B208" t="s">
        <v>724</v>
      </c>
      <c r="C208" t="s">
        <v>117</v>
      </c>
      <c r="G208" t="s">
        <v>14</v>
      </c>
      <c r="H208" t="s">
        <v>310</v>
      </c>
      <c r="I208" t="s">
        <v>69</v>
      </c>
    </row>
    <row r="209" spans="1:9" x14ac:dyDescent="0.35">
      <c r="A209" t="s">
        <v>953</v>
      </c>
      <c r="B209" t="s">
        <v>737</v>
      </c>
      <c r="C209" t="s">
        <v>117</v>
      </c>
      <c r="D209" s="186"/>
      <c r="G209" t="s">
        <v>14</v>
      </c>
      <c r="H209" t="s">
        <v>310</v>
      </c>
      <c r="I209" t="s">
        <v>69</v>
      </c>
    </row>
    <row r="210" spans="1:9" x14ac:dyDescent="0.35">
      <c r="A210" t="s">
        <v>953</v>
      </c>
      <c r="B210" t="s">
        <v>663</v>
      </c>
      <c r="C210" t="s">
        <v>73</v>
      </c>
      <c r="G210" t="s">
        <v>15</v>
      </c>
      <c r="H210" t="s">
        <v>310</v>
      </c>
      <c r="I210" t="s">
        <v>69</v>
      </c>
    </row>
    <row r="211" spans="1:9" x14ac:dyDescent="0.35">
      <c r="A211" t="s">
        <v>953</v>
      </c>
      <c r="B211" t="s">
        <v>718</v>
      </c>
      <c r="C211" t="s">
        <v>73</v>
      </c>
      <c r="G211" t="s">
        <v>15</v>
      </c>
      <c r="H211" t="s">
        <v>310</v>
      </c>
      <c r="I211" t="s">
        <v>69</v>
      </c>
    </row>
    <row r="212" spans="1:9" x14ac:dyDescent="0.35">
      <c r="A212" t="s">
        <v>946</v>
      </c>
      <c r="B212" t="s">
        <v>512</v>
      </c>
      <c r="C212" t="s">
        <v>206</v>
      </c>
      <c r="D212">
        <v>1091</v>
      </c>
      <c r="E212">
        <v>187</v>
      </c>
      <c r="F212" t="s">
        <v>1139</v>
      </c>
      <c r="G212" t="s">
        <v>14</v>
      </c>
      <c r="H212" t="s">
        <v>1661</v>
      </c>
      <c r="I212" t="s">
        <v>69</v>
      </c>
    </row>
    <row r="213" spans="1:9" x14ac:dyDescent="0.35">
      <c r="A213" t="s">
        <v>946</v>
      </c>
      <c r="B213" t="s">
        <v>513</v>
      </c>
      <c r="C213" t="s">
        <v>149</v>
      </c>
      <c r="D213">
        <v>2065</v>
      </c>
      <c r="E213" t="s">
        <v>1166</v>
      </c>
      <c r="F213" t="s">
        <v>1165</v>
      </c>
      <c r="G213" t="s">
        <v>15</v>
      </c>
      <c r="H213" t="s">
        <v>1661</v>
      </c>
      <c r="I213" t="s">
        <v>69</v>
      </c>
    </row>
    <row r="214" spans="1:9" x14ac:dyDescent="0.35">
      <c r="A214" t="s">
        <v>946</v>
      </c>
      <c r="B214" t="s">
        <v>514</v>
      </c>
      <c r="C214" t="s">
        <v>214</v>
      </c>
      <c r="D214">
        <v>1100</v>
      </c>
      <c r="E214">
        <v>196</v>
      </c>
      <c r="F214" t="s">
        <v>1047</v>
      </c>
      <c r="G214" t="s">
        <v>14</v>
      </c>
      <c r="H214" t="s">
        <v>311</v>
      </c>
      <c r="I214" t="s">
        <v>69</v>
      </c>
    </row>
    <row r="215" spans="1:9" x14ac:dyDescent="0.35">
      <c r="A215" t="s">
        <v>946</v>
      </c>
      <c r="B215" t="s">
        <v>518</v>
      </c>
      <c r="C215" t="s">
        <v>199</v>
      </c>
      <c r="D215">
        <v>2052</v>
      </c>
      <c r="E215" t="s">
        <v>1126</v>
      </c>
      <c r="F215" t="s">
        <v>1125</v>
      </c>
      <c r="G215" t="s">
        <v>15</v>
      </c>
      <c r="H215" t="s">
        <v>311</v>
      </c>
      <c r="I215" t="s">
        <v>69</v>
      </c>
    </row>
    <row r="216" spans="1:9" x14ac:dyDescent="0.35">
      <c r="A216" t="s">
        <v>946</v>
      </c>
      <c r="B216" t="s">
        <v>516</v>
      </c>
      <c r="C216" t="s">
        <v>81</v>
      </c>
      <c r="D216">
        <v>2074</v>
      </c>
      <c r="E216" t="s">
        <v>1114</v>
      </c>
      <c r="F216" t="s">
        <v>1113</v>
      </c>
      <c r="G216" t="s">
        <v>15</v>
      </c>
      <c r="H216" t="s">
        <v>311</v>
      </c>
      <c r="I216" t="s">
        <v>69</v>
      </c>
    </row>
    <row r="217" spans="1:9" x14ac:dyDescent="0.35">
      <c r="A217" t="s">
        <v>953</v>
      </c>
      <c r="B217" t="s">
        <v>757</v>
      </c>
      <c r="C217" t="s">
        <v>616</v>
      </c>
      <c r="G217" t="s">
        <v>14</v>
      </c>
      <c r="H217" t="s">
        <v>311</v>
      </c>
      <c r="I217" t="s">
        <v>69</v>
      </c>
    </row>
    <row r="218" spans="1:9" x14ac:dyDescent="0.35">
      <c r="A218" t="s">
        <v>953</v>
      </c>
      <c r="B218" t="s">
        <v>690</v>
      </c>
      <c r="C218" t="s">
        <v>616</v>
      </c>
      <c r="G218" t="s">
        <v>14</v>
      </c>
      <c r="H218" t="s">
        <v>311</v>
      </c>
      <c r="I218" t="s">
        <v>69</v>
      </c>
    </row>
    <row r="219" spans="1:9" x14ac:dyDescent="0.35">
      <c r="A219" t="s">
        <v>953</v>
      </c>
      <c r="B219" t="s">
        <v>676</v>
      </c>
      <c r="C219" t="s">
        <v>613</v>
      </c>
      <c r="G219" t="s">
        <v>15</v>
      </c>
      <c r="H219" t="s">
        <v>311</v>
      </c>
      <c r="I219" t="s">
        <v>69</v>
      </c>
    </row>
    <row r="220" spans="1:9" x14ac:dyDescent="0.35">
      <c r="A220" t="s">
        <v>953</v>
      </c>
      <c r="B220" t="s">
        <v>788</v>
      </c>
      <c r="C220" t="s">
        <v>613</v>
      </c>
      <c r="D220" s="186"/>
      <c r="G220" t="s">
        <v>15</v>
      </c>
      <c r="H220" t="s">
        <v>311</v>
      </c>
      <c r="I220" t="s">
        <v>69</v>
      </c>
    </row>
    <row r="221" spans="1:9" x14ac:dyDescent="0.35">
      <c r="A221" t="s">
        <v>953</v>
      </c>
      <c r="B221" t="s">
        <v>789</v>
      </c>
      <c r="C221" t="s">
        <v>632</v>
      </c>
      <c r="G221" t="s">
        <v>15</v>
      </c>
      <c r="H221" t="s">
        <v>311</v>
      </c>
      <c r="I221" t="s">
        <v>69</v>
      </c>
    </row>
    <row r="222" spans="1:9" x14ac:dyDescent="0.35">
      <c r="A222" t="s">
        <v>953</v>
      </c>
      <c r="B222" t="s">
        <v>749</v>
      </c>
      <c r="C222" t="s">
        <v>632</v>
      </c>
      <c r="D222" s="186"/>
      <c r="G222" t="s">
        <v>15</v>
      </c>
      <c r="H222" t="s">
        <v>311</v>
      </c>
      <c r="I222" t="s">
        <v>69</v>
      </c>
    </row>
    <row r="223" spans="1:9" x14ac:dyDescent="0.35">
      <c r="A223" t="s">
        <v>946</v>
      </c>
      <c r="B223" t="s">
        <v>515</v>
      </c>
      <c r="C223" t="s">
        <v>90</v>
      </c>
      <c r="D223">
        <v>1101</v>
      </c>
      <c r="E223">
        <v>197</v>
      </c>
      <c r="F223" t="s">
        <v>1140</v>
      </c>
      <c r="G223" t="s">
        <v>14</v>
      </c>
      <c r="H223" t="s">
        <v>1662</v>
      </c>
      <c r="I223" t="s">
        <v>69</v>
      </c>
    </row>
    <row r="224" spans="1:9" x14ac:dyDescent="0.35">
      <c r="A224" t="s">
        <v>946</v>
      </c>
      <c r="B224" t="s">
        <v>519</v>
      </c>
      <c r="C224" t="s">
        <v>237</v>
      </c>
      <c r="D224" s="186">
        <v>2053</v>
      </c>
      <c r="E224" t="s">
        <v>1176</v>
      </c>
      <c r="F224" t="s">
        <v>1175</v>
      </c>
      <c r="G224" t="s">
        <v>15</v>
      </c>
      <c r="H224" t="s">
        <v>1662</v>
      </c>
      <c r="I224" t="s">
        <v>69</v>
      </c>
    </row>
    <row r="225" spans="1:9" x14ac:dyDescent="0.35">
      <c r="A225" t="s">
        <v>946</v>
      </c>
      <c r="B225" t="s">
        <v>517</v>
      </c>
      <c r="C225" t="s">
        <v>226</v>
      </c>
      <c r="D225">
        <v>2075</v>
      </c>
      <c r="E225" t="s">
        <v>1168</v>
      </c>
      <c r="F225" t="s">
        <v>1167</v>
      </c>
      <c r="G225" t="s">
        <v>15</v>
      </c>
      <c r="H225" t="s">
        <v>1662</v>
      </c>
      <c r="I225" t="s">
        <v>69</v>
      </c>
    </row>
    <row r="226" spans="1:9" x14ac:dyDescent="0.35">
      <c r="A226" t="s">
        <v>946</v>
      </c>
      <c r="B226" t="s">
        <v>1417</v>
      </c>
      <c r="D226" s="186">
        <v>1275</v>
      </c>
      <c r="F226" t="s">
        <v>1264</v>
      </c>
      <c r="G226" t="s">
        <v>14</v>
      </c>
      <c r="H226" t="s">
        <v>951</v>
      </c>
      <c r="I226" t="s">
        <v>69</v>
      </c>
    </row>
    <row r="227" spans="1:9" x14ac:dyDescent="0.35">
      <c r="A227" t="s">
        <v>946</v>
      </c>
      <c r="B227" t="s">
        <v>1417</v>
      </c>
      <c r="D227">
        <v>2230</v>
      </c>
      <c r="E227" t="s">
        <v>1009</v>
      </c>
      <c r="F227" t="s">
        <v>1245</v>
      </c>
      <c r="G227" t="s">
        <v>15</v>
      </c>
      <c r="H227" t="s">
        <v>951</v>
      </c>
      <c r="I227" t="s">
        <v>69</v>
      </c>
    </row>
    <row r="228" spans="1:9" x14ac:dyDescent="0.35">
      <c r="A228" t="s">
        <v>946</v>
      </c>
      <c r="B228" t="s">
        <v>1415</v>
      </c>
      <c r="D228" s="186">
        <v>1273</v>
      </c>
      <c r="F228" t="s">
        <v>1263</v>
      </c>
      <c r="G228" t="s">
        <v>14</v>
      </c>
      <c r="H228" t="s">
        <v>952</v>
      </c>
      <c r="I228" t="s">
        <v>69</v>
      </c>
    </row>
    <row r="229" spans="1:9" x14ac:dyDescent="0.35">
      <c r="A229" t="s">
        <v>946</v>
      </c>
      <c r="B229" t="s">
        <v>1416</v>
      </c>
      <c r="D229" s="186">
        <v>2228</v>
      </c>
      <c r="E229" t="s">
        <v>1009</v>
      </c>
      <c r="F229" t="s">
        <v>1300</v>
      </c>
      <c r="G229" t="s">
        <v>15</v>
      </c>
      <c r="H229" t="s">
        <v>952</v>
      </c>
      <c r="I229" t="s">
        <v>69</v>
      </c>
    </row>
    <row r="230" spans="1:9" x14ac:dyDescent="0.35">
      <c r="A230" t="s">
        <v>946</v>
      </c>
      <c r="B230" t="s">
        <v>359</v>
      </c>
      <c r="C230" t="s">
        <v>26</v>
      </c>
      <c r="D230" s="186">
        <v>1094</v>
      </c>
      <c r="E230">
        <v>190</v>
      </c>
      <c r="F230" t="s">
        <v>1048</v>
      </c>
      <c r="G230" t="s">
        <v>14</v>
      </c>
      <c r="H230" t="s">
        <v>282</v>
      </c>
      <c r="I230" t="s">
        <v>69</v>
      </c>
    </row>
    <row r="231" spans="1:9" x14ac:dyDescent="0.35">
      <c r="A231" t="s">
        <v>946</v>
      </c>
      <c r="B231" t="s">
        <v>410</v>
      </c>
      <c r="C231" t="s">
        <v>87</v>
      </c>
      <c r="D231">
        <v>2066</v>
      </c>
      <c r="E231" t="s">
        <v>1116</v>
      </c>
      <c r="F231" t="s">
        <v>1115</v>
      </c>
      <c r="G231" t="s">
        <v>15</v>
      </c>
      <c r="H231" t="s">
        <v>282</v>
      </c>
      <c r="I231" t="s">
        <v>69</v>
      </c>
    </row>
    <row r="232" spans="1:9" x14ac:dyDescent="0.35">
      <c r="A232" t="s">
        <v>953</v>
      </c>
      <c r="B232" t="s">
        <v>702</v>
      </c>
      <c r="C232" t="s">
        <v>26</v>
      </c>
      <c r="D232" s="42"/>
      <c r="G232" t="s">
        <v>14</v>
      </c>
      <c r="H232" t="s">
        <v>282</v>
      </c>
      <c r="I232" t="s">
        <v>69</v>
      </c>
    </row>
    <row r="233" spans="1:9" x14ac:dyDescent="0.35">
      <c r="A233" t="s">
        <v>953</v>
      </c>
      <c r="B233" t="s">
        <v>796</v>
      </c>
      <c r="C233" t="s">
        <v>156</v>
      </c>
      <c r="G233" t="s">
        <v>14</v>
      </c>
      <c r="H233" t="s">
        <v>282</v>
      </c>
      <c r="I233" t="s">
        <v>69</v>
      </c>
    </row>
    <row r="234" spans="1:9" x14ac:dyDescent="0.35">
      <c r="A234" t="s">
        <v>953</v>
      </c>
      <c r="B234" t="s">
        <v>688</v>
      </c>
      <c r="C234" t="s">
        <v>87</v>
      </c>
      <c r="D234" s="186"/>
      <c r="G234" t="s">
        <v>15</v>
      </c>
      <c r="H234" t="s">
        <v>282</v>
      </c>
      <c r="I234" t="s">
        <v>69</v>
      </c>
    </row>
    <row r="235" spans="1:9" x14ac:dyDescent="0.35">
      <c r="A235" t="s">
        <v>953</v>
      </c>
      <c r="B235" t="s">
        <v>813</v>
      </c>
      <c r="C235" t="s">
        <v>173</v>
      </c>
      <c r="G235" t="s">
        <v>15</v>
      </c>
      <c r="H235" t="s">
        <v>282</v>
      </c>
      <c r="I235" t="s">
        <v>69</v>
      </c>
    </row>
    <row r="236" spans="1:9" x14ac:dyDescent="0.35">
      <c r="A236" t="s">
        <v>946</v>
      </c>
      <c r="B236" t="s">
        <v>868</v>
      </c>
      <c r="C236" t="s">
        <v>145</v>
      </c>
      <c r="H236" t="s">
        <v>282</v>
      </c>
      <c r="I236" t="s">
        <v>69</v>
      </c>
    </row>
    <row r="237" spans="1:9" x14ac:dyDescent="0.35">
      <c r="A237" t="s">
        <v>946</v>
      </c>
      <c r="B237" t="s">
        <v>521</v>
      </c>
      <c r="C237" t="s">
        <v>145</v>
      </c>
      <c r="D237" s="186"/>
      <c r="H237" t="s">
        <v>282</v>
      </c>
      <c r="I237" t="s">
        <v>69</v>
      </c>
    </row>
    <row r="238" spans="1:9" x14ac:dyDescent="0.35">
      <c r="A238" t="s">
        <v>953</v>
      </c>
      <c r="B238" t="s">
        <v>719</v>
      </c>
      <c r="C238" t="s">
        <v>145</v>
      </c>
      <c r="H238" t="s">
        <v>282</v>
      </c>
      <c r="I238" t="s">
        <v>69</v>
      </c>
    </row>
    <row r="239" spans="1:9" x14ac:dyDescent="0.35">
      <c r="A239" t="s">
        <v>953</v>
      </c>
      <c r="B239" t="s">
        <v>818</v>
      </c>
      <c r="C239" t="s">
        <v>145</v>
      </c>
      <c r="H239" t="s">
        <v>282</v>
      </c>
      <c r="I239" t="s">
        <v>69</v>
      </c>
    </row>
    <row r="240" spans="1:9" x14ac:dyDescent="0.35">
      <c r="A240" t="s">
        <v>946</v>
      </c>
      <c r="B240" t="s">
        <v>522</v>
      </c>
      <c r="C240" t="s">
        <v>156</v>
      </c>
      <c r="D240">
        <v>1095</v>
      </c>
      <c r="E240">
        <v>191</v>
      </c>
      <c r="F240" t="s">
        <v>1141</v>
      </c>
      <c r="G240" t="s">
        <v>14</v>
      </c>
      <c r="H240" t="s">
        <v>1663</v>
      </c>
      <c r="I240" t="s">
        <v>69</v>
      </c>
    </row>
    <row r="241" spans="1:9" x14ac:dyDescent="0.35">
      <c r="A241" t="s">
        <v>946</v>
      </c>
      <c r="B241" t="s">
        <v>520</v>
      </c>
      <c r="C241" t="s">
        <v>133</v>
      </c>
      <c r="H241" t="s">
        <v>1663</v>
      </c>
      <c r="I241" t="s">
        <v>69</v>
      </c>
    </row>
    <row r="242" spans="1:9" x14ac:dyDescent="0.35">
      <c r="A242" t="s">
        <v>946</v>
      </c>
      <c r="B242" t="s">
        <v>523</v>
      </c>
      <c r="C242" t="s">
        <v>173</v>
      </c>
      <c r="D242">
        <v>2067</v>
      </c>
      <c r="E242" t="s">
        <v>1170</v>
      </c>
      <c r="F242" t="s">
        <v>1169</v>
      </c>
      <c r="G242" t="s">
        <v>15</v>
      </c>
      <c r="H242" t="s">
        <v>1664</v>
      </c>
      <c r="I242" t="s">
        <v>69</v>
      </c>
    </row>
    <row r="243" spans="1:9" x14ac:dyDescent="0.35">
      <c r="A243" t="s">
        <v>946</v>
      </c>
      <c r="B243" t="s">
        <v>525</v>
      </c>
      <c r="C243" t="s">
        <v>134</v>
      </c>
      <c r="D243">
        <v>2018</v>
      </c>
      <c r="E243" t="s">
        <v>1024</v>
      </c>
      <c r="F243" t="s">
        <v>1023</v>
      </c>
      <c r="G243" t="s">
        <v>15</v>
      </c>
      <c r="H243" t="s">
        <v>302</v>
      </c>
      <c r="I243" t="s">
        <v>69</v>
      </c>
    </row>
    <row r="244" spans="1:9" x14ac:dyDescent="0.35">
      <c r="A244" t="s">
        <v>946</v>
      </c>
      <c r="B244" t="s">
        <v>364</v>
      </c>
      <c r="C244" t="s">
        <v>37</v>
      </c>
      <c r="D244">
        <v>1023</v>
      </c>
      <c r="E244">
        <v>12</v>
      </c>
      <c r="F244" t="s">
        <v>28</v>
      </c>
      <c r="G244" t="s">
        <v>14</v>
      </c>
      <c r="H244" t="s">
        <v>28</v>
      </c>
      <c r="I244" t="s">
        <v>28</v>
      </c>
    </row>
    <row r="245" spans="1:9" x14ac:dyDescent="0.35">
      <c r="A245" t="s">
        <v>946</v>
      </c>
      <c r="B245" t="s">
        <v>367</v>
      </c>
      <c r="C245" t="s">
        <v>232</v>
      </c>
      <c r="D245">
        <v>2037</v>
      </c>
      <c r="E245" t="s">
        <v>1050</v>
      </c>
      <c r="F245" t="s">
        <v>1049</v>
      </c>
      <c r="G245" t="s">
        <v>15</v>
      </c>
      <c r="H245" t="s">
        <v>28</v>
      </c>
      <c r="I245" t="s">
        <v>28</v>
      </c>
    </row>
    <row r="246" spans="1:9" x14ac:dyDescent="0.35">
      <c r="A246" t="s">
        <v>953</v>
      </c>
      <c r="B246" t="s">
        <v>710</v>
      </c>
      <c r="C246" t="s">
        <v>37</v>
      </c>
      <c r="G246" t="s">
        <v>14</v>
      </c>
      <c r="H246" t="s">
        <v>28</v>
      </c>
      <c r="I246" t="s">
        <v>28</v>
      </c>
    </row>
    <row r="247" spans="1:9" x14ac:dyDescent="0.35">
      <c r="A247" t="s">
        <v>953</v>
      </c>
      <c r="B247" t="s">
        <v>411</v>
      </c>
      <c r="C247" t="s">
        <v>412</v>
      </c>
      <c r="G247" t="s">
        <v>15</v>
      </c>
      <c r="H247" t="s">
        <v>28</v>
      </c>
      <c r="I247" t="s">
        <v>28</v>
      </c>
    </row>
    <row r="248" spans="1:9" x14ac:dyDescent="0.35">
      <c r="A248" t="s">
        <v>946</v>
      </c>
      <c r="D248">
        <v>2038</v>
      </c>
      <c r="E248" t="s">
        <v>1290</v>
      </c>
      <c r="F248" t="s">
        <v>1291</v>
      </c>
      <c r="G248" t="s">
        <v>15</v>
      </c>
      <c r="H248" t="s">
        <v>1302</v>
      </c>
      <c r="I248" t="s">
        <v>28</v>
      </c>
    </row>
    <row r="249" spans="1:9" x14ac:dyDescent="0.35">
      <c r="A249" t="s">
        <v>946</v>
      </c>
      <c r="G249" t="s">
        <v>15</v>
      </c>
      <c r="H249" t="s">
        <v>1302</v>
      </c>
      <c r="I249" t="s">
        <v>28</v>
      </c>
    </row>
    <row r="250" spans="1:9" x14ac:dyDescent="0.35">
      <c r="A250" t="s">
        <v>946</v>
      </c>
      <c r="B250" t="s">
        <v>1007</v>
      </c>
      <c r="C250" t="s">
        <v>944</v>
      </c>
      <c r="D250">
        <v>2040</v>
      </c>
      <c r="E250" t="s">
        <v>1286</v>
      </c>
      <c r="F250" t="s">
        <v>1287</v>
      </c>
      <c r="G250" t="s">
        <v>941</v>
      </c>
      <c r="H250" t="s">
        <v>944</v>
      </c>
      <c r="I250" t="s">
        <v>944</v>
      </c>
    </row>
    <row r="251" spans="1:9" x14ac:dyDescent="0.35">
      <c r="A251" t="s">
        <v>946</v>
      </c>
      <c r="B251" t="s">
        <v>864</v>
      </c>
      <c r="C251" t="s">
        <v>49</v>
      </c>
      <c r="D251">
        <v>1055</v>
      </c>
      <c r="E251">
        <v>37</v>
      </c>
      <c r="F251" t="s">
        <v>1091</v>
      </c>
      <c r="G251" t="s">
        <v>335</v>
      </c>
      <c r="H251" t="s">
        <v>273</v>
      </c>
      <c r="I251" t="s">
        <v>273</v>
      </c>
    </row>
    <row r="252" spans="1:9" x14ac:dyDescent="0.35">
      <c r="A252" t="s">
        <v>953</v>
      </c>
      <c r="B252" t="s">
        <v>732</v>
      </c>
      <c r="C252" t="s">
        <v>627</v>
      </c>
      <c r="G252" t="s">
        <v>335</v>
      </c>
      <c r="H252" t="s">
        <v>273</v>
      </c>
      <c r="I252" t="s">
        <v>273</v>
      </c>
    </row>
    <row r="253" spans="1:9" x14ac:dyDescent="0.35">
      <c r="A253" t="s">
        <v>946</v>
      </c>
      <c r="B253" t="s">
        <v>373</v>
      </c>
      <c r="C253" t="s">
        <v>27</v>
      </c>
      <c r="D253">
        <v>1185</v>
      </c>
      <c r="E253">
        <v>132</v>
      </c>
      <c r="F253" t="s">
        <v>1055</v>
      </c>
      <c r="G253" t="s">
        <v>14</v>
      </c>
      <c r="H253" t="s">
        <v>285</v>
      </c>
      <c r="I253" t="s">
        <v>968</v>
      </c>
    </row>
    <row r="254" spans="1:9" x14ac:dyDescent="0.35">
      <c r="A254" t="s">
        <v>946</v>
      </c>
      <c r="B254" t="s">
        <v>599</v>
      </c>
      <c r="C254" t="s">
        <v>27</v>
      </c>
      <c r="D254" s="186"/>
      <c r="G254" t="s">
        <v>14</v>
      </c>
      <c r="H254" t="s">
        <v>285</v>
      </c>
      <c r="I254" t="s">
        <v>968</v>
      </c>
    </row>
    <row r="255" spans="1:9" x14ac:dyDescent="0.35">
      <c r="A255" t="s">
        <v>946</v>
      </c>
      <c r="B255" t="s">
        <v>598</v>
      </c>
      <c r="C255" t="s">
        <v>27</v>
      </c>
      <c r="D255" s="186">
        <v>2039</v>
      </c>
      <c r="E255" t="s">
        <v>1051</v>
      </c>
      <c r="F255" t="s">
        <v>285</v>
      </c>
      <c r="G255" t="s">
        <v>15</v>
      </c>
      <c r="H255" t="s">
        <v>285</v>
      </c>
      <c r="I255" t="s">
        <v>968</v>
      </c>
    </row>
    <row r="256" spans="1:9" x14ac:dyDescent="0.35">
      <c r="A256" t="s">
        <v>953</v>
      </c>
      <c r="B256" t="s">
        <v>400</v>
      </c>
      <c r="C256" t="s">
        <v>27</v>
      </c>
      <c r="G256" t="s">
        <v>14</v>
      </c>
      <c r="H256" t="s">
        <v>285</v>
      </c>
      <c r="I256" t="s">
        <v>968</v>
      </c>
    </row>
    <row r="257" spans="1:9" x14ac:dyDescent="0.35">
      <c r="A257" t="s">
        <v>953</v>
      </c>
      <c r="B257" t="s">
        <v>696</v>
      </c>
      <c r="C257" t="s">
        <v>27</v>
      </c>
      <c r="G257" t="s">
        <v>15</v>
      </c>
      <c r="H257" t="s">
        <v>285</v>
      </c>
      <c r="I257" t="s">
        <v>968</v>
      </c>
    </row>
    <row r="258" spans="1:9" x14ac:dyDescent="0.35">
      <c r="A258" t="s">
        <v>953</v>
      </c>
      <c r="B258" t="s">
        <v>715</v>
      </c>
      <c r="C258" t="s">
        <v>27</v>
      </c>
      <c r="G258" t="s">
        <v>15</v>
      </c>
      <c r="H258" t="s">
        <v>285</v>
      </c>
      <c r="I258" t="s">
        <v>968</v>
      </c>
    </row>
    <row r="259" spans="1:9" x14ac:dyDescent="0.35">
      <c r="A259" t="s">
        <v>946</v>
      </c>
      <c r="B259" t="s">
        <v>597</v>
      </c>
      <c r="C259" t="s">
        <v>243</v>
      </c>
      <c r="D259">
        <v>1186</v>
      </c>
      <c r="E259">
        <v>158</v>
      </c>
      <c r="F259" t="s">
        <v>1144</v>
      </c>
      <c r="H259" t="s">
        <v>1665</v>
      </c>
      <c r="I259" t="s">
        <v>968</v>
      </c>
    </row>
    <row r="260" spans="1:9" x14ac:dyDescent="0.35">
      <c r="A260" t="s">
        <v>953</v>
      </c>
      <c r="D260">
        <v>1029</v>
      </c>
      <c r="F260" t="s">
        <v>1401</v>
      </c>
      <c r="G260" t="s">
        <v>14</v>
      </c>
      <c r="H260" t="s">
        <v>1402</v>
      </c>
      <c r="I260" t="s">
        <v>1403</v>
      </c>
    </row>
    <row r="261" spans="1:9" x14ac:dyDescent="0.35">
      <c r="A261" t="s">
        <v>953</v>
      </c>
      <c r="B261" t="s">
        <v>705</v>
      </c>
      <c r="C261" t="s">
        <v>618</v>
      </c>
      <c r="D261">
        <v>1191</v>
      </c>
      <c r="E261" t="s">
        <v>1395</v>
      </c>
      <c r="F261" t="s">
        <v>1396</v>
      </c>
      <c r="G261" t="s">
        <v>14</v>
      </c>
      <c r="H261" t="s">
        <v>52</v>
      </c>
      <c r="I261" t="s">
        <v>51</v>
      </c>
    </row>
    <row r="262" spans="1:9" x14ac:dyDescent="0.35">
      <c r="A262" t="s">
        <v>946</v>
      </c>
      <c r="B262" t="s">
        <v>391</v>
      </c>
      <c r="C262" t="s">
        <v>52</v>
      </c>
      <c r="D262">
        <v>1192</v>
      </c>
      <c r="E262">
        <v>162</v>
      </c>
      <c r="F262" t="s">
        <v>1068</v>
      </c>
      <c r="G262" t="s">
        <v>14</v>
      </c>
      <c r="H262" t="s">
        <v>52</v>
      </c>
      <c r="I262" t="s">
        <v>51</v>
      </c>
    </row>
    <row r="263" spans="1:9" x14ac:dyDescent="0.35">
      <c r="A263" t="s">
        <v>953</v>
      </c>
      <c r="B263" t="s">
        <v>701</v>
      </c>
      <c r="C263" t="s">
        <v>52</v>
      </c>
      <c r="G263" t="s">
        <v>14</v>
      </c>
      <c r="H263" t="s">
        <v>52</v>
      </c>
      <c r="I263" t="s">
        <v>51</v>
      </c>
    </row>
    <row r="264" spans="1:9" x14ac:dyDescent="0.35">
      <c r="A264" t="s">
        <v>946</v>
      </c>
      <c r="B264" t="s">
        <v>526</v>
      </c>
      <c r="C264" t="s">
        <v>114</v>
      </c>
      <c r="D264">
        <v>1178</v>
      </c>
      <c r="E264">
        <v>121</v>
      </c>
      <c r="F264" t="s">
        <v>1221</v>
      </c>
      <c r="G264" t="s">
        <v>14</v>
      </c>
      <c r="H264" t="s">
        <v>114</v>
      </c>
      <c r="I264" t="s">
        <v>53</v>
      </c>
    </row>
    <row r="265" spans="1:9" x14ac:dyDescent="0.35">
      <c r="A265" t="s">
        <v>946</v>
      </c>
      <c r="B265" t="s">
        <v>527</v>
      </c>
      <c r="C265" t="s">
        <v>107</v>
      </c>
      <c r="G265" t="s">
        <v>14</v>
      </c>
      <c r="H265" t="s">
        <v>107</v>
      </c>
      <c r="I265" t="s">
        <v>53</v>
      </c>
    </row>
    <row r="266" spans="1:9" x14ac:dyDescent="0.35">
      <c r="A266" t="s">
        <v>946</v>
      </c>
      <c r="B266" t="s">
        <v>439</v>
      </c>
      <c r="C266" t="s">
        <v>208</v>
      </c>
      <c r="D266">
        <v>2041</v>
      </c>
      <c r="E266" t="s">
        <v>1073</v>
      </c>
      <c r="F266" t="s">
        <v>1072</v>
      </c>
      <c r="G266" t="s">
        <v>15</v>
      </c>
      <c r="H266" t="s">
        <v>973</v>
      </c>
      <c r="I266" t="s">
        <v>274</v>
      </c>
    </row>
    <row r="267" spans="1:9" x14ac:dyDescent="0.35">
      <c r="A267" t="s">
        <v>946</v>
      </c>
      <c r="B267" t="s">
        <v>440</v>
      </c>
      <c r="C267" t="s">
        <v>140</v>
      </c>
      <c r="D267" s="186"/>
      <c r="G267" t="s">
        <v>15</v>
      </c>
      <c r="H267" t="s">
        <v>973</v>
      </c>
      <c r="I267" t="s">
        <v>274</v>
      </c>
    </row>
    <row r="268" spans="1:9" x14ac:dyDescent="0.35">
      <c r="A268" t="s">
        <v>946</v>
      </c>
      <c r="B268" t="s">
        <v>441</v>
      </c>
      <c r="C268" t="s">
        <v>225</v>
      </c>
      <c r="D268">
        <v>2142</v>
      </c>
      <c r="E268" t="s">
        <v>1237</v>
      </c>
      <c r="F268" t="s">
        <v>1236</v>
      </c>
      <c r="G268" t="s">
        <v>15</v>
      </c>
      <c r="H268" t="s">
        <v>973</v>
      </c>
      <c r="I268" t="s">
        <v>274</v>
      </c>
    </row>
    <row r="269" spans="1:9" x14ac:dyDescent="0.35">
      <c r="A269" t="s">
        <v>953</v>
      </c>
      <c r="B269" t="s">
        <v>741</v>
      </c>
      <c r="C269" t="s">
        <v>208</v>
      </c>
      <c r="G269" t="s">
        <v>15</v>
      </c>
      <c r="H269" t="s">
        <v>973</v>
      </c>
      <c r="I269" t="s">
        <v>274</v>
      </c>
    </row>
    <row r="270" spans="1:9" x14ac:dyDescent="0.35">
      <c r="A270" t="s">
        <v>953</v>
      </c>
      <c r="B270" t="s">
        <v>711</v>
      </c>
      <c r="C270" t="s">
        <v>140</v>
      </c>
      <c r="D270" s="186"/>
      <c r="G270" t="s">
        <v>15</v>
      </c>
      <c r="H270" t="s">
        <v>973</v>
      </c>
      <c r="I270" t="s">
        <v>274</v>
      </c>
    </row>
    <row r="271" spans="1:9" x14ac:dyDescent="0.35">
      <c r="A271" t="s">
        <v>953</v>
      </c>
      <c r="B271" t="s">
        <v>787</v>
      </c>
      <c r="C271" t="s">
        <v>225</v>
      </c>
      <c r="H271" t="s">
        <v>973</v>
      </c>
      <c r="I271" t="s">
        <v>274</v>
      </c>
    </row>
    <row r="272" spans="1:9" x14ac:dyDescent="0.35">
      <c r="A272" t="s">
        <v>946</v>
      </c>
      <c r="B272" t="s">
        <v>442</v>
      </c>
      <c r="C272" t="s">
        <v>118</v>
      </c>
      <c r="D272">
        <v>2042</v>
      </c>
      <c r="E272" t="s">
        <v>1075</v>
      </c>
      <c r="F272" t="s">
        <v>1074</v>
      </c>
      <c r="G272" t="s">
        <v>15</v>
      </c>
      <c r="H272" t="s">
        <v>974</v>
      </c>
      <c r="I272" t="s">
        <v>274</v>
      </c>
    </row>
    <row r="273" spans="1:9" x14ac:dyDescent="0.35">
      <c r="A273" t="s">
        <v>946</v>
      </c>
      <c r="B273" t="s">
        <v>443</v>
      </c>
      <c r="C273" t="s">
        <v>228</v>
      </c>
      <c r="G273" t="s">
        <v>15</v>
      </c>
      <c r="H273" t="s">
        <v>974</v>
      </c>
      <c r="I273" t="s">
        <v>274</v>
      </c>
    </row>
    <row r="274" spans="1:9" x14ac:dyDescent="0.35">
      <c r="A274" t="s">
        <v>946</v>
      </c>
      <c r="B274" t="s">
        <v>444</v>
      </c>
      <c r="C274" t="s">
        <v>148</v>
      </c>
      <c r="D274">
        <v>2143</v>
      </c>
      <c r="E274" t="s">
        <v>1239</v>
      </c>
      <c r="F274" t="s">
        <v>1238</v>
      </c>
      <c r="G274" t="s">
        <v>15</v>
      </c>
      <c r="H274" t="s">
        <v>974</v>
      </c>
      <c r="I274" t="s">
        <v>274</v>
      </c>
    </row>
    <row r="275" spans="1:9" x14ac:dyDescent="0.35">
      <c r="A275" t="s">
        <v>953</v>
      </c>
      <c r="B275" t="s">
        <v>793</v>
      </c>
      <c r="C275" t="s">
        <v>118</v>
      </c>
      <c r="G275" t="s">
        <v>15</v>
      </c>
      <c r="H275" t="s">
        <v>974</v>
      </c>
      <c r="I275" t="s">
        <v>274</v>
      </c>
    </row>
    <row r="276" spans="1:9" x14ac:dyDescent="0.35">
      <c r="A276" t="s">
        <v>953</v>
      </c>
      <c r="B276" t="s">
        <v>833</v>
      </c>
      <c r="C276" t="s">
        <v>228</v>
      </c>
      <c r="G276" t="s">
        <v>15</v>
      </c>
      <c r="H276" t="s">
        <v>974</v>
      </c>
      <c r="I276" t="s">
        <v>274</v>
      </c>
    </row>
    <row r="277" spans="1:9" x14ac:dyDescent="0.35">
      <c r="A277" t="s">
        <v>953</v>
      </c>
      <c r="B277" t="s">
        <v>714</v>
      </c>
      <c r="C277" t="s">
        <v>148</v>
      </c>
      <c r="D277" s="186"/>
      <c r="H277" t="s">
        <v>974</v>
      </c>
      <c r="I277" t="s">
        <v>274</v>
      </c>
    </row>
    <row r="278" spans="1:9" x14ac:dyDescent="0.35">
      <c r="A278" t="s">
        <v>946</v>
      </c>
      <c r="B278" t="s">
        <v>867</v>
      </c>
      <c r="C278" t="s">
        <v>61</v>
      </c>
      <c r="D278">
        <v>1184</v>
      </c>
      <c r="E278">
        <v>129</v>
      </c>
      <c r="F278" t="s">
        <v>1078</v>
      </c>
      <c r="G278" t="s">
        <v>14</v>
      </c>
      <c r="H278" t="s">
        <v>334</v>
      </c>
      <c r="I278" t="s">
        <v>334</v>
      </c>
    </row>
    <row r="279" spans="1:9" x14ac:dyDescent="0.35">
      <c r="A279" t="s">
        <v>953</v>
      </c>
      <c r="B279" t="s">
        <v>776</v>
      </c>
      <c r="C279" t="s">
        <v>61</v>
      </c>
      <c r="G279" t="s">
        <v>14</v>
      </c>
      <c r="H279" t="s">
        <v>334</v>
      </c>
      <c r="I279" t="s">
        <v>334</v>
      </c>
    </row>
    <row r="280" spans="1:9" x14ac:dyDescent="0.35">
      <c r="A280" t="s">
        <v>946</v>
      </c>
      <c r="B280" t="s">
        <v>860</v>
      </c>
      <c r="C280" t="s">
        <v>146</v>
      </c>
      <c r="D280">
        <v>1058</v>
      </c>
      <c r="E280">
        <v>34</v>
      </c>
      <c r="F280" t="s">
        <v>1081</v>
      </c>
      <c r="G280" t="s">
        <v>335</v>
      </c>
      <c r="H280" t="s">
        <v>890</v>
      </c>
      <c r="I280" t="s">
        <v>976</v>
      </c>
    </row>
    <row r="281" spans="1:9" x14ac:dyDescent="0.35">
      <c r="A281" t="s">
        <v>946</v>
      </c>
      <c r="B281" t="s">
        <v>401</v>
      </c>
      <c r="C281" t="s">
        <v>64</v>
      </c>
      <c r="D281">
        <v>1062</v>
      </c>
      <c r="E281">
        <v>140</v>
      </c>
      <c r="F281" t="s">
        <v>1083</v>
      </c>
      <c r="G281" t="s">
        <v>335</v>
      </c>
      <c r="H281" t="s">
        <v>890</v>
      </c>
      <c r="I281" t="s">
        <v>976</v>
      </c>
    </row>
    <row r="282" spans="1:9" x14ac:dyDescent="0.35">
      <c r="A282" t="s">
        <v>946</v>
      </c>
      <c r="B282" t="s">
        <v>533</v>
      </c>
      <c r="C282" t="s">
        <v>35</v>
      </c>
      <c r="D282" s="186">
        <v>1064</v>
      </c>
      <c r="E282">
        <v>142</v>
      </c>
      <c r="F282" t="s">
        <v>1085</v>
      </c>
      <c r="G282" t="s">
        <v>335</v>
      </c>
      <c r="H282" t="s">
        <v>890</v>
      </c>
      <c r="I282" t="s">
        <v>976</v>
      </c>
    </row>
    <row r="283" spans="1:9" x14ac:dyDescent="0.35">
      <c r="A283" t="s">
        <v>946</v>
      </c>
      <c r="B283" t="s">
        <v>535</v>
      </c>
      <c r="C283" t="s">
        <v>97</v>
      </c>
      <c r="D283">
        <v>1066</v>
      </c>
      <c r="E283">
        <v>144</v>
      </c>
      <c r="F283" t="s">
        <v>1087</v>
      </c>
      <c r="G283" t="s">
        <v>335</v>
      </c>
      <c r="H283" t="s">
        <v>890</v>
      </c>
      <c r="I283" t="s">
        <v>976</v>
      </c>
    </row>
    <row r="284" spans="1:9" x14ac:dyDescent="0.35">
      <c r="A284" t="s">
        <v>946</v>
      </c>
      <c r="B284" t="s">
        <v>537</v>
      </c>
      <c r="C284" t="s">
        <v>94</v>
      </c>
      <c r="D284" s="186">
        <v>1068</v>
      </c>
      <c r="E284">
        <v>146</v>
      </c>
      <c r="F284" t="s">
        <v>1089</v>
      </c>
      <c r="G284" t="s">
        <v>335</v>
      </c>
      <c r="H284" t="s">
        <v>890</v>
      </c>
      <c r="I284" t="s">
        <v>976</v>
      </c>
    </row>
    <row r="285" spans="1:9" x14ac:dyDescent="0.35">
      <c r="A285" t="s">
        <v>953</v>
      </c>
      <c r="B285" t="s">
        <v>772</v>
      </c>
      <c r="C285" t="s">
        <v>146</v>
      </c>
      <c r="G285" t="s">
        <v>335</v>
      </c>
      <c r="H285" t="s">
        <v>890</v>
      </c>
      <c r="I285" t="s">
        <v>976</v>
      </c>
    </row>
    <row r="286" spans="1:9" x14ac:dyDescent="0.35">
      <c r="A286" t="s">
        <v>953</v>
      </c>
      <c r="B286" t="s">
        <v>806</v>
      </c>
      <c r="C286" t="s">
        <v>64</v>
      </c>
      <c r="G286" t="s">
        <v>335</v>
      </c>
      <c r="H286" t="s">
        <v>890</v>
      </c>
      <c r="I286" t="s">
        <v>976</v>
      </c>
    </row>
    <row r="287" spans="1:9" x14ac:dyDescent="0.35">
      <c r="A287" t="s">
        <v>953</v>
      </c>
      <c r="B287" t="s">
        <v>736</v>
      </c>
      <c r="C287" t="s">
        <v>35</v>
      </c>
      <c r="G287" t="s">
        <v>335</v>
      </c>
      <c r="H287" t="s">
        <v>890</v>
      </c>
      <c r="I287" t="s">
        <v>976</v>
      </c>
    </row>
    <row r="288" spans="1:9" x14ac:dyDescent="0.35">
      <c r="A288" t="s">
        <v>953</v>
      </c>
      <c r="B288" t="s">
        <v>767</v>
      </c>
      <c r="C288" t="s">
        <v>97</v>
      </c>
      <c r="G288" t="s">
        <v>335</v>
      </c>
      <c r="H288" t="s">
        <v>890</v>
      </c>
      <c r="I288" t="s">
        <v>976</v>
      </c>
    </row>
    <row r="289" spans="1:9" x14ac:dyDescent="0.35">
      <c r="A289" t="s">
        <v>953</v>
      </c>
      <c r="B289" t="s">
        <v>755</v>
      </c>
      <c r="C289" t="s">
        <v>94</v>
      </c>
      <c r="G289" t="s">
        <v>335</v>
      </c>
      <c r="H289" t="s">
        <v>890</v>
      </c>
      <c r="I289" t="s">
        <v>976</v>
      </c>
    </row>
    <row r="290" spans="1:9" x14ac:dyDescent="0.35">
      <c r="A290" t="s">
        <v>946</v>
      </c>
      <c r="B290" t="s">
        <v>859</v>
      </c>
      <c r="C290" t="s">
        <v>171</v>
      </c>
      <c r="D290">
        <v>1057</v>
      </c>
      <c r="E290">
        <v>33</v>
      </c>
      <c r="F290" t="s">
        <v>1082</v>
      </c>
      <c r="G290" t="s">
        <v>335</v>
      </c>
      <c r="H290" t="s">
        <v>892</v>
      </c>
      <c r="I290" t="s">
        <v>976</v>
      </c>
    </row>
    <row r="291" spans="1:9" x14ac:dyDescent="0.35">
      <c r="A291" t="s">
        <v>946</v>
      </c>
      <c r="B291" t="s">
        <v>419</v>
      </c>
      <c r="C291" t="s">
        <v>138</v>
      </c>
      <c r="D291">
        <v>1061</v>
      </c>
      <c r="E291">
        <v>139</v>
      </c>
      <c r="F291" t="s">
        <v>1084</v>
      </c>
      <c r="G291" t="s">
        <v>335</v>
      </c>
      <c r="H291" t="s">
        <v>892</v>
      </c>
      <c r="I291" t="s">
        <v>976</v>
      </c>
    </row>
    <row r="292" spans="1:9" x14ac:dyDescent="0.35">
      <c r="A292" t="s">
        <v>946</v>
      </c>
      <c r="B292" t="s">
        <v>534</v>
      </c>
      <c r="C292" t="s">
        <v>93</v>
      </c>
      <c r="D292">
        <v>1063</v>
      </c>
      <c r="E292">
        <v>141</v>
      </c>
      <c r="F292" t="s">
        <v>1086</v>
      </c>
      <c r="G292" t="s">
        <v>335</v>
      </c>
      <c r="H292" t="s">
        <v>892</v>
      </c>
      <c r="I292" t="s">
        <v>976</v>
      </c>
    </row>
    <row r="293" spans="1:9" x14ac:dyDescent="0.35">
      <c r="A293" t="s">
        <v>946</v>
      </c>
      <c r="B293" t="s">
        <v>536</v>
      </c>
      <c r="C293" t="s">
        <v>181</v>
      </c>
      <c r="D293">
        <v>1065</v>
      </c>
      <c r="E293">
        <v>143</v>
      </c>
      <c r="F293" t="s">
        <v>1088</v>
      </c>
      <c r="G293" t="s">
        <v>335</v>
      </c>
      <c r="H293" t="s">
        <v>892</v>
      </c>
      <c r="I293" t="s">
        <v>976</v>
      </c>
    </row>
    <row r="294" spans="1:9" x14ac:dyDescent="0.35">
      <c r="A294" t="s">
        <v>946</v>
      </c>
      <c r="B294" t="s">
        <v>538</v>
      </c>
      <c r="C294" t="s">
        <v>239</v>
      </c>
      <c r="D294">
        <v>1067</v>
      </c>
      <c r="E294">
        <v>145</v>
      </c>
      <c r="F294" t="s">
        <v>1090</v>
      </c>
      <c r="G294" t="s">
        <v>335</v>
      </c>
      <c r="H294" t="s">
        <v>892</v>
      </c>
      <c r="I294" t="s">
        <v>976</v>
      </c>
    </row>
    <row r="295" spans="1:9" x14ac:dyDescent="0.35">
      <c r="A295" t="s">
        <v>953</v>
      </c>
      <c r="B295" t="s">
        <v>821</v>
      </c>
      <c r="C295" t="s">
        <v>171</v>
      </c>
      <c r="G295" t="s">
        <v>335</v>
      </c>
      <c r="H295" t="s">
        <v>892</v>
      </c>
      <c r="I295" t="s">
        <v>976</v>
      </c>
    </row>
    <row r="296" spans="1:9" x14ac:dyDescent="0.35">
      <c r="A296" t="s">
        <v>953</v>
      </c>
      <c r="B296" t="s">
        <v>840</v>
      </c>
      <c r="C296" t="s">
        <v>138</v>
      </c>
      <c r="D296" s="186"/>
      <c r="G296" t="s">
        <v>335</v>
      </c>
      <c r="H296" t="s">
        <v>892</v>
      </c>
      <c r="I296" t="s">
        <v>976</v>
      </c>
    </row>
    <row r="297" spans="1:9" x14ac:dyDescent="0.35">
      <c r="A297" t="s">
        <v>953</v>
      </c>
      <c r="B297" t="s">
        <v>786</v>
      </c>
      <c r="C297" t="s">
        <v>93</v>
      </c>
      <c r="G297" t="s">
        <v>335</v>
      </c>
      <c r="H297" t="s">
        <v>892</v>
      </c>
      <c r="I297" t="s">
        <v>976</v>
      </c>
    </row>
    <row r="298" spans="1:9" x14ac:dyDescent="0.35">
      <c r="A298" t="s">
        <v>953</v>
      </c>
      <c r="B298" t="s">
        <v>742</v>
      </c>
      <c r="C298" t="s">
        <v>181</v>
      </c>
      <c r="G298" t="s">
        <v>335</v>
      </c>
      <c r="H298" t="s">
        <v>892</v>
      </c>
      <c r="I298" t="s">
        <v>976</v>
      </c>
    </row>
    <row r="299" spans="1:9" x14ac:dyDescent="0.35">
      <c r="A299" t="s">
        <v>953</v>
      </c>
      <c r="B299" t="s">
        <v>795</v>
      </c>
      <c r="C299" t="s">
        <v>239</v>
      </c>
      <c r="G299" t="s">
        <v>335</v>
      </c>
      <c r="H299" t="s">
        <v>892</v>
      </c>
      <c r="I299" t="s">
        <v>976</v>
      </c>
    </row>
    <row r="300" spans="1:9" x14ac:dyDescent="0.35">
      <c r="A300" t="s">
        <v>946</v>
      </c>
      <c r="B300" t="s">
        <v>904</v>
      </c>
      <c r="C300" t="s">
        <v>898</v>
      </c>
      <c r="D300">
        <v>1056</v>
      </c>
      <c r="E300">
        <v>38</v>
      </c>
      <c r="F300" t="s">
        <v>1092</v>
      </c>
      <c r="G300" t="s">
        <v>335</v>
      </c>
      <c r="H300" t="s">
        <v>891</v>
      </c>
      <c r="I300" t="s">
        <v>891</v>
      </c>
    </row>
    <row r="301" spans="1:9" x14ac:dyDescent="0.35">
      <c r="A301" t="s">
        <v>953</v>
      </c>
      <c r="B301" t="s">
        <v>896</v>
      </c>
      <c r="C301" t="s">
        <v>897</v>
      </c>
      <c r="G301" t="s">
        <v>335</v>
      </c>
      <c r="H301" t="s">
        <v>891</v>
      </c>
      <c r="I301" t="s">
        <v>891</v>
      </c>
    </row>
    <row r="302" spans="1:9" x14ac:dyDescent="0.35">
      <c r="A302" t="s">
        <v>946</v>
      </c>
      <c r="B302" t="s">
        <v>347</v>
      </c>
      <c r="C302" t="s">
        <v>18</v>
      </c>
      <c r="D302">
        <v>1039</v>
      </c>
      <c r="E302">
        <v>30</v>
      </c>
      <c r="F302" t="s">
        <v>18</v>
      </c>
      <c r="G302" t="s">
        <v>14</v>
      </c>
      <c r="H302" t="s">
        <v>18</v>
      </c>
      <c r="I302" t="s">
        <v>18</v>
      </c>
    </row>
    <row r="303" spans="1:9" x14ac:dyDescent="0.35">
      <c r="A303" t="s">
        <v>946</v>
      </c>
      <c r="B303" t="s">
        <v>350</v>
      </c>
      <c r="C303" t="s">
        <v>19</v>
      </c>
      <c r="D303">
        <v>2055</v>
      </c>
      <c r="E303" t="s">
        <v>1096</v>
      </c>
      <c r="F303" t="s">
        <v>1095</v>
      </c>
      <c r="G303" t="s">
        <v>15</v>
      </c>
      <c r="H303" t="s">
        <v>18</v>
      </c>
      <c r="I303" t="s">
        <v>18</v>
      </c>
    </row>
    <row r="304" spans="1:9" x14ac:dyDescent="0.35">
      <c r="A304" t="s">
        <v>946</v>
      </c>
      <c r="B304" t="s">
        <v>530</v>
      </c>
      <c r="C304" t="s">
        <v>231</v>
      </c>
      <c r="G304" t="s">
        <v>3</v>
      </c>
      <c r="H304" t="s">
        <v>18</v>
      </c>
      <c r="I304" t="s">
        <v>18</v>
      </c>
    </row>
    <row r="305" spans="1:9" x14ac:dyDescent="0.35">
      <c r="A305" t="s">
        <v>953</v>
      </c>
      <c r="B305" t="s">
        <v>354</v>
      </c>
      <c r="C305" t="s">
        <v>18</v>
      </c>
      <c r="G305" t="s">
        <v>14</v>
      </c>
      <c r="H305" t="s">
        <v>18</v>
      </c>
      <c r="I305" t="s">
        <v>18</v>
      </c>
    </row>
    <row r="306" spans="1:9" x14ac:dyDescent="0.35">
      <c r="A306" t="s">
        <v>953</v>
      </c>
      <c r="B306" t="s">
        <v>369</v>
      </c>
      <c r="C306" t="s">
        <v>19</v>
      </c>
      <c r="G306" t="s">
        <v>15</v>
      </c>
      <c r="H306" t="s">
        <v>18</v>
      </c>
      <c r="I306" t="s">
        <v>18</v>
      </c>
    </row>
    <row r="307" spans="1:9" x14ac:dyDescent="0.35">
      <c r="A307" t="s">
        <v>946</v>
      </c>
      <c r="D307">
        <v>2156</v>
      </c>
      <c r="E307" t="s">
        <v>1296</v>
      </c>
      <c r="F307" t="s">
        <v>1297</v>
      </c>
      <c r="G307" t="s">
        <v>15</v>
      </c>
      <c r="H307" t="s">
        <v>1261</v>
      </c>
      <c r="I307" t="s">
        <v>342</v>
      </c>
    </row>
    <row r="308" spans="1:9" x14ac:dyDescent="0.35">
      <c r="A308" t="s">
        <v>946</v>
      </c>
      <c r="B308" t="s">
        <v>427</v>
      </c>
      <c r="C308" t="s">
        <v>190</v>
      </c>
      <c r="D308">
        <v>2158</v>
      </c>
      <c r="E308" t="s">
        <v>1241</v>
      </c>
      <c r="F308" t="s">
        <v>1240</v>
      </c>
      <c r="G308" t="s">
        <v>15</v>
      </c>
      <c r="H308" t="s">
        <v>1261</v>
      </c>
      <c r="I308" t="s">
        <v>342</v>
      </c>
    </row>
    <row r="309" spans="1:9" x14ac:dyDescent="0.35">
      <c r="A309" t="s">
        <v>946</v>
      </c>
      <c r="B309" t="s">
        <v>1255</v>
      </c>
      <c r="C309" t="s">
        <v>1256</v>
      </c>
      <c r="D309" s="186">
        <v>2158</v>
      </c>
      <c r="E309" t="s">
        <v>1241</v>
      </c>
      <c r="F309" t="s">
        <v>1240</v>
      </c>
      <c r="G309" t="s">
        <v>15</v>
      </c>
      <c r="H309" t="s">
        <v>1261</v>
      </c>
      <c r="I309" t="s">
        <v>342</v>
      </c>
    </row>
    <row r="310" spans="1:9" x14ac:dyDescent="0.35">
      <c r="A310" t="s">
        <v>946</v>
      </c>
      <c r="D310">
        <v>2157</v>
      </c>
      <c r="E310" t="s">
        <v>1298</v>
      </c>
      <c r="F310" t="s">
        <v>1299</v>
      </c>
      <c r="G310" t="s">
        <v>15</v>
      </c>
      <c r="H310" t="s">
        <v>1262</v>
      </c>
      <c r="I310" t="s">
        <v>342</v>
      </c>
    </row>
    <row r="311" spans="1:9" x14ac:dyDescent="0.35">
      <c r="A311" t="s">
        <v>946</v>
      </c>
      <c r="C311" t="s">
        <v>190</v>
      </c>
      <c r="G311" t="s">
        <v>15</v>
      </c>
      <c r="H311" t="s">
        <v>1262</v>
      </c>
      <c r="I311" t="s">
        <v>342</v>
      </c>
    </row>
    <row r="312" spans="1:9" x14ac:dyDescent="0.35">
      <c r="A312" t="s">
        <v>953</v>
      </c>
      <c r="B312" t="s">
        <v>1283</v>
      </c>
      <c r="C312" t="s">
        <v>1256</v>
      </c>
      <c r="D312">
        <v>2159</v>
      </c>
      <c r="E312" t="s">
        <v>1243</v>
      </c>
      <c r="F312" t="s">
        <v>1242</v>
      </c>
      <c r="G312" t="s">
        <v>15</v>
      </c>
      <c r="H312" t="s">
        <v>1262</v>
      </c>
      <c r="I312" t="s">
        <v>342</v>
      </c>
    </row>
    <row r="313" spans="1:9" x14ac:dyDescent="0.35">
      <c r="A313" t="s">
        <v>946</v>
      </c>
      <c r="B313" t="s">
        <v>459</v>
      </c>
      <c r="C313" t="s">
        <v>152</v>
      </c>
      <c r="G313" t="s">
        <v>15</v>
      </c>
      <c r="H313" t="s">
        <v>100</v>
      </c>
      <c r="I313" t="s">
        <v>100</v>
      </c>
    </row>
    <row r="314" spans="1:9" x14ac:dyDescent="0.35">
      <c r="A314" t="s">
        <v>946</v>
      </c>
      <c r="B314" t="s">
        <v>356</v>
      </c>
      <c r="C314" t="s">
        <v>100</v>
      </c>
      <c r="D314">
        <v>2077</v>
      </c>
      <c r="E314" t="s">
        <v>1118</v>
      </c>
      <c r="F314" t="s">
        <v>1117</v>
      </c>
      <c r="G314" t="s">
        <v>15</v>
      </c>
      <c r="H314" t="s">
        <v>100</v>
      </c>
      <c r="I314" t="s">
        <v>100</v>
      </c>
    </row>
    <row r="315" spans="1:9" x14ac:dyDescent="0.35">
      <c r="A315" t="s">
        <v>953</v>
      </c>
      <c r="B315" t="s">
        <v>723</v>
      </c>
      <c r="C315" t="s">
        <v>624</v>
      </c>
      <c r="G315" t="s">
        <v>15</v>
      </c>
      <c r="H315" t="s">
        <v>100</v>
      </c>
      <c r="I315" t="s">
        <v>100</v>
      </c>
    </row>
    <row r="316" spans="1:9" x14ac:dyDescent="0.35">
      <c r="A316" t="s">
        <v>953</v>
      </c>
      <c r="B316" t="s">
        <v>735</v>
      </c>
      <c r="C316" t="s">
        <v>624</v>
      </c>
      <c r="G316" t="s">
        <v>15</v>
      </c>
      <c r="H316" t="s">
        <v>100</v>
      </c>
      <c r="I316" t="s">
        <v>100</v>
      </c>
    </row>
    <row r="317" spans="1:9" x14ac:dyDescent="0.35">
      <c r="A317" t="s">
        <v>953</v>
      </c>
      <c r="B317" t="s">
        <v>780</v>
      </c>
      <c r="C317" t="s">
        <v>100</v>
      </c>
      <c r="G317" t="s">
        <v>15</v>
      </c>
      <c r="H317" t="s">
        <v>100</v>
      </c>
      <c r="I317" t="s">
        <v>100</v>
      </c>
    </row>
    <row r="318" spans="1:9" x14ac:dyDescent="0.35">
      <c r="A318" t="s">
        <v>946</v>
      </c>
      <c r="B318" t="s">
        <v>397</v>
      </c>
      <c r="C318" t="s">
        <v>977</v>
      </c>
      <c r="D318">
        <v>1019</v>
      </c>
      <c r="E318">
        <v>9</v>
      </c>
      <c r="F318" t="s">
        <v>1060</v>
      </c>
      <c r="G318" t="s">
        <v>14</v>
      </c>
      <c r="H318" t="s">
        <v>977</v>
      </c>
      <c r="I318" t="s">
        <v>51</v>
      </c>
    </row>
    <row r="319" spans="1:9" x14ac:dyDescent="0.35">
      <c r="A319" t="s">
        <v>953</v>
      </c>
      <c r="B319" t="s">
        <v>829</v>
      </c>
      <c r="C319" t="s">
        <v>653</v>
      </c>
      <c r="D319">
        <v>1020</v>
      </c>
      <c r="E319" t="s">
        <v>1391</v>
      </c>
      <c r="F319" t="s">
        <v>1392</v>
      </c>
      <c r="G319" t="s">
        <v>14</v>
      </c>
      <c r="H319" t="s">
        <v>977</v>
      </c>
      <c r="I319" t="s">
        <v>51</v>
      </c>
    </row>
    <row r="320" spans="1:9" x14ac:dyDescent="0.35">
      <c r="A320" t="s">
        <v>953</v>
      </c>
      <c r="B320" t="s">
        <v>975</v>
      </c>
      <c r="C320" t="s">
        <v>653</v>
      </c>
      <c r="G320" t="s">
        <v>14</v>
      </c>
      <c r="H320" t="s">
        <v>977</v>
      </c>
      <c r="I320" t="s">
        <v>51</v>
      </c>
    </row>
    <row r="321" spans="1:9" x14ac:dyDescent="0.35">
      <c r="A321" t="s">
        <v>953</v>
      </c>
      <c r="B321" t="s">
        <v>819</v>
      </c>
      <c r="C321" t="s">
        <v>977</v>
      </c>
      <c r="G321" t="s">
        <v>14</v>
      </c>
      <c r="H321" t="s">
        <v>977</v>
      </c>
      <c r="I321" t="s">
        <v>51</v>
      </c>
    </row>
    <row r="322" spans="1:9" x14ac:dyDescent="0.35">
      <c r="A322" t="s">
        <v>946</v>
      </c>
      <c r="B322" t="s">
        <v>866</v>
      </c>
      <c r="C322" t="s">
        <v>43</v>
      </c>
      <c r="D322">
        <v>1187</v>
      </c>
      <c r="E322">
        <v>133</v>
      </c>
      <c r="F322" t="s">
        <v>1061</v>
      </c>
      <c r="G322" t="s">
        <v>14</v>
      </c>
      <c r="H322" t="s">
        <v>287</v>
      </c>
      <c r="I322" t="s">
        <v>968</v>
      </c>
    </row>
    <row r="323" spans="1:9" x14ac:dyDescent="0.35">
      <c r="A323" t="s">
        <v>946</v>
      </c>
      <c r="B323" t="s">
        <v>601</v>
      </c>
      <c r="C323" t="s">
        <v>43</v>
      </c>
      <c r="D323">
        <v>2079</v>
      </c>
      <c r="E323" t="s">
        <v>1146</v>
      </c>
      <c r="F323" t="s">
        <v>287</v>
      </c>
      <c r="G323" t="s">
        <v>15</v>
      </c>
      <c r="H323" t="s">
        <v>287</v>
      </c>
      <c r="I323" t="s">
        <v>968</v>
      </c>
    </row>
    <row r="324" spans="1:9" x14ac:dyDescent="0.35">
      <c r="A324" t="s">
        <v>953</v>
      </c>
      <c r="B324" t="s">
        <v>728</v>
      </c>
      <c r="C324" t="s">
        <v>43</v>
      </c>
      <c r="H324" t="s">
        <v>287</v>
      </c>
      <c r="I324" t="s">
        <v>968</v>
      </c>
    </row>
    <row r="325" spans="1:9" x14ac:dyDescent="0.35">
      <c r="A325" t="s">
        <v>953</v>
      </c>
      <c r="B325" t="s">
        <v>763</v>
      </c>
      <c r="C325" t="s">
        <v>43</v>
      </c>
      <c r="D325" s="186"/>
      <c r="H325" t="s">
        <v>287</v>
      </c>
      <c r="I325" t="s">
        <v>968</v>
      </c>
    </row>
    <row r="326" spans="1:9" x14ac:dyDescent="0.35">
      <c r="A326" t="s">
        <v>953</v>
      </c>
      <c r="B326" t="s">
        <v>794</v>
      </c>
      <c r="C326" t="s">
        <v>43</v>
      </c>
      <c r="H326" t="s">
        <v>287</v>
      </c>
      <c r="I326" t="s">
        <v>968</v>
      </c>
    </row>
    <row r="327" spans="1:9" x14ac:dyDescent="0.35">
      <c r="A327" t="s">
        <v>946</v>
      </c>
      <c r="B327" t="s">
        <v>600</v>
      </c>
      <c r="C327" t="s">
        <v>125</v>
      </c>
      <c r="D327" s="186">
        <v>1188</v>
      </c>
      <c r="E327">
        <v>157</v>
      </c>
      <c r="F327" t="s">
        <v>1145</v>
      </c>
      <c r="H327" t="s">
        <v>1667</v>
      </c>
      <c r="I327" t="s">
        <v>968</v>
      </c>
    </row>
    <row r="328" spans="1:9" x14ac:dyDescent="0.35">
      <c r="A328" t="s">
        <v>946</v>
      </c>
      <c r="B328" t="s">
        <v>602</v>
      </c>
      <c r="C328" t="s">
        <v>43</v>
      </c>
      <c r="D328">
        <v>2096</v>
      </c>
      <c r="E328" t="s">
        <v>1180</v>
      </c>
      <c r="F328" t="s">
        <v>1179</v>
      </c>
      <c r="G328" t="s">
        <v>15</v>
      </c>
      <c r="H328" t="s">
        <v>1666</v>
      </c>
      <c r="I328" t="s">
        <v>968</v>
      </c>
    </row>
    <row r="329" spans="1:9" x14ac:dyDescent="0.35">
      <c r="A329" t="s">
        <v>946</v>
      </c>
      <c r="B329" t="s">
        <v>862</v>
      </c>
      <c r="C329" t="s">
        <v>56</v>
      </c>
      <c r="D329">
        <v>1070</v>
      </c>
      <c r="E329">
        <v>32</v>
      </c>
      <c r="F329" t="s">
        <v>1093</v>
      </c>
      <c r="G329" t="s">
        <v>335</v>
      </c>
      <c r="H329" t="s">
        <v>278</v>
      </c>
      <c r="I329" t="s">
        <v>279</v>
      </c>
    </row>
    <row r="330" spans="1:9" x14ac:dyDescent="0.35">
      <c r="A330" t="s">
        <v>953</v>
      </c>
      <c r="B330" t="s">
        <v>828</v>
      </c>
      <c r="C330" t="s">
        <v>652</v>
      </c>
      <c r="G330" t="s">
        <v>335</v>
      </c>
      <c r="H330" t="s">
        <v>278</v>
      </c>
      <c r="I330" t="s">
        <v>279</v>
      </c>
    </row>
    <row r="331" spans="1:9" x14ac:dyDescent="0.35">
      <c r="A331" t="s">
        <v>946</v>
      </c>
      <c r="B331" t="s">
        <v>861</v>
      </c>
      <c r="C331" t="s">
        <v>74</v>
      </c>
      <c r="D331">
        <v>1069</v>
      </c>
      <c r="E331">
        <v>31</v>
      </c>
      <c r="F331" t="s">
        <v>1094</v>
      </c>
      <c r="G331" t="s">
        <v>335</v>
      </c>
      <c r="H331" t="s">
        <v>277</v>
      </c>
      <c r="I331" t="s">
        <v>279</v>
      </c>
    </row>
    <row r="332" spans="1:9" x14ac:dyDescent="0.35">
      <c r="A332" t="s">
        <v>953</v>
      </c>
      <c r="B332" t="s">
        <v>785</v>
      </c>
      <c r="C332" t="s">
        <v>641</v>
      </c>
      <c r="G332" t="s">
        <v>335</v>
      </c>
      <c r="H332" t="s">
        <v>277</v>
      </c>
      <c r="I332" t="s">
        <v>279</v>
      </c>
    </row>
    <row r="333" spans="1:9" x14ac:dyDescent="0.35">
      <c r="A333" t="s">
        <v>946</v>
      </c>
      <c r="B333" t="s">
        <v>528</v>
      </c>
      <c r="C333" t="s">
        <v>54</v>
      </c>
      <c r="G333" t="s">
        <v>14</v>
      </c>
      <c r="H333" t="s">
        <v>54</v>
      </c>
      <c r="I333" t="s">
        <v>53</v>
      </c>
    </row>
    <row r="334" spans="1:9" x14ac:dyDescent="0.35">
      <c r="A334" t="s">
        <v>946</v>
      </c>
      <c r="B334" t="s">
        <v>855</v>
      </c>
      <c r="C334" t="s">
        <v>234</v>
      </c>
      <c r="D334">
        <v>2085</v>
      </c>
      <c r="E334" t="s">
        <v>1418</v>
      </c>
      <c r="F334" t="s">
        <v>1419</v>
      </c>
      <c r="G334" t="s">
        <v>14</v>
      </c>
      <c r="H334" t="s">
        <v>234</v>
      </c>
      <c r="I334" t="s">
        <v>57</v>
      </c>
    </row>
    <row r="335" spans="1:9" x14ac:dyDescent="0.35">
      <c r="A335" t="s">
        <v>946</v>
      </c>
      <c r="B335" t="s">
        <v>856</v>
      </c>
      <c r="C335" t="s">
        <v>153</v>
      </c>
      <c r="D335">
        <v>1042</v>
      </c>
      <c r="E335">
        <v>21</v>
      </c>
      <c r="F335" t="s">
        <v>1748</v>
      </c>
      <c r="G335" t="s">
        <v>14</v>
      </c>
      <c r="H335" t="s">
        <v>234</v>
      </c>
      <c r="I335" t="s">
        <v>57</v>
      </c>
    </row>
    <row r="336" spans="1:9" x14ac:dyDescent="0.35">
      <c r="A336" t="s">
        <v>946</v>
      </c>
      <c r="B336" t="s">
        <v>368</v>
      </c>
      <c r="C336" t="s">
        <v>122</v>
      </c>
      <c r="G336" t="s">
        <v>15</v>
      </c>
      <c r="H336" t="s">
        <v>234</v>
      </c>
      <c r="I336" t="s">
        <v>57</v>
      </c>
    </row>
    <row r="337" spans="1:9" x14ac:dyDescent="0.35">
      <c r="A337" t="s">
        <v>953</v>
      </c>
      <c r="B337" t="s">
        <v>841</v>
      </c>
      <c r="C337" t="s">
        <v>234</v>
      </c>
      <c r="H337" t="s">
        <v>234</v>
      </c>
      <c r="I337" t="s">
        <v>57</v>
      </c>
    </row>
    <row r="338" spans="1:9" x14ac:dyDescent="0.35">
      <c r="A338" t="s">
        <v>953</v>
      </c>
      <c r="B338" t="s">
        <v>731</v>
      </c>
      <c r="C338" t="s">
        <v>122</v>
      </c>
      <c r="H338" t="s">
        <v>234</v>
      </c>
      <c r="I338" t="s">
        <v>57</v>
      </c>
    </row>
    <row r="339" spans="1:9" x14ac:dyDescent="0.35">
      <c r="A339" t="s">
        <v>953</v>
      </c>
      <c r="B339" t="s">
        <v>764</v>
      </c>
      <c r="C339" t="s">
        <v>636</v>
      </c>
      <c r="H339" t="s">
        <v>234</v>
      </c>
      <c r="I339" t="s">
        <v>57</v>
      </c>
    </row>
    <row r="340" spans="1:9" x14ac:dyDescent="0.35">
      <c r="A340" t="s">
        <v>946</v>
      </c>
      <c r="B340" t="s">
        <v>529</v>
      </c>
      <c r="C340" t="s">
        <v>194</v>
      </c>
      <c r="D340" s="42"/>
      <c r="G340" t="s">
        <v>14</v>
      </c>
      <c r="H340" t="s">
        <v>194</v>
      </c>
      <c r="I340" t="s">
        <v>53</v>
      </c>
    </row>
    <row r="341" spans="1:9" x14ac:dyDescent="0.35">
      <c r="A341" t="s">
        <v>946</v>
      </c>
      <c r="B341" t="s">
        <v>531</v>
      </c>
      <c r="C341" t="s">
        <v>55</v>
      </c>
      <c r="D341" s="42">
        <v>1060</v>
      </c>
      <c r="E341">
        <v>138</v>
      </c>
      <c r="F341" t="s">
        <v>1079</v>
      </c>
      <c r="G341" t="s">
        <v>335</v>
      </c>
      <c r="H341" t="s">
        <v>893</v>
      </c>
      <c r="I341" t="s">
        <v>276</v>
      </c>
    </row>
    <row r="342" spans="1:9" x14ac:dyDescent="0.35">
      <c r="A342" t="s">
        <v>953</v>
      </c>
      <c r="B342" t="s">
        <v>809</v>
      </c>
      <c r="C342" t="s">
        <v>55</v>
      </c>
      <c r="G342" t="s">
        <v>335</v>
      </c>
      <c r="H342" t="s">
        <v>893</v>
      </c>
      <c r="I342" t="s">
        <v>276</v>
      </c>
    </row>
    <row r="343" spans="1:9" x14ac:dyDescent="0.35">
      <c r="A343" t="s">
        <v>946</v>
      </c>
      <c r="B343" t="s">
        <v>532</v>
      </c>
      <c r="C343" t="s">
        <v>63</v>
      </c>
      <c r="D343">
        <v>1059</v>
      </c>
      <c r="E343">
        <v>137</v>
      </c>
      <c r="F343" t="s">
        <v>1080</v>
      </c>
      <c r="G343" t="s">
        <v>335</v>
      </c>
      <c r="H343" t="s">
        <v>894</v>
      </c>
      <c r="I343" t="s">
        <v>276</v>
      </c>
    </row>
    <row r="344" spans="1:9" x14ac:dyDescent="0.35">
      <c r="A344" t="s">
        <v>953</v>
      </c>
      <c r="B344" t="s">
        <v>827</v>
      </c>
      <c r="C344" t="s">
        <v>63</v>
      </c>
      <c r="G344" t="s">
        <v>335</v>
      </c>
      <c r="H344" t="s">
        <v>894</v>
      </c>
      <c r="I344" t="s">
        <v>276</v>
      </c>
    </row>
    <row r="345" spans="1:9" x14ac:dyDescent="0.35">
      <c r="A345" t="s">
        <v>946</v>
      </c>
      <c r="B345" t="s">
        <v>870</v>
      </c>
      <c r="C345" t="s">
        <v>78</v>
      </c>
      <c r="G345" t="s">
        <v>14</v>
      </c>
      <c r="H345" t="s">
        <v>216</v>
      </c>
      <c r="I345" t="s">
        <v>57</v>
      </c>
    </row>
    <row r="346" spans="1:9" x14ac:dyDescent="0.35">
      <c r="A346" t="s">
        <v>953</v>
      </c>
      <c r="B346" t="s">
        <v>761</v>
      </c>
      <c r="C346" t="s">
        <v>216</v>
      </c>
      <c r="H346" t="s">
        <v>216</v>
      </c>
      <c r="I346" t="s">
        <v>57</v>
      </c>
    </row>
    <row r="347" spans="1:9" x14ac:dyDescent="0.35">
      <c r="A347" t="s">
        <v>953</v>
      </c>
      <c r="B347" t="s">
        <v>826</v>
      </c>
      <c r="C347" t="s">
        <v>651</v>
      </c>
      <c r="H347" t="s">
        <v>216</v>
      </c>
      <c r="I347" t="s">
        <v>57</v>
      </c>
    </row>
    <row r="348" spans="1:9" x14ac:dyDescent="0.35">
      <c r="A348" t="s">
        <v>946</v>
      </c>
      <c r="B348" t="s">
        <v>539</v>
      </c>
      <c r="C348" t="s">
        <v>102</v>
      </c>
      <c r="D348" s="186">
        <v>2105</v>
      </c>
      <c r="E348" t="s">
        <v>1192</v>
      </c>
      <c r="F348" t="s">
        <v>1191</v>
      </c>
      <c r="G348" t="s">
        <v>941</v>
      </c>
      <c r="H348" t="s">
        <v>331</v>
      </c>
      <c r="I348" t="s">
        <v>330</v>
      </c>
    </row>
    <row r="349" spans="1:9" x14ac:dyDescent="0.35">
      <c r="A349" t="s">
        <v>946</v>
      </c>
      <c r="B349" t="s">
        <v>540</v>
      </c>
      <c r="C349" t="s">
        <v>84</v>
      </c>
      <c r="D349">
        <v>1223</v>
      </c>
      <c r="E349">
        <v>226</v>
      </c>
      <c r="F349" t="s">
        <v>1062</v>
      </c>
      <c r="G349" t="s">
        <v>14</v>
      </c>
      <c r="H349" t="s">
        <v>314</v>
      </c>
      <c r="I349" t="s">
        <v>314</v>
      </c>
    </row>
    <row r="350" spans="1:9" x14ac:dyDescent="0.35">
      <c r="A350" t="s">
        <v>953</v>
      </c>
      <c r="B350" t="s">
        <v>680</v>
      </c>
      <c r="C350" t="s">
        <v>84</v>
      </c>
      <c r="D350" s="186"/>
      <c r="G350" t="s">
        <v>14</v>
      </c>
      <c r="H350" t="s">
        <v>314</v>
      </c>
      <c r="I350" t="s">
        <v>314</v>
      </c>
    </row>
    <row r="351" spans="1:9" x14ac:dyDescent="0.35">
      <c r="A351" t="s">
        <v>946</v>
      </c>
      <c r="B351" t="s">
        <v>374</v>
      </c>
      <c r="C351" t="s">
        <v>70</v>
      </c>
      <c r="D351">
        <v>2100</v>
      </c>
      <c r="E351" t="s">
        <v>1184</v>
      </c>
      <c r="F351" t="s">
        <v>1183</v>
      </c>
      <c r="G351" t="s">
        <v>15</v>
      </c>
      <c r="H351" t="s">
        <v>340</v>
      </c>
      <c r="I351" t="s">
        <v>337</v>
      </c>
    </row>
    <row r="352" spans="1:9" x14ac:dyDescent="0.35">
      <c r="A352" t="s">
        <v>946</v>
      </c>
      <c r="B352" t="s">
        <v>413</v>
      </c>
      <c r="C352" t="s">
        <v>71</v>
      </c>
      <c r="D352">
        <v>2106</v>
      </c>
      <c r="E352" t="s">
        <v>1188</v>
      </c>
      <c r="F352" t="s">
        <v>1187</v>
      </c>
      <c r="G352" t="s">
        <v>15</v>
      </c>
      <c r="H352" t="s">
        <v>340</v>
      </c>
      <c r="I352" t="s">
        <v>337</v>
      </c>
    </row>
    <row r="353" spans="1:9" x14ac:dyDescent="0.35">
      <c r="A353" t="s">
        <v>953</v>
      </c>
      <c r="B353" t="s">
        <v>730</v>
      </c>
      <c r="C353" t="s">
        <v>620</v>
      </c>
      <c r="G353" t="s">
        <v>15</v>
      </c>
      <c r="H353" t="s">
        <v>340</v>
      </c>
      <c r="I353" t="s">
        <v>337</v>
      </c>
    </row>
    <row r="354" spans="1:9" x14ac:dyDescent="0.35">
      <c r="A354" t="s">
        <v>953</v>
      </c>
      <c r="B354" t="s">
        <v>708</v>
      </c>
      <c r="C354" t="s">
        <v>620</v>
      </c>
      <c r="G354" t="s">
        <v>15</v>
      </c>
      <c r="H354" t="s">
        <v>340</v>
      </c>
      <c r="I354" t="s">
        <v>337</v>
      </c>
    </row>
    <row r="355" spans="1:9" x14ac:dyDescent="0.35">
      <c r="A355" t="s">
        <v>946</v>
      </c>
      <c r="B355" t="s">
        <v>545</v>
      </c>
      <c r="C355" t="s">
        <v>116</v>
      </c>
      <c r="G355" t="s">
        <v>15</v>
      </c>
      <c r="H355" t="s">
        <v>340</v>
      </c>
      <c r="I355" t="s">
        <v>337</v>
      </c>
    </row>
    <row r="356" spans="1:9" x14ac:dyDescent="0.35">
      <c r="A356" t="s">
        <v>946</v>
      </c>
      <c r="B356" t="s">
        <v>546</v>
      </c>
      <c r="C356" t="s">
        <v>82</v>
      </c>
      <c r="D356" s="186"/>
      <c r="G356" t="s">
        <v>15</v>
      </c>
      <c r="H356" t="s">
        <v>340</v>
      </c>
      <c r="I356" t="s">
        <v>337</v>
      </c>
    </row>
    <row r="357" spans="1:9" x14ac:dyDescent="0.35">
      <c r="A357" t="s">
        <v>953</v>
      </c>
      <c r="B357" t="s">
        <v>673</v>
      </c>
      <c r="C357" t="s">
        <v>611</v>
      </c>
      <c r="D357" s="186"/>
      <c r="G357" t="s">
        <v>15</v>
      </c>
      <c r="H357" t="s">
        <v>340</v>
      </c>
      <c r="I357" t="s">
        <v>337</v>
      </c>
    </row>
    <row r="358" spans="1:9" x14ac:dyDescent="0.35">
      <c r="A358" t="s">
        <v>953</v>
      </c>
      <c r="B358" t="s">
        <v>726</v>
      </c>
      <c r="C358" t="s">
        <v>625</v>
      </c>
      <c r="G358" t="s">
        <v>15</v>
      </c>
      <c r="H358" t="s">
        <v>340</v>
      </c>
      <c r="I358" t="s">
        <v>337</v>
      </c>
    </row>
    <row r="359" spans="1:9" x14ac:dyDescent="0.35">
      <c r="A359" t="s">
        <v>946</v>
      </c>
      <c r="B359" t="s">
        <v>549</v>
      </c>
      <c r="C359" t="s">
        <v>141</v>
      </c>
      <c r="D359">
        <v>2101</v>
      </c>
      <c r="E359" t="s">
        <v>1186</v>
      </c>
      <c r="F359" t="s">
        <v>1185</v>
      </c>
      <c r="G359" t="s">
        <v>15</v>
      </c>
      <c r="H359" t="s">
        <v>341</v>
      </c>
      <c r="I359" t="s">
        <v>337</v>
      </c>
    </row>
    <row r="360" spans="1:9" x14ac:dyDescent="0.35">
      <c r="A360" t="s">
        <v>946</v>
      </c>
      <c r="B360" t="s">
        <v>550</v>
      </c>
      <c r="C360" t="s">
        <v>105</v>
      </c>
      <c r="D360">
        <v>2107</v>
      </c>
      <c r="E360" t="s">
        <v>1190</v>
      </c>
      <c r="F360" t="s">
        <v>1189</v>
      </c>
      <c r="G360" t="s">
        <v>15</v>
      </c>
      <c r="H360" t="s">
        <v>341</v>
      </c>
      <c r="I360" t="s">
        <v>337</v>
      </c>
    </row>
    <row r="361" spans="1:9" x14ac:dyDescent="0.35">
      <c r="A361" t="s">
        <v>953</v>
      </c>
      <c r="B361" t="s">
        <v>775</v>
      </c>
      <c r="C361" t="s">
        <v>622</v>
      </c>
      <c r="G361" t="s">
        <v>15</v>
      </c>
      <c r="H361" t="s">
        <v>341</v>
      </c>
      <c r="I361" t="s">
        <v>337</v>
      </c>
    </row>
    <row r="362" spans="1:9" x14ac:dyDescent="0.35">
      <c r="A362" t="s">
        <v>953</v>
      </c>
      <c r="B362" t="s">
        <v>716</v>
      </c>
      <c r="C362" t="s">
        <v>622</v>
      </c>
      <c r="G362" t="s">
        <v>15</v>
      </c>
      <c r="H362" t="s">
        <v>341</v>
      </c>
      <c r="I362" t="s">
        <v>337</v>
      </c>
    </row>
    <row r="363" spans="1:9" x14ac:dyDescent="0.35">
      <c r="A363" t="s">
        <v>946</v>
      </c>
      <c r="B363" t="s">
        <v>547</v>
      </c>
      <c r="C363" t="s">
        <v>158</v>
      </c>
      <c r="G363" t="s">
        <v>15</v>
      </c>
      <c r="H363" t="s">
        <v>341</v>
      </c>
      <c r="I363" t="s">
        <v>337</v>
      </c>
    </row>
    <row r="364" spans="1:9" x14ac:dyDescent="0.35">
      <c r="A364" t="s">
        <v>946</v>
      </c>
      <c r="B364" t="s">
        <v>548</v>
      </c>
      <c r="C364" t="s">
        <v>261</v>
      </c>
      <c r="G364" t="s">
        <v>15</v>
      </c>
      <c r="H364" t="s">
        <v>341</v>
      </c>
      <c r="I364" t="s">
        <v>337</v>
      </c>
    </row>
    <row r="365" spans="1:9" x14ac:dyDescent="0.35">
      <c r="A365" t="s">
        <v>953</v>
      </c>
      <c r="B365" t="s">
        <v>807</v>
      </c>
      <c r="C365" t="s">
        <v>648</v>
      </c>
      <c r="G365" t="s">
        <v>15</v>
      </c>
      <c r="H365" t="s">
        <v>341</v>
      </c>
      <c r="I365" t="s">
        <v>337</v>
      </c>
    </row>
    <row r="366" spans="1:9" x14ac:dyDescent="0.35">
      <c r="A366" t="s">
        <v>953</v>
      </c>
      <c r="B366" t="s">
        <v>844</v>
      </c>
      <c r="C366" t="s">
        <v>657</v>
      </c>
      <c r="G366" t="s">
        <v>15</v>
      </c>
      <c r="H366" t="s">
        <v>341</v>
      </c>
      <c r="I366" t="s">
        <v>337</v>
      </c>
    </row>
    <row r="367" spans="1:9" x14ac:dyDescent="0.35">
      <c r="A367" t="s">
        <v>946</v>
      </c>
      <c r="B367" t="s">
        <v>349</v>
      </c>
      <c r="C367" t="s">
        <v>30</v>
      </c>
      <c r="D367">
        <v>1073</v>
      </c>
      <c r="E367">
        <v>42</v>
      </c>
      <c r="F367" t="s">
        <v>1063</v>
      </c>
      <c r="G367" t="s">
        <v>14</v>
      </c>
      <c r="H367" t="s">
        <v>338</v>
      </c>
      <c r="I367" t="s">
        <v>337</v>
      </c>
    </row>
    <row r="368" spans="1:9" x14ac:dyDescent="0.35">
      <c r="A368" t="s">
        <v>953</v>
      </c>
      <c r="B368" t="s">
        <v>822</v>
      </c>
      <c r="C368" t="s">
        <v>30</v>
      </c>
      <c r="D368">
        <v>1074</v>
      </c>
      <c r="E368" t="s">
        <v>1279</v>
      </c>
      <c r="F368" t="s">
        <v>1280</v>
      </c>
      <c r="G368" t="s">
        <v>14</v>
      </c>
      <c r="H368" t="s">
        <v>338</v>
      </c>
      <c r="I368" t="s">
        <v>337</v>
      </c>
    </row>
    <row r="369" spans="1:9" x14ac:dyDescent="0.35">
      <c r="A369" t="s">
        <v>946</v>
      </c>
      <c r="B369" t="s">
        <v>553</v>
      </c>
      <c r="C369" t="s">
        <v>135</v>
      </c>
      <c r="D369">
        <v>2122</v>
      </c>
      <c r="E369" t="s">
        <v>1214</v>
      </c>
      <c r="F369" t="s">
        <v>1213</v>
      </c>
      <c r="G369" t="s">
        <v>15</v>
      </c>
      <c r="H369" t="s">
        <v>343</v>
      </c>
      <c r="I369" t="s">
        <v>337</v>
      </c>
    </row>
    <row r="370" spans="1:9" x14ac:dyDescent="0.35">
      <c r="A370" t="s">
        <v>946</v>
      </c>
      <c r="B370" t="s">
        <v>554</v>
      </c>
      <c r="C370" t="s">
        <v>241</v>
      </c>
      <c r="D370">
        <v>2133</v>
      </c>
      <c r="E370" t="s">
        <v>1218</v>
      </c>
      <c r="F370" t="s">
        <v>1217</v>
      </c>
      <c r="G370" t="s">
        <v>15</v>
      </c>
      <c r="H370" t="s">
        <v>343</v>
      </c>
      <c r="I370" t="s">
        <v>337</v>
      </c>
    </row>
    <row r="371" spans="1:9" x14ac:dyDescent="0.35">
      <c r="A371" t="s">
        <v>946</v>
      </c>
      <c r="B371" t="s">
        <v>551</v>
      </c>
      <c r="C371" t="s">
        <v>265</v>
      </c>
      <c r="G371" t="s">
        <v>15</v>
      </c>
      <c r="H371" t="s">
        <v>343</v>
      </c>
      <c r="I371" t="s">
        <v>337</v>
      </c>
    </row>
    <row r="372" spans="1:9" x14ac:dyDescent="0.35">
      <c r="A372" t="s">
        <v>946</v>
      </c>
      <c r="B372" t="s">
        <v>552</v>
      </c>
      <c r="C372" t="s">
        <v>179</v>
      </c>
      <c r="G372" t="s">
        <v>15</v>
      </c>
      <c r="H372" t="s">
        <v>343</v>
      </c>
      <c r="I372" t="s">
        <v>337</v>
      </c>
    </row>
    <row r="373" spans="1:9" x14ac:dyDescent="0.35">
      <c r="A373" t="s">
        <v>953</v>
      </c>
      <c r="B373" t="s">
        <v>802</v>
      </c>
      <c r="C373" t="s">
        <v>614</v>
      </c>
      <c r="H373" t="s">
        <v>343</v>
      </c>
      <c r="I373" t="s">
        <v>337</v>
      </c>
    </row>
    <row r="374" spans="1:9" x14ac:dyDescent="0.35">
      <c r="A374" t="s">
        <v>953</v>
      </c>
      <c r="B374" t="s">
        <v>679</v>
      </c>
      <c r="C374" t="s">
        <v>614</v>
      </c>
      <c r="H374" t="s">
        <v>343</v>
      </c>
      <c r="I374" t="s">
        <v>337</v>
      </c>
    </row>
    <row r="375" spans="1:9" x14ac:dyDescent="0.35">
      <c r="A375" t="s">
        <v>953</v>
      </c>
      <c r="B375" t="s">
        <v>661</v>
      </c>
      <c r="C375" t="s">
        <v>605</v>
      </c>
      <c r="H375" t="s">
        <v>343</v>
      </c>
      <c r="I375" t="s">
        <v>337</v>
      </c>
    </row>
    <row r="376" spans="1:9" x14ac:dyDescent="0.35">
      <c r="A376" t="s">
        <v>953</v>
      </c>
      <c r="B376" t="s">
        <v>803</v>
      </c>
      <c r="C376" t="s">
        <v>646</v>
      </c>
      <c r="D376" s="186"/>
      <c r="H376" t="s">
        <v>343</v>
      </c>
      <c r="I376" t="s">
        <v>337</v>
      </c>
    </row>
    <row r="377" spans="1:9" x14ac:dyDescent="0.35">
      <c r="A377" t="s">
        <v>946</v>
      </c>
      <c r="B377" t="s">
        <v>557</v>
      </c>
      <c r="C377" t="s">
        <v>207</v>
      </c>
      <c r="D377">
        <v>2123</v>
      </c>
      <c r="E377" t="s">
        <v>1216</v>
      </c>
      <c r="F377" t="s">
        <v>1215</v>
      </c>
      <c r="G377" t="s">
        <v>15</v>
      </c>
      <c r="H377" t="s">
        <v>344</v>
      </c>
      <c r="I377" t="s">
        <v>337</v>
      </c>
    </row>
    <row r="378" spans="1:9" x14ac:dyDescent="0.35">
      <c r="A378" t="s">
        <v>946</v>
      </c>
      <c r="B378" t="s">
        <v>558</v>
      </c>
      <c r="C378" t="s">
        <v>252</v>
      </c>
      <c r="D378">
        <v>2134</v>
      </c>
      <c r="E378" t="s">
        <v>1220</v>
      </c>
      <c r="F378" t="s">
        <v>1219</v>
      </c>
      <c r="G378" t="s">
        <v>15</v>
      </c>
      <c r="H378" t="s">
        <v>344</v>
      </c>
      <c r="I378" t="s">
        <v>337</v>
      </c>
    </row>
    <row r="379" spans="1:9" x14ac:dyDescent="0.35">
      <c r="A379" t="s">
        <v>946</v>
      </c>
      <c r="B379" t="s">
        <v>555</v>
      </c>
      <c r="C379" t="s">
        <v>124</v>
      </c>
      <c r="G379" t="s">
        <v>15</v>
      </c>
      <c r="H379" t="s">
        <v>344</v>
      </c>
      <c r="I379" t="s">
        <v>337</v>
      </c>
    </row>
    <row r="380" spans="1:9" x14ac:dyDescent="0.35">
      <c r="A380" t="s">
        <v>946</v>
      </c>
      <c r="B380" t="s">
        <v>556</v>
      </c>
      <c r="C380" t="s">
        <v>236</v>
      </c>
      <c r="G380" t="s">
        <v>15</v>
      </c>
      <c r="H380" t="s">
        <v>344</v>
      </c>
      <c r="I380" t="s">
        <v>337</v>
      </c>
    </row>
    <row r="381" spans="1:9" x14ac:dyDescent="0.35">
      <c r="A381" t="s">
        <v>953</v>
      </c>
      <c r="B381" t="s">
        <v>722</v>
      </c>
      <c r="C381" t="s">
        <v>623</v>
      </c>
      <c r="H381" t="s">
        <v>344</v>
      </c>
      <c r="I381" t="s">
        <v>337</v>
      </c>
    </row>
    <row r="382" spans="1:9" x14ac:dyDescent="0.35">
      <c r="A382" t="s">
        <v>953</v>
      </c>
      <c r="B382" t="s">
        <v>804</v>
      </c>
      <c r="C382" t="s">
        <v>623</v>
      </c>
      <c r="H382" t="s">
        <v>344</v>
      </c>
      <c r="I382" t="s">
        <v>337</v>
      </c>
    </row>
    <row r="383" spans="1:9" x14ac:dyDescent="0.35">
      <c r="A383" t="s">
        <v>953</v>
      </c>
      <c r="B383" t="s">
        <v>781</v>
      </c>
      <c r="C383" t="s">
        <v>639</v>
      </c>
      <c r="H383" t="s">
        <v>344</v>
      </c>
      <c r="I383" t="s">
        <v>337</v>
      </c>
    </row>
    <row r="384" spans="1:9" x14ac:dyDescent="0.35">
      <c r="A384" t="s">
        <v>953</v>
      </c>
      <c r="B384" t="s">
        <v>753</v>
      </c>
      <c r="C384" t="s">
        <v>634</v>
      </c>
      <c r="H384" t="s">
        <v>344</v>
      </c>
      <c r="I384" t="s">
        <v>337</v>
      </c>
    </row>
    <row r="385" spans="1:9" x14ac:dyDescent="0.35">
      <c r="A385" t="s">
        <v>946</v>
      </c>
      <c r="B385" t="s">
        <v>865</v>
      </c>
      <c r="C385" t="s">
        <v>217</v>
      </c>
      <c r="G385" t="s">
        <v>14</v>
      </c>
      <c r="H385" t="s">
        <v>217</v>
      </c>
      <c r="I385" t="s">
        <v>217</v>
      </c>
    </row>
    <row r="386" spans="1:9" x14ac:dyDescent="0.35">
      <c r="A386" t="s">
        <v>953</v>
      </c>
      <c r="B386" t="s">
        <v>980</v>
      </c>
      <c r="C386" t="s">
        <v>981</v>
      </c>
      <c r="G386" t="s">
        <v>14</v>
      </c>
      <c r="H386" t="s">
        <v>982</v>
      </c>
      <c r="I386" t="s">
        <v>850</v>
      </c>
    </row>
    <row r="387" spans="1:9" x14ac:dyDescent="0.35">
      <c r="A387" t="s">
        <v>953</v>
      </c>
      <c r="B387" t="s">
        <v>983</v>
      </c>
      <c r="C387" t="s">
        <v>984</v>
      </c>
      <c r="G387" t="s">
        <v>14</v>
      </c>
      <c r="H387" t="s">
        <v>985</v>
      </c>
      <c r="I387" t="s">
        <v>850</v>
      </c>
    </row>
    <row r="388" spans="1:9" x14ac:dyDescent="0.35">
      <c r="A388" t="s">
        <v>953</v>
      </c>
      <c r="B388" t="s">
        <v>986</v>
      </c>
      <c r="C388" t="s">
        <v>987</v>
      </c>
      <c r="D388" s="42">
        <v>1265</v>
      </c>
      <c r="E388" t="s">
        <v>1306</v>
      </c>
      <c r="F388" t="s">
        <v>987</v>
      </c>
      <c r="G388" t="s">
        <v>14</v>
      </c>
      <c r="H388" t="s">
        <v>956</v>
      </c>
      <c r="I388" t="s">
        <v>850</v>
      </c>
    </row>
    <row r="389" spans="1:9" x14ac:dyDescent="0.35">
      <c r="A389" t="s">
        <v>953</v>
      </c>
      <c r="B389" t="s">
        <v>417</v>
      </c>
      <c r="C389" t="s">
        <v>988</v>
      </c>
      <c r="D389">
        <v>1012</v>
      </c>
      <c r="E389" t="s">
        <v>1307</v>
      </c>
      <c r="F389" t="s">
        <v>988</v>
      </c>
      <c r="G389" t="s">
        <v>14</v>
      </c>
      <c r="H389" t="s">
        <v>957</v>
      </c>
      <c r="I389" t="s">
        <v>850</v>
      </c>
    </row>
    <row r="390" spans="1:9" x14ac:dyDescent="0.35">
      <c r="A390" t="s">
        <v>953</v>
      </c>
      <c r="B390" t="s">
        <v>989</v>
      </c>
      <c r="C390" t="s">
        <v>990</v>
      </c>
      <c r="D390">
        <v>1267</v>
      </c>
      <c r="E390" t="s">
        <v>1308</v>
      </c>
      <c r="F390" t="s">
        <v>990</v>
      </c>
      <c r="G390" t="s">
        <v>14</v>
      </c>
      <c r="H390" t="s">
        <v>958</v>
      </c>
      <c r="I390" t="s">
        <v>850</v>
      </c>
    </row>
    <row r="391" spans="1:9" x14ac:dyDescent="0.35">
      <c r="A391" t="s">
        <v>953</v>
      </c>
      <c r="B391" t="s">
        <v>991</v>
      </c>
      <c r="C391" t="s">
        <v>992</v>
      </c>
      <c r="G391" t="s">
        <v>14</v>
      </c>
      <c r="H391" t="s">
        <v>993</v>
      </c>
      <c r="I391" t="s">
        <v>850</v>
      </c>
    </row>
    <row r="392" spans="1:9" x14ac:dyDescent="0.35">
      <c r="A392" t="s">
        <v>953</v>
      </c>
      <c r="B392" t="s">
        <v>994</v>
      </c>
      <c r="C392" t="s">
        <v>995</v>
      </c>
      <c r="G392" t="s">
        <v>14</v>
      </c>
      <c r="H392" t="s">
        <v>996</v>
      </c>
      <c r="I392" t="s">
        <v>850</v>
      </c>
    </row>
    <row r="393" spans="1:9" x14ac:dyDescent="0.35">
      <c r="A393" t="s">
        <v>953</v>
      </c>
      <c r="B393" t="s">
        <v>997</v>
      </c>
      <c r="C393" t="s">
        <v>998</v>
      </c>
      <c r="D393">
        <v>1264</v>
      </c>
      <c r="E393" t="s">
        <v>1303</v>
      </c>
      <c r="F393" t="s">
        <v>998</v>
      </c>
      <c r="G393" t="s">
        <v>14</v>
      </c>
      <c r="H393" t="s">
        <v>960</v>
      </c>
      <c r="I393" t="s">
        <v>850</v>
      </c>
    </row>
    <row r="394" spans="1:9" x14ac:dyDescent="0.35">
      <c r="A394" t="s">
        <v>953</v>
      </c>
      <c r="B394" t="s">
        <v>677</v>
      </c>
      <c r="C394" t="s">
        <v>999</v>
      </c>
      <c r="D394">
        <v>1011</v>
      </c>
      <c r="E394" t="s">
        <v>1304</v>
      </c>
      <c r="F394" t="s">
        <v>999</v>
      </c>
      <c r="G394" t="s">
        <v>14</v>
      </c>
      <c r="H394" t="s">
        <v>961</v>
      </c>
      <c r="I394" t="s">
        <v>850</v>
      </c>
    </row>
    <row r="395" spans="1:9" x14ac:dyDescent="0.35">
      <c r="A395" t="s">
        <v>953</v>
      </c>
      <c r="B395" t="s">
        <v>1000</v>
      </c>
      <c r="C395" t="s">
        <v>1001</v>
      </c>
      <c r="D395" s="42">
        <v>1266</v>
      </c>
      <c r="E395" t="s">
        <v>1305</v>
      </c>
      <c r="F395" t="s">
        <v>1001</v>
      </c>
      <c r="G395" t="s">
        <v>14</v>
      </c>
      <c r="H395" t="s">
        <v>962</v>
      </c>
      <c r="I395" t="s">
        <v>850</v>
      </c>
    </row>
    <row r="396" spans="1:9" x14ac:dyDescent="0.35">
      <c r="A396" t="s">
        <v>946</v>
      </c>
      <c r="B396" t="s">
        <v>365</v>
      </c>
      <c r="C396" t="s">
        <v>40</v>
      </c>
      <c r="D396">
        <v>1032</v>
      </c>
      <c r="E396">
        <v>128</v>
      </c>
      <c r="F396" t="s">
        <v>1193</v>
      </c>
      <c r="G396" t="s">
        <v>14</v>
      </c>
      <c r="H396" t="s">
        <v>40</v>
      </c>
      <c r="I396" t="s">
        <v>40</v>
      </c>
    </row>
    <row r="397" spans="1:9" x14ac:dyDescent="0.35">
      <c r="A397" t="s">
        <v>953</v>
      </c>
      <c r="B397" t="s">
        <v>784</v>
      </c>
      <c r="C397" t="s">
        <v>40</v>
      </c>
      <c r="D397">
        <v>1259</v>
      </c>
      <c r="E397" t="s">
        <v>1294</v>
      </c>
      <c r="F397" t="s">
        <v>1295</v>
      </c>
      <c r="G397" t="s">
        <v>14</v>
      </c>
      <c r="H397" t="s">
        <v>40</v>
      </c>
      <c r="I397" t="s">
        <v>40</v>
      </c>
    </row>
    <row r="398" spans="1:9" x14ac:dyDescent="0.35">
      <c r="A398" t="s">
        <v>953</v>
      </c>
      <c r="B398" t="s">
        <v>839</v>
      </c>
      <c r="C398" t="s">
        <v>40</v>
      </c>
      <c r="G398" t="s">
        <v>14</v>
      </c>
      <c r="H398" t="s">
        <v>40</v>
      </c>
      <c r="I398" t="s">
        <v>40</v>
      </c>
    </row>
    <row r="399" spans="1:9" x14ac:dyDescent="0.35">
      <c r="A399" t="s">
        <v>953</v>
      </c>
      <c r="B399" t="s">
        <v>808</v>
      </c>
      <c r="C399" t="s">
        <v>209</v>
      </c>
      <c r="G399" t="s">
        <v>14</v>
      </c>
      <c r="H399" t="s">
        <v>40</v>
      </c>
      <c r="I399" t="s">
        <v>40</v>
      </c>
    </row>
    <row r="400" spans="1:9" x14ac:dyDescent="0.35">
      <c r="A400" t="s">
        <v>946</v>
      </c>
      <c r="B400" t="s">
        <v>357</v>
      </c>
      <c r="C400" t="s">
        <v>40</v>
      </c>
      <c r="D400">
        <v>2109</v>
      </c>
      <c r="E400" t="s">
        <v>1028</v>
      </c>
      <c r="F400" t="s">
        <v>1027</v>
      </c>
      <c r="G400" t="s">
        <v>15</v>
      </c>
      <c r="H400" t="s">
        <v>40</v>
      </c>
      <c r="I400" t="s">
        <v>40</v>
      </c>
    </row>
    <row r="401" spans="1:9" x14ac:dyDescent="0.35">
      <c r="A401" t="s">
        <v>946</v>
      </c>
      <c r="B401" t="s">
        <v>559</v>
      </c>
      <c r="C401" t="s">
        <v>209</v>
      </c>
      <c r="H401" t="s">
        <v>40</v>
      </c>
      <c r="I401" t="s">
        <v>40</v>
      </c>
    </row>
    <row r="402" spans="1:9" x14ac:dyDescent="0.35">
      <c r="A402" t="s">
        <v>946</v>
      </c>
      <c r="B402" t="s">
        <v>603</v>
      </c>
      <c r="C402" t="s">
        <v>162</v>
      </c>
      <c r="G402" t="s">
        <v>15</v>
      </c>
      <c r="H402" t="s">
        <v>289</v>
      </c>
      <c r="I402" t="s">
        <v>292</v>
      </c>
    </row>
    <row r="403" spans="1:9" x14ac:dyDescent="0.35">
      <c r="A403" t="s">
        <v>946</v>
      </c>
      <c r="B403" t="s">
        <v>567</v>
      </c>
      <c r="C403" t="s">
        <v>242</v>
      </c>
      <c r="D403">
        <v>2108</v>
      </c>
      <c r="E403" t="s">
        <v>1642</v>
      </c>
      <c r="F403" t="s">
        <v>1643</v>
      </c>
      <c r="G403" t="s">
        <v>941</v>
      </c>
      <c r="H403" t="s">
        <v>333</v>
      </c>
      <c r="I403" t="s">
        <v>333</v>
      </c>
    </row>
    <row r="404" spans="1:9" x14ac:dyDescent="0.35">
      <c r="D404">
        <v>2204</v>
      </c>
      <c r="E404" t="s">
        <v>1148</v>
      </c>
      <c r="F404" t="s">
        <v>1147</v>
      </c>
      <c r="G404" t="s">
        <v>941</v>
      </c>
      <c r="H404" t="s">
        <v>333</v>
      </c>
      <c r="I404" t="s">
        <v>333</v>
      </c>
    </row>
    <row r="405" spans="1:9" x14ac:dyDescent="0.35">
      <c r="A405" t="s">
        <v>946</v>
      </c>
      <c r="B405" t="s">
        <v>857</v>
      </c>
      <c r="C405" t="s">
        <v>251</v>
      </c>
      <c r="D405">
        <v>1044</v>
      </c>
      <c r="E405">
        <v>23</v>
      </c>
      <c r="F405" t="s">
        <v>1749</v>
      </c>
      <c r="H405" t="s">
        <v>852</v>
      </c>
      <c r="I405" t="s">
        <v>852</v>
      </c>
    </row>
    <row r="406" spans="1:9" x14ac:dyDescent="0.35">
      <c r="A406" t="s">
        <v>953</v>
      </c>
      <c r="B406" t="s">
        <v>830</v>
      </c>
      <c r="C406" t="s">
        <v>251</v>
      </c>
      <c r="H406" t="s">
        <v>852</v>
      </c>
      <c r="I406" t="s">
        <v>852</v>
      </c>
    </row>
    <row r="407" spans="1:9" x14ac:dyDescent="0.35">
      <c r="A407" t="s">
        <v>946</v>
      </c>
      <c r="B407" t="s">
        <v>561</v>
      </c>
      <c r="C407" t="s">
        <v>268</v>
      </c>
      <c r="D407">
        <v>1252</v>
      </c>
      <c r="E407">
        <v>259</v>
      </c>
      <c r="F407" t="s">
        <v>1194</v>
      </c>
      <c r="G407" t="s">
        <v>14</v>
      </c>
      <c r="H407" t="s">
        <v>1678</v>
      </c>
      <c r="I407" t="s">
        <v>1680</v>
      </c>
    </row>
    <row r="408" spans="1:9" x14ac:dyDescent="0.35">
      <c r="A408" t="s">
        <v>946</v>
      </c>
      <c r="B408" t="s">
        <v>561</v>
      </c>
      <c r="C408" t="s">
        <v>268</v>
      </c>
      <c r="D408">
        <v>2221</v>
      </c>
      <c r="E408" t="s">
        <v>1195</v>
      </c>
      <c r="F408" t="s">
        <v>1194</v>
      </c>
      <c r="G408" t="s">
        <v>15</v>
      </c>
      <c r="H408" t="s">
        <v>1678</v>
      </c>
      <c r="I408" t="s">
        <v>1680</v>
      </c>
    </row>
    <row r="409" spans="1:9" x14ac:dyDescent="0.35">
      <c r="A409" t="s">
        <v>953</v>
      </c>
      <c r="B409" t="s">
        <v>823</v>
      </c>
      <c r="C409" t="s">
        <v>268</v>
      </c>
      <c r="H409" t="s">
        <v>1678</v>
      </c>
      <c r="I409" t="s">
        <v>1680</v>
      </c>
    </row>
    <row r="410" spans="1:9" x14ac:dyDescent="0.35">
      <c r="A410" t="s">
        <v>946</v>
      </c>
      <c r="B410" t="s">
        <v>420</v>
      </c>
      <c r="C410" t="s">
        <v>127</v>
      </c>
      <c r="D410">
        <v>1253</v>
      </c>
      <c r="E410">
        <v>260</v>
      </c>
      <c r="F410" t="s">
        <v>127</v>
      </c>
      <c r="G410" t="s">
        <v>14</v>
      </c>
      <c r="H410" t="s">
        <v>1679</v>
      </c>
      <c r="I410" t="s">
        <v>1680</v>
      </c>
    </row>
    <row r="411" spans="1:9" x14ac:dyDescent="0.35">
      <c r="A411" t="s">
        <v>946</v>
      </c>
      <c r="B411" t="s">
        <v>420</v>
      </c>
      <c r="C411" t="s">
        <v>127</v>
      </c>
      <c r="D411">
        <v>2222</v>
      </c>
      <c r="E411" t="s">
        <v>1198</v>
      </c>
      <c r="F411" t="s">
        <v>127</v>
      </c>
      <c r="G411" t="s">
        <v>15</v>
      </c>
      <c r="H411" t="s">
        <v>1679</v>
      </c>
      <c r="I411" t="s">
        <v>1680</v>
      </c>
    </row>
    <row r="412" spans="1:9" x14ac:dyDescent="0.35">
      <c r="A412" t="s">
        <v>953</v>
      </c>
      <c r="B412" t="s">
        <v>745</v>
      </c>
      <c r="C412" t="s">
        <v>127</v>
      </c>
      <c r="H412" t="s">
        <v>1679</v>
      </c>
      <c r="I412" t="s">
        <v>1680</v>
      </c>
    </row>
    <row r="413" spans="1:9" x14ac:dyDescent="0.35">
      <c r="A413" t="s">
        <v>946</v>
      </c>
      <c r="B413" t="s">
        <v>563</v>
      </c>
      <c r="C413" t="s">
        <v>262</v>
      </c>
      <c r="D413">
        <v>1251</v>
      </c>
      <c r="E413">
        <v>257</v>
      </c>
      <c r="F413" t="s">
        <v>1199</v>
      </c>
      <c r="G413" t="s">
        <v>14</v>
      </c>
      <c r="H413" t="s">
        <v>1681</v>
      </c>
      <c r="I413" t="s">
        <v>1680</v>
      </c>
    </row>
    <row r="414" spans="1:9" x14ac:dyDescent="0.35">
      <c r="A414" t="s">
        <v>946</v>
      </c>
      <c r="B414" t="s">
        <v>1253</v>
      </c>
      <c r="C414" t="s">
        <v>1254</v>
      </c>
      <c r="D414">
        <v>2226</v>
      </c>
      <c r="E414" t="s">
        <v>1201</v>
      </c>
      <c r="F414" t="s">
        <v>1200</v>
      </c>
      <c r="G414" t="s">
        <v>15</v>
      </c>
      <c r="H414" t="s">
        <v>1681</v>
      </c>
      <c r="I414" t="s">
        <v>1680</v>
      </c>
    </row>
    <row r="415" spans="1:9" x14ac:dyDescent="0.35">
      <c r="A415" t="s">
        <v>946</v>
      </c>
      <c r="B415" t="s">
        <v>563</v>
      </c>
      <c r="C415" t="s">
        <v>262</v>
      </c>
      <c r="G415" t="s">
        <v>15</v>
      </c>
      <c r="H415" t="s">
        <v>1681</v>
      </c>
      <c r="I415" t="s">
        <v>1680</v>
      </c>
    </row>
    <row r="416" spans="1:9" x14ac:dyDescent="0.35">
      <c r="A416" t="s">
        <v>946</v>
      </c>
      <c r="B416" t="s">
        <v>562</v>
      </c>
      <c r="C416" t="s">
        <v>255</v>
      </c>
      <c r="D416">
        <v>1272</v>
      </c>
      <c r="E416">
        <v>278</v>
      </c>
      <c r="F416" t="s">
        <v>1200</v>
      </c>
      <c r="G416" t="s">
        <v>14</v>
      </c>
      <c r="H416" t="s">
        <v>1682</v>
      </c>
      <c r="I416" t="s">
        <v>1680</v>
      </c>
    </row>
    <row r="417" spans="1:9" x14ac:dyDescent="0.35">
      <c r="A417" t="s">
        <v>946</v>
      </c>
      <c r="B417" t="s">
        <v>562</v>
      </c>
      <c r="C417" t="s">
        <v>255</v>
      </c>
      <c r="G417" t="s">
        <v>15</v>
      </c>
      <c r="H417" t="s">
        <v>1683</v>
      </c>
      <c r="I417" t="s">
        <v>1680</v>
      </c>
    </row>
    <row r="418" spans="1:9" x14ac:dyDescent="0.35">
      <c r="A418" t="s">
        <v>946</v>
      </c>
      <c r="B418" t="s">
        <v>564</v>
      </c>
      <c r="C418" t="s">
        <v>170</v>
      </c>
      <c r="D418">
        <v>2223</v>
      </c>
      <c r="E418" t="s">
        <v>1197</v>
      </c>
      <c r="F418" t="s">
        <v>1196</v>
      </c>
      <c r="G418" t="s">
        <v>15</v>
      </c>
      <c r="H418" t="s">
        <v>1684</v>
      </c>
      <c r="I418" t="s">
        <v>1680</v>
      </c>
    </row>
    <row r="419" spans="1:9" x14ac:dyDescent="0.35">
      <c r="A419" t="s">
        <v>953</v>
      </c>
      <c r="B419" t="s">
        <v>847</v>
      </c>
      <c r="C419" t="s">
        <v>170</v>
      </c>
      <c r="H419" t="s">
        <v>1684</v>
      </c>
      <c r="I419" t="s">
        <v>1680</v>
      </c>
    </row>
    <row r="420" spans="1:9" x14ac:dyDescent="0.35">
      <c r="A420" t="s">
        <v>946</v>
      </c>
      <c r="B420" t="s">
        <v>565</v>
      </c>
      <c r="C420" t="s">
        <v>85</v>
      </c>
      <c r="D420">
        <v>1250</v>
      </c>
      <c r="E420">
        <v>256</v>
      </c>
      <c r="F420" t="s">
        <v>85</v>
      </c>
      <c r="H420" t="s">
        <v>1685</v>
      </c>
      <c r="I420" t="s">
        <v>1680</v>
      </c>
    </row>
    <row r="421" spans="1:9" x14ac:dyDescent="0.35">
      <c r="A421" t="s">
        <v>946</v>
      </c>
      <c r="D421">
        <v>2219</v>
      </c>
      <c r="E421" t="s">
        <v>1301</v>
      </c>
      <c r="F421" t="s">
        <v>85</v>
      </c>
      <c r="G421" t="s">
        <v>941</v>
      </c>
      <c r="H421" t="s">
        <v>1685</v>
      </c>
      <c r="I421" t="s">
        <v>1680</v>
      </c>
    </row>
    <row r="422" spans="1:9" x14ac:dyDescent="0.35">
      <c r="A422" t="s">
        <v>953</v>
      </c>
      <c r="B422" t="s">
        <v>681</v>
      </c>
      <c r="C422" t="s">
        <v>85</v>
      </c>
      <c r="H422" t="s">
        <v>1685</v>
      </c>
      <c r="I422" t="s">
        <v>1680</v>
      </c>
    </row>
    <row r="423" spans="1:9" x14ac:dyDescent="0.35">
      <c r="A423" t="s">
        <v>946</v>
      </c>
      <c r="B423" t="s">
        <v>872</v>
      </c>
      <c r="C423" t="s">
        <v>75</v>
      </c>
      <c r="D423" s="42">
        <v>1075</v>
      </c>
      <c r="E423">
        <v>48</v>
      </c>
      <c r="F423" t="s">
        <v>75</v>
      </c>
      <c r="G423" t="s">
        <v>14</v>
      </c>
      <c r="H423" t="s">
        <v>75</v>
      </c>
      <c r="I423" t="s">
        <v>75</v>
      </c>
    </row>
    <row r="424" spans="1:9" x14ac:dyDescent="0.35">
      <c r="A424" t="s">
        <v>953</v>
      </c>
      <c r="B424" t="s">
        <v>725</v>
      </c>
      <c r="C424" t="s">
        <v>75</v>
      </c>
      <c r="G424" t="s">
        <v>14</v>
      </c>
      <c r="H424" t="s">
        <v>75</v>
      </c>
      <c r="I424" t="s">
        <v>75</v>
      </c>
    </row>
    <row r="425" spans="1:9" x14ac:dyDescent="0.35">
      <c r="A425" t="s">
        <v>946</v>
      </c>
      <c r="B425" t="s">
        <v>566</v>
      </c>
      <c r="C425" t="s">
        <v>121</v>
      </c>
      <c r="D425">
        <v>1222</v>
      </c>
      <c r="E425">
        <v>225</v>
      </c>
      <c r="F425" t="s">
        <v>1065</v>
      </c>
      <c r="G425" t="s">
        <v>14</v>
      </c>
      <c r="H425" t="s">
        <v>303</v>
      </c>
      <c r="I425" t="s">
        <v>75</v>
      </c>
    </row>
    <row r="426" spans="1:9" x14ac:dyDescent="0.35">
      <c r="A426" t="s">
        <v>953</v>
      </c>
      <c r="B426" t="s">
        <v>797</v>
      </c>
      <c r="C426" t="s">
        <v>643</v>
      </c>
      <c r="G426" t="s">
        <v>14</v>
      </c>
      <c r="H426" t="s">
        <v>303</v>
      </c>
      <c r="I426" t="s">
        <v>75</v>
      </c>
    </row>
    <row r="427" spans="1:9" x14ac:dyDescent="0.35">
      <c r="A427" t="s">
        <v>946</v>
      </c>
      <c r="B427" t="s">
        <v>353</v>
      </c>
      <c r="C427" t="s">
        <v>25</v>
      </c>
      <c r="D427">
        <v>1035</v>
      </c>
      <c r="E427">
        <v>29</v>
      </c>
      <c r="F427" t="s">
        <v>1066</v>
      </c>
      <c r="G427" t="s">
        <v>14</v>
      </c>
      <c r="H427" t="s">
        <v>25</v>
      </c>
      <c r="I427" t="s">
        <v>275</v>
      </c>
    </row>
    <row r="428" spans="1:9" x14ac:dyDescent="0.35">
      <c r="A428" t="s">
        <v>953</v>
      </c>
      <c r="B428" t="s">
        <v>388</v>
      </c>
      <c r="C428" t="s">
        <v>25</v>
      </c>
      <c r="D428">
        <v>1037</v>
      </c>
      <c r="E428" t="s">
        <v>1397</v>
      </c>
      <c r="F428" t="s">
        <v>1398</v>
      </c>
      <c r="G428" t="s">
        <v>14</v>
      </c>
      <c r="H428" t="s">
        <v>25</v>
      </c>
      <c r="I428" t="s">
        <v>275</v>
      </c>
    </row>
    <row r="429" spans="1:9" x14ac:dyDescent="0.35">
      <c r="A429" t="s">
        <v>953</v>
      </c>
      <c r="B429" t="s">
        <v>1002</v>
      </c>
      <c r="C429" t="s">
        <v>25</v>
      </c>
      <c r="H429" t="s">
        <v>25</v>
      </c>
      <c r="I429" t="s">
        <v>275</v>
      </c>
    </row>
    <row r="430" spans="1:9" x14ac:dyDescent="0.35">
      <c r="A430" t="s">
        <v>946</v>
      </c>
      <c r="B430" t="s">
        <v>863</v>
      </c>
      <c r="C430" t="s">
        <v>65</v>
      </c>
      <c r="D430">
        <v>1053</v>
      </c>
      <c r="E430">
        <v>39</v>
      </c>
      <c r="F430" t="s">
        <v>1058</v>
      </c>
      <c r="G430" t="s">
        <v>335</v>
      </c>
      <c r="H430" t="s">
        <v>25</v>
      </c>
      <c r="I430" t="s">
        <v>275</v>
      </c>
    </row>
    <row r="431" spans="1:9" x14ac:dyDescent="0.35">
      <c r="A431" t="s">
        <v>946</v>
      </c>
      <c r="B431" t="s">
        <v>398</v>
      </c>
      <c r="C431" t="s">
        <v>115</v>
      </c>
      <c r="D431">
        <v>2115</v>
      </c>
      <c r="E431" t="s">
        <v>1204</v>
      </c>
      <c r="F431" t="s">
        <v>1203</v>
      </c>
      <c r="G431" t="s">
        <v>15</v>
      </c>
      <c r="H431" t="s">
        <v>25</v>
      </c>
      <c r="I431" t="s">
        <v>275</v>
      </c>
    </row>
    <row r="432" spans="1:9" x14ac:dyDescent="0.35">
      <c r="A432" t="s">
        <v>946</v>
      </c>
      <c r="B432" t="s">
        <v>581</v>
      </c>
      <c r="C432" t="s">
        <v>258</v>
      </c>
      <c r="G432" t="s">
        <v>15</v>
      </c>
      <c r="H432" t="s">
        <v>25</v>
      </c>
      <c r="I432" t="s">
        <v>275</v>
      </c>
    </row>
    <row r="433" spans="1:9" x14ac:dyDescent="0.35">
      <c r="A433" t="s">
        <v>953</v>
      </c>
      <c r="B433" t="s">
        <v>899</v>
      </c>
      <c r="C433" t="s">
        <v>900</v>
      </c>
      <c r="G433" t="s">
        <v>335</v>
      </c>
      <c r="H433" t="s">
        <v>25</v>
      </c>
      <c r="I433" t="s">
        <v>275</v>
      </c>
    </row>
    <row r="434" spans="1:9" x14ac:dyDescent="0.35">
      <c r="A434" t="s">
        <v>953</v>
      </c>
      <c r="B434" t="s">
        <v>738</v>
      </c>
      <c r="C434" t="s">
        <v>629</v>
      </c>
      <c r="G434" t="s">
        <v>15</v>
      </c>
      <c r="H434" t="s">
        <v>25</v>
      </c>
      <c r="I434" t="s">
        <v>275</v>
      </c>
    </row>
    <row r="435" spans="1:9" x14ac:dyDescent="0.35">
      <c r="A435" t="s">
        <v>953</v>
      </c>
      <c r="B435" t="s">
        <v>774</v>
      </c>
      <c r="C435" t="s">
        <v>629</v>
      </c>
      <c r="G435" t="s">
        <v>15</v>
      </c>
      <c r="H435" t="s">
        <v>25</v>
      </c>
      <c r="I435" t="s">
        <v>275</v>
      </c>
    </row>
    <row r="436" spans="1:9" x14ac:dyDescent="0.35">
      <c r="A436" t="s">
        <v>946</v>
      </c>
      <c r="B436" t="s">
        <v>580</v>
      </c>
      <c r="C436" t="s">
        <v>115</v>
      </c>
      <c r="G436" t="s">
        <v>15</v>
      </c>
      <c r="H436" t="s">
        <v>25</v>
      </c>
      <c r="I436" t="s">
        <v>275</v>
      </c>
    </row>
    <row r="437" spans="1:9" x14ac:dyDescent="0.35">
      <c r="A437" t="s">
        <v>953</v>
      </c>
      <c r="B437" t="s">
        <v>770</v>
      </c>
      <c r="C437" t="s">
        <v>638</v>
      </c>
      <c r="G437" t="s">
        <v>15</v>
      </c>
      <c r="H437" t="s">
        <v>25</v>
      </c>
      <c r="I437" t="s">
        <v>275</v>
      </c>
    </row>
    <row r="438" spans="1:9" x14ac:dyDescent="0.35">
      <c r="A438" t="s">
        <v>946</v>
      </c>
      <c r="B438" t="s">
        <v>582</v>
      </c>
      <c r="C438" t="s">
        <v>89</v>
      </c>
      <c r="G438" t="s">
        <v>15</v>
      </c>
      <c r="H438" t="s">
        <v>25</v>
      </c>
      <c r="I438" t="s">
        <v>275</v>
      </c>
    </row>
    <row r="439" spans="1:9" x14ac:dyDescent="0.35">
      <c r="A439" t="s">
        <v>953</v>
      </c>
      <c r="B439" t="s">
        <v>689</v>
      </c>
      <c r="C439" t="s">
        <v>89</v>
      </c>
      <c r="G439" t="s">
        <v>15</v>
      </c>
      <c r="H439" t="s">
        <v>25</v>
      </c>
      <c r="I439" t="s">
        <v>275</v>
      </c>
    </row>
    <row r="440" spans="1:9" x14ac:dyDescent="0.35">
      <c r="A440" t="s">
        <v>946</v>
      </c>
      <c r="B440" t="s">
        <v>346</v>
      </c>
      <c r="C440" t="s">
        <v>41</v>
      </c>
      <c r="G440" t="s">
        <v>15</v>
      </c>
      <c r="H440" t="s">
        <v>25</v>
      </c>
      <c r="I440" t="s">
        <v>275</v>
      </c>
    </row>
    <row r="441" spans="1:9" x14ac:dyDescent="0.35">
      <c r="A441" t="s">
        <v>946</v>
      </c>
      <c r="B441" t="s">
        <v>584</v>
      </c>
      <c r="C441" t="s">
        <v>41</v>
      </c>
      <c r="G441" t="s">
        <v>15</v>
      </c>
      <c r="H441" t="s">
        <v>25</v>
      </c>
      <c r="I441" t="s">
        <v>275</v>
      </c>
    </row>
    <row r="442" spans="1:9" x14ac:dyDescent="0.35">
      <c r="A442" t="s">
        <v>953</v>
      </c>
      <c r="B442" t="s">
        <v>385</v>
      </c>
      <c r="C442" t="s">
        <v>41</v>
      </c>
      <c r="G442" t="s">
        <v>15</v>
      </c>
      <c r="H442" t="s">
        <v>25</v>
      </c>
      <c r="I442" t="s">
        <v>275</v>
      </c>
    </row>
    <row r="443" spans="1:9" x14ac:dyDescent="0.35">
      <c r="A443" t="s">
        <v>953</v>
      </c>
      <c r="B443" t="s">
        <v>686</v>
      </c>
      <c r="C443" t="s">
        <v>41</v>
      </c>
      <c r="G443" t="s">
        <v>15</v>
      </c>
      <c r="H443" t="s">
        <v>25</v>
      </c>
      <c r="I443" t="s">
        <v>275</v>
      </c>
    </row>
    <row r="444" spans="1:9" x14ac:dyDescent="0.35">
      <c r="A444" t="s">
        <v>946</v>
      </c>
      <c r="B444" t="s">
        <v>585</v>
      </c>
      <c r="C444" t="s">
        <v>132</v>
      </c>
      <c r="D444">
        <v>2117</v>
      </c>
      <c r="E444" t="s">
        <v>1206</v>
      </c>
      <c r="F444" t="s">
        <v>1205</v>
      </c>
      <c r="G444" t="s">
        <v>15</v>
      </c>
      <c r="H444" t="s">
        <v>326</v>
      </c>
      <c r="I444" t="s">
        <v>275</v>
      </c>
    </row>
    <row r="445" spans="1:9" x14ac:dyDescent="0.35">
      <c r="A445" t="s">
        <v>953</v>
      </c>
      <c r="B445" t="s">
        <v>665</v>
      </c>
      <c r="C445" t="s">
        <v>132</v>
      </c>
      <c r="G445" t="s">
        <v>15</v>
      </c>
      <c r="H445" t="s">
        <v>326</v>
      </c>
      <c r="I445" t="s">
        <v>275</v>
      </c>
    </row>
    <row r="446" spans="1:9" x14ac:dyDescent="0.35">
      <c r="A446" t="s">
        <v>946</v>
      </c>
      <c r="B446" t="s">
        <v>583</v>
      </c>
      <c r="C446" t="s">
        <v>193</v>
      </c>
      <c r="G446" t="s">
        <v>14</v>
      </c>
      <c r="H446" t="s">
        <v>1668</v>
      </c>
      <c r="I446" t="s">
        <v>275</v>
      </c>
    </row>
    <row r="447" spans="1:9" x14ac:dyDescent="0.35">
      <c r="A447" t="s">
        <v>946</v>
      </c>
      <c r="B447" t="s">
        <v>903</v>
      </c>
      <c r="C447" t="s">
        <v>902</v>
      </c>
      <c r="D447">
        <v>1052</v>
      </c>
      <c r="E447">
        <v>36</v>
      </c>
      <c r="F447" t="s">
        <v>1059</v>
      </c>
      <c r="G447" t="s">
        <v>335</v>
      </c>
      <c r="H447" t="s">
        <v>895</v>
      </c>
      <c r="I447" t="s">
        <v>895</v>
      </c>
    </row>
    <row r="448" spans="1:9" x14ac:dyDescent="0.35">
      <c r="A448" t="s">
        <v>953</v>
      </c>
      <c r="B448" t="s">
        <v>901</v>
      </c>
      <c r="C448" t="s">
        <v>900</v>
      </c>
      <c r="G448" t="s">
        <v>335</v>
      </c>
      <c r="H448" t="s">
        <v>895</v>
      </c>
      <c r="I448" t="s">
        <v>895</v>
      </c>
    </row>
    <row r="449" spans="1:9" x14ac:dyDescent="0.35">
      <c r="A449" t="s">
        <v>946</v>
      </c>
      <c r="B449" t="s">
        <v>362</v>
      </c>
      <c r="C449" t="s">
        <v>42</v>
      </c>
      <c r="D449">
        <v>1182</v>
      </c>
      <c r="E449">
        <v>126</v>
      </c>
      <c r="F449" t="s">
        <v>1069</v>
      </c>
      <c r="G449" t="s">
        <v>14</v>
      </c>
      <c r="H449" t="s">
        <v>1003</v>
      </c>
      <c r="I449" t="s">
        <v>283</v>
      </c>
    </row>
    <row r="450" spans="1:9" x14ac:dyDescent="0.35">
      <c r="A450" t="s">
        <v>953</v>
      </c>
      <c r="B450" t="s">
        <v>377</v>
      </c>
      <c r="C450" t="s">
        <v>167</v>
      </c>
      <c r="D450">
        <v>1217</v>
      </c>
      <c r="E450" t="s">
        <v>1292</v>
      </c>
      <c r="F450" t="s">
        <v>1293</v>
      </c>
      <c r="G450" t="s">
        <v>14</v>
      </c>
      <c r="H450" t="s">
        <v>1003</v>
      </c>
      <c r="I450" t="s">
        <v>283</v>
      </c>
    </row>
    <row r="451" spans="1:9" x14ac:dyDescent="0.35">
      <c r="A451" t="s">
        <v>953</v>
      </c>
      <c r="B451" t="s">
        <v>751</v>
      </c>
      <c r="C451" t="s">
        <v>42</v>
      </c>
      <c r="D451" s="186"/>
      <c r="G451" t="s">
        <v>14</v>
      </c>
      <c r="H451" t="s">
        <v>1003</v>
      </c>
      <c r="I451" t="s">
        <v>283</v>
      </c>
    </row>
    <row r="452" spans="1:9" x14ac:dyDescent="0.35">
      <c r="A452" t="s">
        <v>953</v>
      </c>
      <c r="B452" t="s">
        <v>1004</v>
      </c>
      <c r="C452" t="s">
        <v>42</v>
      </c>
      <c r="G452" t="s">
        <v>14</v>
      </c>
      <c r="H452" t="s">
        <v>1003</v>
      </c>
      <c r="I452" t="s">
        <v>283</v>
      </c>
    </row>
    <row r="453" spans="1:9" x14ac:dyDescent="0.35">
      <c r="A453" t="s">
        <v>946</v>
      </c>
      <c r="B453" t="s">
        <v>394</v>
      </c>
      <c r="C453" t="s">
        <v>167</v>
      </c>
      <c r="D453">
        <v>2104</v>
      </c>
      <c r="E453" t="s">
        <v>1077</v>
      </c>
      <c r="F453" t="s">
        <v>1076</v>
      </c>
      <c r="G453" t="s">
        <v>15</v>
      </c>
      <c r="H453" t="s">
        <v>1003</v>
      </c>
      <c r="I453" t="s">
        <v>283</v>
      </c>
    </row>
    <row r="454" spans="1:9" x14ac:dyDescent="0.35">
      <c r="A454" t="s">
        <v>946</v>
      </c>
      <c r="B454" t="s">
        <v>360</v>
      </c>
      <c r="C454" t="s">
        <v>50</v>
      </c>
      <c r="D454" s="186">
        <v>1181</v>
      </c>
      <c r="E454">
        <v>125</v>
      </c>
      <c r="F454" t="s">
        <v>1202</v>
      </c>
      <c r="G454" t="s">
        <v>14</v>
      </c>
      <c r="H454" t="s">
        <v>1005</v>
      </c>
      <c r="I454" t="s">
        <v>283</v>
      </c>
    </row>
    <row r="455" spans="1:9" x14ac:dyDescent="0.35">
      <c r="A455" t="s">
        <v>953</v>
      </c>
      <c r="B455" t="s">
        <v>403</v>
      </c>
      <c r="C455" t="s">
        <v>50</v>
      </c>
      <c r="D455">
        <v>1218</v>
      </c>
      <c r="E455" t="s">
        <v>1399</v>
      </c>
      <c r="F455" t="s">
        <v>1400</v>
      </c>
      <c r="H455" t="s">
        <v>1005</v>
      </c>
      <c r="I455" t="s">
        <v>283</v>
      </c>
    </row>
    <row r="456" spans="1:9" x14ac:dyDescent="0.35">
      <c r="A456" t="s">
        <v>946</v>
      </c>
      <c r="B456" t="s">
        <v>407</v>
      </c>
      <c r="C456" t="s">
        <v>204</v>
      </c>
      <c r="G456" t="s">
        <v>15</v>
      </c>
      <c r="H456" t="s">
        <v>1005</v>
      </c>
      <c r="I456" t="s">
        <v>283</v>
      </c>
    </row>
    <row r="457" spans="1:9" x14ac:dyDescent="0.35">
      <c r="A457" t="s">
        <v>953</v>
      </c>
      <c r="B457" t="s">
        <v>801</v>
      </c>
      <c r="C457" t="s">
        <v>204</v>
      </c>
      <c r="H457" t="s">
        <v>1005</v>
      </c>
      <c r="I457" t="s">
        <v>283</v>
      </c>
    </row>
    <row r="458" spans="1:9" x14ac:dyDescent="0.35">
      <c r="A458" t="s">
        <v>953</v>
      </c>
      <c r="B458" t="s">
        <v>1006</v>
      </c>
      <c r="C458" t="s">
        <v>50</v>
      </c>
      <c r="H458" t="s">
        <v>1005</v>
      </c>
      <c r="I458" t="s">
        <v>283</v>
      </c>
    </row>
    <row r="459" spans="1:9" x14ac:dyDescent="0.35">
      <c r="A459" t="s">
        <v>946</v>
      </c>
      <c r="D459">
        <v>2118</v>
      </c>
      <c r="E459" t="s">
        <v>1208</v>
      </c>
      <c r="F459" t="s">
        <v>1207</v>
      </c>
      <c r="G459" t="s">
        <v>1252</v>
      </c>
      <c r="H459" t="s">
        <v>1005</v>
      </c>
      <c r="I459" t="s">
        <v>1008</v>
      </c>
    </row>
    <row r="460" spans="1:9" x14ac:dyDescent="0.35">
      <c r="A460" t="s">
        <v>946</v>
      </c>
      <c r="B460" t="s">
        <v>366</v>
      </c>
      <c r="C460" t="s">
        <v>33</v>
      </c>
      <c r="D460">
        <v>1183</v>
      </c>
      <c r="E460">
        <v>127</v>
      </c>
      <c r="F460" t="s">
        <v>1209</v>
      </c>
      <c r="G460" t="s">
        <v>14</v>
      </c>
      <c r="H460" t="s">
        <v>339</v>
      </c>
      <c r="I460" t="s">
        <v>337</v>
      </c>
    </row>
    <row r="461" spans="1:9" x14ac:dyDescent="0.35">
      <c r="A461" t="s">
        <v>953</v>
      </c>
      <c r="B461" t="s">
        <v>684</v>
      </c>
      <c r="C461" t="s">
        <v>33</v>
      </c>
      <c r="H461" t="s">
        <v>339</v>
      </c>
      <c r="I461" t="s">
        <v>337</v>
      </c>
    </row>
    <row r="462" spans="1:9" x14ac:dyDescent="0.35">
      <c r="A462" t="s">
        <v>946</v>
      </c>
      <c r="D462">
        <v>2165</v>
      </c>
      <c r="E462" t="s">
        <v>1368</v>
      </c>
      <c r="F462" t="s">
        <v>1369</v>
      </c>
      <c r="G462" t="s">
        <v>15</v>
      </c>
      <c r="H462" t="s">
        <v>327</v>
      </c>
      <c r="I462" t="s">
        <v>327</v>
      </c>
    </row>
    <row r="463" spans="1:9" x14ac:dyDescent="0.35">
      <c r="A463" t="s">
        <v>946</v>
      </c>
      <c r="B463" t="s">
        <v>399</v>
      </c>
      <c r="C463" t="s">
        <v>185</v>
      </c>
      <c r="G463" t="s">
        <v>15</v>
      </c>
      <c r="H463" t="s">
        <v>327</v>
      </c>
      <c r="I463" t="s">
        <v>327</v>
      </c>
    </row>
    <row r="464" spans="1:9" x14ac:dyDescent="0.35">
      <c r="A464" t="s">
        <v>953</v>
      </c>
      <c r="B464" t="s">
        <v>756</v>
      </c>
      <c r="C464" t="s">
        <v>185</v>
      </c>
      <c r="H464" t="s">
        <v>327</v>
      </c>
      <c r="I464" t="s">
        <v>327</v>
      </c>
    </row>
    <row r="465" spans="1:9" x14ac:dyDescent="0.35">
      <c r="A465" t="s">
        <v>946</v>
      </c>
      <c r="D465">
        <v>2167</v>
      </c>
      <c r="E465" t="s">
        <v>1373</v>
      </c>
      <c r="F465" t="s">
        <v>1374</v>
      </c>
      <c r="G465" t="s">
        <v>15</v>
      </c>
      <c r="H465" t="s">
        <v>1375</v>
      </c>
      <c r="I465" t="s">
        <v>327</v>
      </c>
    </row>
    <row r="466" spans="1:9" x14ac:dyDescent="0.35">
      <c r="A466" t="s">
        <v>946</v>
      </c>
      <c r="D466" s="42">
        <v>2166</v>
      </c>
      <c r="E466" t="s">
        <v>1370</v>
      </c>
      <c r="F466" t="s">
        <v>1371</v>
      </c>
      <c r="G466" t="s">
        <v>15</v>
      </c>
      <c r="H466" t="s">
        <v>1372</v>
      </c>
      <c r="I466" t="s">
        <v>327</v>
      </c>
    </row>
    <row r="467" spans="1:9" x14ac:dyDescent="0.35">
      <c r="A467" t="s">
        <v>946</v>
      </c>
      <c r="D467" s="42">
        <v>2168</v>
      </c>
      <c r="E467" t="s">
        <v>1376</v>
      </c>
      <c r="F467" t="s">
        <v>1377</v>
      </c>
      <c r="G467" t="s">
        <v>15</v>
      </c>
      <c r="H467" t="s">
        <v>1378</v>
      </c>
      <c r="I467" t="s">
        <v>327</v>
      </c>
    </row>
    <row r="468" spans="1:9" x14ac:dyDescent="0.35">
      <c r="A468" t="s">
        <v>946</v>
      </c>
      <c r="D468" s="186">
        <v>2176</v>
      </c>
      <c r="E468" t="s">
        <v>1385</v>
      </c>
      <c r="F468" t="s">
        <v>1386</v>
      </c>
      <c r="G468" t="s">
        <v>15</v>
      </c>
      <c r="H468" t="s">
        <v>1387</v>
      </c>
      <c r="I468" t="s">
        <v>327</v>
      </c>
    </row>
    <row r="469" spans="1:9" x14ac:dyDescent="0.35">
      <c r="A469" t="s">
        <v>946</v>
      </c>
      <c r="D469" s="186">
        <v>2174</v>
      </c>
      <c r="E469" t="s">
        <v>1379</v>
      </c>
      <c r="F469" t="s">
        <v>1380</v>
      </c>
      <c r="G469" t="s">
        <v>15</v>
      </c>
      <c r="H469" t="s">
        <v>1381</v>
      </c>
      <c r="I469" t="s">
        <v>327</v>
      </c>
    </row>
    <row r="470" spans="1:9" x14ac:dyDescent="0.35">
      <c r="A470" t="s">
        <v>946</v>
      </c>
      <c r="D470">
        <v>2177</v>
      </c>
      <c r="E470" t="s">
        <v>1388</v>
      </c>
      <c r="F470" t="s">
        <v>1389</v>
      </c>
      <c r="G470" t="s">
        <v>15</v>
      </c>
      <c r="H470" t="s">
        <v>1390</v>
      </c>
      <c r="I470" t="s">
        <v>327</v>
      </c>
    </row>
    <row r="471" spans="1:9" x14ac:dyDescent="0.35">
      <c r="A471" t="s">
        <v>946</v>
      </c>
      <c r="D471">
        <v>2175</v>
      </c>
      <c r="E471" t="s">
        <v>1382</v>
      </c>
      <c r="F471" t="s">
        <v>1383</v>
      </c>
      <c r="G471" t="s">
        <v>15</v>
      </c>
      <c r="H471" t="s">
        <v>1384</v>
      </c>
      <c r="I471" t="s">
        <v>327</v>
      </c>
    </row>
    <row r="472" spans="1:9" x14ac:dyDescent="0.35">
      <c r="A472" t="s">
        <v>946</v>
      </c>
      <c r="B472" t="s">
        <v>568</v>
      </c>
      <c r="C472" t="s">
        <v>247</v>
      </c>
      <c r="G472" t="s">
        <v>15</v>
      </c>
      <c r="H472" t="s">
        <v>324</v>
      </c>
      <c r="I472" t="s">
        <v>315</v>
      </c>
    </row>
    <row r="473" spans="1:9" x14ac:dyDescent="0.35">
      <c r="A473" t="s">
        <v>946</v>
      </c>
      <c r="B473" t="s">
        <v>569</v>
      </c>
      <c r="C473" t="s">
        <v>244</v>
      </c>
      <c r="G473" t="s">
        <v>15</v>
      </c>
      <c r="H473" t="s">
        <v>324</v>
      </c>
      <c r="I473" t="s">
        <v>315</v>
      </c>
    </row>
    <row r="474" spans="1:9" x14ac:dyDescent="0.35">
      <c r="A474" t="s">
        <v>953</v>
      </c>
      <c r="B474" t="s">
        <v>792</v>
      </c>
      <c r="C474" t="s">
        <v>642</v>
      </c>
      <c r="H474" t="s">
        <v>324</v>
      </c>
      <c r="I474" t="s">
        <v>315</v>
      </c>
    </row>
    <row r="475" spans="1:9" x14ac:dyDescent="0.35">
      <c r="A475" t="s">
        <v>953</v>
      </c>
      <c r="B475" t="s">
        <v>842</v>
      </c>
      <c r="C475" t="s">
        <v>642</v>
      </c>
      <c r="D475" s="186"/>
      <c r="H475" t="s">
        <v>324</v>
      </c>
      <c r="I475" t="s">
        <v>315</v>
      </c>
    </row>
    <row r="476" spans="1:9" x14ac:dyDescent="0.35">
      <c r="A476" t="s">
        <v>946</v>
      </c>
      <c r="B476" t="s">
        <v>570</v>
      </c>
      <c r="C476" t="s">
        <v>218</v>
      </c>
      <c r="G476" t="s">
        <v>15</v>
      </c>
      <c r="H476" t="s">
        <v>316</v>
      </c>
      <c r="I476" t="s">
        <v>315</v>
      </c>
    </row>
    <row r="477" spans="1:9" x14ac:dyDescent="0.35">
      <c r="A477" t="s">
        <v>953</v>
      </c>
      <c r="B477" t="s">
        <v>766</v>
      </c>
      <c r="C477" t="s">
        <v>218</v>
      </c>
      <c r="H477" t="s">
        <v>316</v>
      </c>
      <c r="I477" t="s">
        <v>315</v>
      </c>
    </row>
    <row r="478" spans="1:9" x14ac:dyDescent="0.35">
      <c r="A478" t="s">
        <v>946</v>
      </c>
      <c r="B478" t="s">
        <v>571</v>
      </c>
      <c r="C478" t="s">
        <v>253</v>
      </c>
      <c r="D478" s="186"/>
      <c r="G478" t="s">
        <v>15</v>
      </c>
      <c r="H478" t="s">
        <v>317</v>
      </c>
      <c r="I478" t="s">
        <v>315</v>
      </c>
    </row>
    <row r="479" spans="1:9" x14ac:dyDescent="0.35">
      <c r="A479" t="s">
        <v>953</v>
      </c>
      <c r="B479" t="s">
        <v>810</v>
      </c>
      <c r="C479" t="s">
        <v>649</v>
      </c>
      <c r="H479" t="s">
        <v>317</v>
      </c>
      <c r="I479" t="s">
        <v>315</v>
      </c>
    </row>
    <row r="480" spans="1:9" x14ac:dyDescent="0.35">
      <c r="A480" t="s">
        <v>946</v>
      </c>
      <c r="B480" t="s">
        <v>572</v>
      </c>
      <c r="C480" t="s">
        <v>98</v>
      </c>
      <c r="G480" t="s">
        <v>15</v>
      </c>
      <c r="H480" t="s">
        <v>318</v>
      </c>
      <c r="I480" t="s">
        <v>315</v>
      </c>
    </row>
    <row r="481" spans="1:9" x14ac:dyDescent="0.35">
      <c r="A481" t="s">
        <v>946</v>
      </c>
      <c r="B481" t="s">
        <v>573</v>
      </c>
      <c r="C481" t="s">
        <v>91</v>
      </c>
      <c r="G481" t="s">
        <v>15</v>
      </c>
      <c r="H481" t="s">
        <v>319</v>
      </c>
      <c r="I481" t="s">
        <v>315</v>
      </c>
    </row>
    <row r="482" spans="1:9" x14ac:dyDescent="0.35">
      <c r="A482" t="s">
        <v>953</v>
      </c>
      <c r="B482" t="s">
        <v>700</v>
      </c>
      <c r="C482" t="s">
        <v>98</v>
      </c>
      <c r="H482" t="s">
        <v>319</v>
      </c>
      <c r="I482" t="s">
        <v>315</v>
      </c>
    </row>
    <row r="483" spans="1:9" x14ac:dyDescent="0.35">
      <c r="A483" t="s">
        <v>946</v>
      </c>
      <c r="B483" t="s">
        <v>574</v>
      </c>
      <c r="C483" t="s">
        <v>86</v>
      </c>
      <c r="G483" t="s">
        <v>15</v>
      </c>
      <c r="H483" t="s">
        <v>320</v>
      </c>
      <c r="I483" t="s">
        <v>315</v>
      </c>
    </row>
    <row r="484" spans="1:9" x14ac:dyDescent="0.35">
      <c r="A484" t="s">
        <v>953</v>
      </c>
      <c r="B484" t="s">
        <v>390</v>
      </c>
      <c r="C484" t="s">
        <v>91</v>
      </c>
      <c r="H484" t="s">
        <v>320</v>
      </c>
      <c r="I484" t="s">
        <v>315</v>
      </c>
    </row>
    <row r="485" spans="1:9" x14ac:dyDescent="0.35">
      <c r="A485" t="s">
        <v>953</v>
      </c>
      <c r="B485" t="s">
        <v>687</v>
      </c>
      <c r="C485" t="s">
        <v>86</v>
      </c>
      <c r="H485" t="s">
        <v>853</v>
      </c>
      <c r="I485" t="s">
        <v>315</v>
      </c>
    </row>
    <row r="486" spans="1:9" x14ac:dyDescent="0.35">
      <c r="A486" t="s">
        <v>946</v>
      </c>
      <c r="B486" t="s">
        <v>575</v>
      </c>
      <c r="C486" t="s">
        <v>220</v>
      </c>
      <c r="G486" t="s">
        <v>15</v>
      </c>
      <c r="H486" t="s">
        <v>321</v>
      </c>
      <c r="I486" t="s">
        <v>315</v>
      </c>
    </row>
    <row r="487" spans="1:9" x14ac:dyDescent="0.35">
      <c r="A487" t="s">
        <v>953</v>
      </c>
      <c r="B487" t="s">
        <v>691</v>
      </c>
      <c r="C487" t="s">
        <v>220</v>
      </c>
      <c r="D487" s="186"/>
      <c r="H487" t="s">
        <v>321</v>
      </c>
      <c r="I487" t="s">
        <v>315</v>
      </c>
    </row>
    <row r="488" spans="1:9" x14ac:dyDescent="0.35">
      <c r="A488" t="s">
        <v>946</v>
      </c>
      <c r="B488" t="s">
        <v>576</v>
      </c>
      <c r="C488" t="s">
        <v>151</v>
      </c>
      <c r="G488" t="s">
        <v>15</v>
      </c>
      <c r="H488" t="s">
        <v>322</v>
      </c>
      <c r="I488" t="s">
        <v>315</v>
      </c>
    </row>
    <row r="489" spans="1:9" x14ac:dyDescent="0.35">
      <c r="A489" t="s">
        <v>953</v>
      </c>
      <c r="B489" t="s">
        <v>720</v>
      </c>
      <c r="C489" t="s">
        <v>151</v>
      </c>
      <c r="H489" t="s">
        <v>322</v>
      </c>
      <c r="I489" t="s">
        <v>315</v>
      </c>
    </row>
    <row r="490" spans="1:9" x14ac:dyDescent="0.35">
      <c r="A490" t="s">
        <v>946</v>
      </c>
      <c r="B490" t="s">
        <v>577</v>
      </c>
      <c r="C490" t="s">
        <v>126</v>
      </c>
      <c r="G490" t="s">
        <v>15</v>
      </c>
      <c r="H490" t="s">
        <v>323</v>
      </c>
      <c r="I490" t="s">
        <v>315</v>
      </c>
    </row>
    <row r="491" spans="1:9" x14ac:dyDescent="0.35">
      <c r="A491" t="s">
        <v>953</v>
      </c>
      <c r="B491" t="s">
        <v>743</v>
      </c>
      <c r="C491" t="s">
        <v>630</v>
      </c>
      <c r="D491" s="186"/>
      <c r="H491" t="s">
        <v>323</v>
      </c>
      <c r="I491" t="s">
        <v>315</v>
      </c>
    </row>
    <row r="492" spans="1:9" x14ac:dyDescent="0.35">
      <c r="A492" t="s">
        <v>946</v>
      </c>
      <c r="B492" t="s">
        <v>578</v>
      </c>
      <c r="C492" t="s">
        <v>160</v>
      </c>
      <c r="D492" s="186"/>
      <c r="G492" t="s">
        <v>15</v>
      </c>
      <c r="H492" t="s">
        <v>325</v>
      </c>
      <c r="I492" t="s">
        <v>315</v>
      </c>
    </row>
    <row r="493" spans="1:9" x14ac:dyDescent="0.35">
      <c r="A493" t="s">
        <v>953</v>
      </c>
      <c r="B493" t="s">
        <v>733</v>
      </c>
      <c r="C493" t="s">
        <v>160</v>
      </c>
      <c r="H493" t="s">
        <v>325</v>
      </c>
      <c r="I493" t="s">
        <v>315</v>
      </c>
    </row>
    <row r="494" spans="1:9" x14ac:dyDescent="0.35">
      <c r="A494" t="s">
        <v>946</v>
      </c>
      <c r="B494" t="s">
        <v>579</v>
      </c>
      <c r="C494" t="s">
        <v>113</v>
      </c>
      <c r="G494" t="s">
        <v>15</v>
      </c>
      <c r="H494" t="s">
        <v>329</v>
      </c>
      <c r="I494" t="s">
        <v>315</v>
      </c>
    </row>
    <row r="495" spans="1:9" x14ac:dyDescent="0.35">
      <c r="A495" t="s">
        <v>946</v>
      </c>
      <c r="B495" t="s">
        <v>586</v>
      </c>
      <c r="C495" t="s">
        <v>223</v>
      </c>
      <c r="H495" t="s">
        <v>223</v>
      </c>
      <c r="I495" t="s">
        <v>328</v>
      </c>
    </row>
    <row r="496" spans="1:9" x14ac:dyDescent="0.35">
      <c r="A496" t="s">
        <v>946</v>
      </c>
      <c r="B496" t="s">
        <v>587</v>
      </c>
      <c r="C496" t="s">
        <v>263</v>
      </c>
      <c r="H496" t="s">
        <v>263</v>
      </c>
      <c r="I496" t="s">
        <v>328</v>
      </c>
    </row>
    <row r="497" spans="1:9" x14ac:dyDescent="0.35">
      <c r="A497" t="s">
        <v>946</v>
      </c>
      <c r="B497" t="s">
        <v>588</v>
      </c>
      <c r="C497" s="186" t="s">
        <v>165</v>
      </c>
      <c r="D497" s="186"/>
      <c r="H497" t="s">
        <v>165</v>
      </c>
      <c r="I497" t="s">
        <v>328</v>
      </c>
    </row>
    <row r="498" spans="1:9" x14ac:dyDescent="0.35">
      <c r="A498" t="s">
        <v>946</v>
      </c>
      <c r="B498" t="s">
        <v>589</v>
      </c>
      <c r="C498" t="s">
        <v>83</v>
      </c>
      <c r="H498" t="s">
        <v>83</v>
      </c>
      <c r="I498" t="s">
        <v>328</v>
      </c>
    </row>
    <row r="499" spans="1:9" x14ac:dyDescent="0.35">
      <c r="A499" t="s">
        <v>946</v>
      </c>
      <c r="B499" t="s">
        <v>590</v>
      </c>
      <c r="C499" t="s">
        <v>80</v>
      </c>
      <c r="H499" t="s">
        <v>80</v>
      </c>
      <c r="I499" t="s">
        <v>328</v>
      </c>
    </row>
    <row r="500" spans="1:9" x14ac:dyDescent="0.35">
      <c r="A500" t="s">
        <v>946</v>
      </c>
      <c r="B500" t="s">
        <v>591</v>
      </c>
      <c r="C500" t="s">
        <v>260</v>
      </c>
      <c r="H500" t="s">
        <v>260</v>
      </c>
      <c r="I500" t="s">
        <v>328</v>
      </c>
    </row>
    <row r="501" spans="1:9" x14ac:dyDescent="0.35">
      <c r="A501" t="s">
        <v>953</v>
      </c>
      <c r="B501" t="s">
        <v>834</v>
      </c>
      <c r="C501" t="s">
        <v>654</v>
      </c>
      <c r="H501" t="s">
        <v>112</v>
      </c>
      <c r="I501" t="s">
        <v>328</v>
      </c>
    </row>
    <row r="502" spans="1:9" x14ac:dyDescent="0.35">
      <c r="A502" t="s">
        <v>946</v>
      </c>
      <c r="B502" t="s">
        <v>592</v>
      </c>
      <c r="C502" t="s">
        <v>112</v>
      </c>
      <c r="H502" t="s">
        <v>112</v>
      </c>
      <c r="I502" t="s">
        <v>328</v>
      </c>
    </row>
    <row r="503" spans="1:9" x14ac:dyDescent="0.35">
      <c r="A503" t="s">
        <v>946</v>
      </c>
      <c r="B503" t="s">
        <v>375</v>
      </c>
      <c r="C503" t="s">
        <v>46</v>
      </c>
      <c r="D503">
        <v>1007</v>
      </c>
      <c r="E503">
        <v>2</v>
      </c>
      <c r="F503" t="s">
        <v>46</v>
      </c>
      <c r="G503" t="s">
        <v>14</v>
      </c>
      <c r="H503" t="s">
        <v>46</v>
      </c>
      <c r="I503" t="s">
        <v>272</v>
      </c>
    </row>
    <row r="504" spans="1:9" x14ac:dyDescent="0.35">
      <c r="A504" t="s">
        <v>953</v>
      </c>
      <c r="B504" t="s">
        <v>415</v>
      </c>
      <c r="C504" t="s">
        <v>46</v>
      </c>
      <c r="G504" t="s">
        <v>14</v>
      </c>
      <c r="H504" t="s">
        <v>46</v>
      </c>
      <c r="I504" t="s">
        <v>272</v>
      </c>
    </row>
    <row r="505" spans="1:9" x14ac:dyDescent="0.35">
      <c r="A505" t="s">
        <v>946</v>
      </c>
      <c r="D505" s="186">
        <v>1008</v>
      </c>
      <c r="E505" t="s">
        <v>1407</v>
      </c>
      <c r="F505" t="s">
        <v>1408</v>
      </c>
      <c r="G505" t="s">
        <v>335</v>
      </c>
      <c r="H505" t="s">
        <v>1817</v>
      </c>
      <c r="I505" t="s">
        <v>272</v>
      </c>
    </row>
    <row r="506" spans="1:9" x14ac:dyDescent="0.35">
      <c r="A506" t="s">
        <v>946</v>
      </c>
      <c r="B506" t="s">
        <v>381</v>
      </c>
      <c r="C506" t="s">
        <v>24</v>
      </c>
      <c r="D506">
        <v>1003</v>
      </c>
      <c r="E506">
        <v>1</v>
      </c>
      <c r="F506" t="s">
        <v>1210</v>
      </c>
      <c r="G506" t="s">
        <v>14</v>
      </c>
      <c r="H506" t="s">
        <v>24</v>
      </c>
      <c r="I506" t="s">
        <v>272</v>
      </c>
    </row>
    <row r="507" spans="1:9" x14ac:dyDescent="0.35">
      <c r="A507" t="s">
        <v>953</v>
      </c>
      <c r="B507" t="s">
        <v>416</v>
      </c>
      <c r="C507" t="s">
        <v>24</v>
      </c>
      <c r="D507" s="186"/>
      <c r="G507" t="s">
        <v>14</v>
      </c>
      <c r="H507" t="s">
        <v>24</v>
      </c>
      <c r="I507" t="s">
        <v>272</v>
      </c>
    </row>
    <row r="508" spans="1:9" x14ac:dyDescent="0.35">
      <c r="A508" t="s">
        <v>946</v>
      </c>
      <c r="D508">
        <v>1005</v>
      </c>
      <c r="E508" t="s">
        <v>1405</v>
      </c>
      <c r="F508" t="s">
        <v>1406</v>
      </c>
      <c r="G508" t="s">
        <v>335</v>
      </c>
      <c r="H508" t="s">
        <v>1406</v>
      </c>
      <c r="I508" t="s">
        <v>272</v>
      </c>
    </row>
    <row r="509" spans="1:9" x14ac:dyDescent="0.35">
      <c r="A509" t="s">
        <v>946</v>
      </c>
      <c r="B509" t="s">
        <v>593</v>
      </c>
      <c r="C509" t="s">
        <v>157</v>
      </c>
      <c r="G509" t="s">
        <v>14</v>
      </c>
      <c r="H509" t="s">
        <v>1669</v>
      </c>
      <c r="I509" t="s">
        <v>272</v>
      </c>
    </row>
    <row r="510" spans="1:9" x14ac:dyDescent="0.35">
      <c r="A510" t="s">
        <v>946</v>
      </c>
      <c r="B510" t="s">
        <v>874</v>
      </c>
      <c r="C510" t="s">
        <v>213</v>
      </c>
      <c r="D510">
        <v>1010</v>
      </c>
      <c r="E510">
        <v>44</v>
      </c>
      <c r="F510" t="s">
        <v>213</v>
      </c>
      <c r="G510" t="s">
        <v>14</v>
      </c>
      <c r="H510" t="s">
        <v>213</v>
      </c>
      <c r="I510" t="s">
        <v>280</v>
      </c>
    </row>
    <row r="511" spans="1:9" x14ac:dyDescent="0.35">
      <c r="A511" t="s">
        <v>953</v>
      </c>
      <c r="B511" t="s">
        <v>703</v>
      </c>
      <c r="C511" t="s">
        <v>213</v>
      </c>
      <c r="D511" s="186"/>
      <c r="G511" t="s">
        <v>14</v>
      </c>
      <c r="H511" t="s">
        <v>213</v>
      </c>
      <c r="I511" t="s">
        <v>280</v>
      </c>
    </row>
    <row r="512" spans="1:9" x14ac:dyDescent="0.35">
      <c r="A512" t="s">
        <v>946</v>
      </c>
      <c r="B512" t="s">
        <v>873</v>
      </c>
      <c r="C512" t="s">
        <v>198</v>
      </c>
      <c r="G512" t="s">
        <v>14</v>
      </c>
      <c r="H512" t="s">
        <v>198</v>
      </c>
      <c r="I512" t="s">
        <v>280</v>
      </c>
    </row>
    <row r="513" spans="1:9" x14ac:dyDescent="0.35">
      <c r="A513" t="s">
        <v>953</v>
      </c>
      <c r="B513" t="s">
        <v>664</v>
      </c>
      <c r="C513" t="s">
        <v>198</v>
      </c>
      <c r="G513" t="s">
        <v>14</v>
      </c>
      <c r="H513" t="s">
        <v>198</v>
      </c>
      <c r="I513" t="s">
        <v>280</v>
      </c>
    </row>
    <row r="514" spans="1:9" x14ac:dyDescent="0.35">
      <c r="A514" t="s">
        <v>946</v>
      </c>
      <c r="D514">
        <v>1248</v>
      </c>
      <c r="E514">
        <v>254</v>
      </c>
      <c r="F514" t="s">
        <v>1233</v>
      </c>
      <c r="G514" t="s">
        <v>14</v>
      </c>
      <c r="H514" t="s">
        <v>45</v>
      </c>
      <c r="I514" t="s">
        <v>45</v>
      </c>
    </row>
    <row r="515" spans="1:9" x14ac:dyDescent="0.35">
      <c r="A515" t="s">
        <v>946</v>
      </c>
      <c r="D515">
        <v>2217</v>
      </c>
      <c r="E515" t="s">
        <v>1232</v>
      </c>
      <c r="F515" t="s">
        <v>45</v>
      </c>
      <c r="G515" t="s">
        <v>1252</v>
      </c>
      <c r="H515" t="s">
        <v>45</v>
      </c>
      <c r="I515" t="s">
        <v>45</v>
      </c>
    </row>
    <row r="516" spans="1:9" x14ac:dyDescent="0.35">
      <c r="A516" t="s">
        <v>953</v>
      </c>
      <c r="B516" t="s">
        <v>811</v>
      </c>
      <c r="C516" t="s">
        <v>45</v>
      </c>
      <c r="H516" t="s">
        <v>45</v>
      </c>
      <c r="I516" t="s">
        <v>45</v>
      </c>
    </row>
    <row r="517" spans="1:9" x14ac:dyDescent="0.35">
      <c r="A517" t="s">
        <v>953</v>
      </c>
      <c r="B517" t="s">
        <v>682</v>
      </c>
      <c r="C517" s="186" t="s">
        <v>615</v>
      </c>
      <c r="D517" s="186"/>
      <c r="H517" t="s">
        <v>45</v>
      </c>
      <c r="I517" t="s">
        <v>45</v>
      </c>
    </row>
    <row r="518" spans="1:9" x14ac:dyDescent="0.35">
      <c r="A518" t="s">
        <v>946</v>
      </c>
      <c r="D518" s="186">
        <v>2218</v>
      </c>
      <c r="E518" t="s">
        <v>1404</v>
      </c>
      <c r="F518" t="s">
        <v>202</v>
      </c>
      <c r="G518" t="s">
        <v>1252</v>
      </c>
      <c r="H518" t="s">
        <v>202</v>
      </c>
      <c r="I518" t="s">
        <v>45</v>
      </c>
    </row>
    <row r="519" spans="1:9" x14ac:dyDescent="0.35">
      <c r="A519" t="s">
        <v>953</v>
      </c>
      <c r="B519" t="s">
        <v>798</v>
      </c>
      <c r="C519" s="186" t="s">
        <v>202</v>
      </c>
      <c r="D519" s="186"/>
      <c r="H519" t="s">
        <v>1670</v>
      </c>
      <c r="I519" t="s">
        <v>45</v>
      </c>
    </row>
    <row r="520" spans="1:9" x14ac:dyDescent="0.35">
      <c r="A520" t="s">
        <v>946</v>
      </c>
      <c r="B520" t="s">
        <v>560</v>
      </c>
      <c r="C520" t="s">
        <v>44</v>
      </c>
      <c r="D520">
        <v>2136</v>
      </c>
      <c r="E520" t="s">
        <v>1235</v>
      </c>
      <c r="F520" t="s">
        <v>1234</v>
      </c>
      <c r="G520" t="s">
        <v>15</v>
      </c>
      <c r="H520" t="s">
        <v>884</v>
      </c>
      <c r="I520" t="s">
        <v>40</v>
      </c>
    </row>
    <row r="521" spans="1:9" x14ac:dyDescent="0.35">
      <c r="A521" t="s">
        <v>953</v>
      </c>
      <c r="B521" t="s">
        <v>848</v>
      </c>
      <c r="C521" t="s">
        <v>658</v>
      </c>
      <c r="H521" t="s">
        <v>884</v>
      </c>
      <c r="I521" t="s">
        <v>40</v>
      </c>
    </row>
    <row r="522" spans="1:9" x14ac:dyDescent="0.35">
      <c r="A522" t="s">
        <v>946</v>
      </c>
      <c r="D522">
        <v>2000</v>
      </c>
      <c r="E522" t="s">
        <v>1284</v>
      </c>
      <c r="F522" t="s">
        <v>1285</v>
      </c>
      <c r="G522" t="s">
        <v>15</v>
      </c>
      <c r="H522" t="s">
        <v>1671</v>
      </c>
      <c r="I522" t="s">
        <v>40</v>
      </c>
    </row>
    <row r="523" spans="1:9" x14ac:dyDescent="0.35">
      <c r="A523" t="s">
        <v>953</v>
      </c>
      <c r="B523" t="s">
        <v>1731</v>
      </c>
      <c r="C523" t="s">
        <v>1733</v>
      </c>
      <c r="D523">
        <v>1296</v>
      </c>
      <c r="E523">
        <v>301</v>
      </c>
      <c r="F523" t="s">
        <v>1750</v>
      </c>
      <c r="H523" t="s">
        <v>1733</v>
      </c>
      <c r="I523" t="s">
        <v>1733</v>
      </c>
    </row>
    <row r="524" spans="1:9" x14ac:dyDescent="0.35">
      <c r="A524" t="s">
        <v>946</v>
      </c>
      <c r="B524" t="s">
        <v>1732</v>
      </c>
      <c r="C524" t="s">
        <v>1733</v>
      </c>
      <c r="H524" t="s">
        <v>1733</v>
      </c>
      <c r="I524" t="s">
        <v>1733</v>
      </c>
    </row>
    <row r="525" spans="1:9" x14ac:dyDescent="0.35">
      <c r="A525" t="s">
        <v>946</v>
      </c>
      <c r="B525" t="s">
        <v>1787</v>
      </c>
      <c r="C525" t="s">
        <v>1756</v>
      </c>
      <c r="G525" t="s">
        <v>1788</v>
      </c>
      <c r="H525" t="s">
        <v>1756</v>
      </c>
      <c r="I525" t="s">
        <v>1789</v>
      </c>
    </row>
    <row r="526" spans="1:9" x14ac:dyDescent="0.35">
      <c r="A526" t="s">
        <v>946</v>
      </c>
      <c r="B526" t="s">
        <v>1790</v>
      </c>
      <c r="C526" t="s">
        <v>1758</v>
      </c>
      <c r="G526" t="s">
        <v>1788</v>
      </c>
      <c r="H526" t="s">
        <v>1758</v>
      </c>
      <c r="I526" t="s">
        <v>1789</v>
      </c>
    </row>
    <row r="527" spans="1:9" x14ac:dyDescent="0.35">
      <c r="A527" t="s">
        <v>946</v>
      </c>
      <c r="B527" t="s">
        <v>1791</v>
      </c>
      <c r="C527" t="s">
        <v>1759</v>
      </c>
      <c r="G527" t="s">
        <v>1788</v>
      </c>
      <c r="H527" t="s">
        <v>1759</v>
      </c>
      <c r="I527" t="s">
        <v>1789</v>
      </c>
    </row>
    <row r="528" spans="1:9" x14ac:dyDescent="0.35">
      <c r="A528" t="s">
        <v>946</v>
      </c>
      <c r="B528" t="s">
        <v>1792</v>
      </c>
      <c r="C528" t="s">
        <v>1760</v>
      </c>
      <c r="G528" t="s">
        <v>1788</v>
      </c>
      <c r="H528" t="s">
        <v>1760</v>
      </c>
      <c r="I528" t="s">
        <v>1789</v>
      </c>
    </row>
    <row r="529" spans="1:9" x14ac:dyDescent="0.35">
      <c r="A529" t="s">
        <v>946</v>
      </c>
      <c r="B529" t="s">
        <v>1793</v>
      </c>
      <c r="C529" t="s">
        <v>1761</v>
      </c>
      <c r="G529" t="s">
        <v>1788</v>
      </c>
      <c r="H529" t="s">
        <v>1761</v>
      </c>
      <c r="I529" t="s">
        <v>1789</v>
      </c>
    </row>
    <row r="530" spans="1:9" x14ac:dyDescent="0.35">
      <c r="A530" t="s">
        <v>946</v>
      </c>
      <c r="B530" t="s">
        <v>1794</v>
      </c>
      <c r="C530" t="s">
        <v>1762</v>
      </c>
      <c r="G530" t="s">
        <v>1788</v>
      </c>
      <c r="H530" t="s">
        <v>1762</v>
      </c>
      <c r="I530" t="s">
        <v>1789</v>
      </c>
    </row>
    <row r="531" spans="1:9" x14ac:dyDescent="0.35">
      <c r="A531" t="s">
        <v>946</v>
      </c>
      <c r="B531" t="s">
        <v>1795</v>
      </c>
      <c r="C531" t="s">
        <v>1763</v>
      </c>
      <c r="G531" t="s">
        <v>1788</v>
      </c>
      <c r="H531" t="s">
        <v>1763</v>
      </c>
      <c r="I531" t="s">
        <v>1789</v>
      </c>
    </row>
    <row r="532" spans="1:9" x14ac:dyDescent="0.35">
      <c r="A532" t="s">
        <v>946</v>
      </c>
      <c r="B532" t="s">
        <v>1796</v>
      </c>
      <c r="C532" t="s">
        <v>1765</v>
      </c>
      <c r="G532" t="s">
        <v>1788</v>
      </c>
      <c r="H532" t="s">
        <v>1765</v>
      </c>
      <c r="I532" t="s">
        <v>1789</v>
      </c>
    </row>
    <row r="533" spans="1:9" x14ac:dyDescent="0.35">
      <c r="A533" t="s">
        <v>946</v>
      </c>
      <c r="B533" t="s">
        <v>1797</v>
      </c>
      <c r="C533" t="s">
        <v>1766</v>
      </c>
      <c r="G533" t="s">
        <v>1788</v>
      </c>
      <c r="H533" t="s">
        <v>1766</v>
      </c>
      <c r="I533" t="s">
        <v>1789</v>
      </c>
    </row>
    <row r="534" spans="1:9" x14ac:dyDescent="0.35">
      <c r="A534" t="s">
        <v>946</v>
      </c>
      <c r="B534" t="s">
        <v>1798</v>
      </c>
      <c r="C534" t="s">
        <v>1767</v>
      </c>
      <c r="G534" t="s">
        <v>1788</v>
      </c>
      <c r="H534" t="s">
        <v>1767</v>
      </c>
      <c r="I534" t="s">
        <v>1789</v>
      </c>
    </row>
    <row r="535" spans="1:9" x14ac:dyDescent="0.35">
      <c r="A535" t="s">
        <v>946</v>
      </c>
      <c r="B535" t="s">
        <v>1799</v>
      </c>
      <c r="C535" t="s">
        <v>1768</v>
      </c>
      <c r="G535" t="s">
        <v>1788</v>
      </c>
      <c r="H535" t="s">
        <v>1768</v>
      </c>
      <c r="I535" t="s">
        <v>1789</v>
      </c>
    </row>
    <row r="536" spans="1:9" x14ac:dyDescent="0.35">
      <c r="A536" t="s">
        <v>946</v>
      </c>
      <c r="B536" t="s">
        <v>1800</v>
      </c>
      <c r="C536" t="s">
        <v>1769</v>
      </c>
      <c r="G536" t="s">
        <v>1788</v>
      </c>
      <c r="H536" t="s">
        <v>1769</v>
      </c>
      <c r="I536" t="s">
        <v>1789</v>
      </c>
    </row>
    <row r="537" spans="1:9" x14ac:dyDescent="0.35">
      <c r="A537" t="s">
        <v>946</v>
      </c>
      <c r="B537" t="s">
        <v>1801</v>
      </c>
      <c r="C537" t="s">
        <v>1770</v>
      </c>
      <c r="G537" t="s">
        <v>1788</v>
      </c>
      <c r="H537" t="s">
        <v>1770</v>
      </c>
      <c r="I537" t="s">
        <v>1789</v>
      </c>
    </row>
    <row r="538" spans="1:9" x14ac:dyDescent="0.35">
      <c r="A538" t="s">
        <v>946</v>
      </c>
      <c r="B538" t="s">
        <v>1802</v>
      </c>
      <c r="C538" t="s">
        <v>1772</v>
      </c>
      <c r="G538" t="s">
        <v>1788</v>
      </c>
      <c r="H538" t="s">
        <v>1772</v>
      </c>
      <c r="I538" t="s">
        <v>1789</v>
      </c>
    </row>
    <row r="539" spans="1:9" x14ac:dyDescent="0.35">
      <c r="A539" t="s">
        <v>946</v>
      </c>
      <c r="B539" t="s">
        <v>1803</v>
      </c>
      <c r="C539" t="s">
        <v>1773</v>
      </c>
      <c r="G539" t="s">
        <v>1788</v>
      </c>
      <c r="H539" t="s">
        <v>1773</v>
      </c>
      <c r="I539" t="s">
        <v>1789</v>
      </c>
    </row>
    <row r="540" spans="1:9" x14ac:dyDescent="0.35">
      <c r="A540" t="s">
        <v>946</v>
      </c>
      <c r="B540" t="s">
        <v>1804</v>
      </c>
      <c r="C540" t="s">
        <v>1774</v>
      </c>
      <c r="G540" t="s">
        <v>1788</v>
      </c>
      <c r="H540" t="s">
        <v>1774</v>
      </c>
      <c r="I540" t="s">
        <v>1789</v>
      </c>
    </row>
    <row r="541" spans="1:9" x14ac:dyDescent="0.35">
      <c r="A541" t="s">
        <v>946</v>
      </c>
      <c r="B541" t="s">
        <v>1805</v>
      </c>
      <c r="C541" t="s">
        <v>1775</v>
      </c>
      <c r="G541" t="s">
        <v>1788</v>
      </c>
      <c r="H541" t="s">
        <v>1775</v>
      </c>
      <c r="I541" t="s">
        <v>1789</v>
      </c>
    </row>
    <row r="542" spans="1:9" x14ac:dyDescent="0.35">
      <c r="A542" t="s">
        <v>946</v>
      </c>
      <c r="B542" t="s">
        <v>1806</v>
      </c>
      <c r="C542" t="s">
        <v>1777</v>
      </c>
      <c r="G542" t="s">
        <v>1788</v>
      </c>
      <c r="H542" t="s">
        <v>1777</v>
      </c>
      <c r="I542" t="s">
        <v>1789</v>
      </c>
    </row>
    <row r="543" spans="1:9" x14ac:dyDescent="0.35">
      <c r="A543" t="s">
        <v>946</v>
      </c>
      <c r="B543" t="s">
        <v>1807</v>
      </c>
      <c r="C543" t="s">
        <v>1778</v>
      </c>
      <c r="G543" t="s">
        <v>1788</v>
      </c>
      <c r="H543" t="s">
        <v>1778</v>
      </c>
      <c r="I543" t="s">
        <v>1789</v>
      </c>
    </row>
    <row r="544" spans="1:9" x14ac:dyDescent="0.35">
      <c r="A544" t="s">
        <v>946</v>
      </c>
      <c r="B544" t="s">
        <v>1808</v>
      </c>
      <c r="C544" t="s">
        <v>1779</v>
      </c>
      <c r="G544" t="s">
        <v>1788</v>
      </c>
      <c r="H544" t="s">
        <v>1779</v>
      </c>
      <c r="I544" t="s">
        <v>1789</v>
      </c>
    </row>
    <row r="545" spans="1:9" x14ac:dyDescent="0.35">
      <c r="A545" t="s">
        <v>946</v>
      </c>
      <c r="B545" t="s">
        <v>1809</v>
      </c>
      <c r="C545" t="s">
        <v>1780</v>
      </c>
      <c r="G545" t="s">
        <v>1788</v>
      </c>
      <c r="H545" t="s">
        <v>1780</v>
      </c>
      <c r="I545" t="s">
        <v>1789</v>
      </c>
    </row>
    <row r="546" spans="1:9" x14ac:dyDescent="0.35">
      <c r="A546" t="s">
        <v>946</v>
      </c>
      <c r="B546" t="s">
        <v>1810</v>
      </c>
      <c r="C546" t="s">
        <v>1781</v>
      </c>
      <c r="G546" t="s">
        <v>1788</v>
      </c>
      <c r="H546" t="s">
        <v>1781</v>
      </c>
      <c r="I546" t="s">
        <v>1789</v>
      </c>
    </row>
    <row r="547" spans="1:9" x14ac:dyDescent="0.35">
      <c r="A547" t="s">
        <v>946</v>
      </c>
      <c r="B547" t="s">
        <v>1950</v>
      </c>
      <c r="C547" t="s">
        <v>1951</v>
      </c>
      <c r="G547" t="s">
        <v>1788</v>
      </c>
      <c r="H547" t="s">
        <v>1951</v>
      </c>
      <c r="I547" t="s">
        <v>1789</v>
      </c>
    </row>
    <row r="548" spans="1:9" x14ac:dyDescent="0.35">
      <c r="A548" s="554" t="s">
        <v>953</v>
      </c>
      <c r="B548" s="555" t="s">
        <v>1952</v>
      </c>
      <c r="C548" s="555" t="s">
        <v>1953</v>
      </c>
      <c r="D548" s="555">
        <v>1118</v>
      </c>
      <c r="E548" s="555">
        <v>58</v>
      </c>
      <c r="F548" s="555" t="s">
        <v>1954</v>
      </c>
      <c r="G548" s="554" t="s">
        <v>14</v>
      </c>
      <c r="H548" s="554" t="s">
        <v>1827</v>
      </c>
      <c r="I548" s="554" t="s">
        <v>1824</v>
      </c>
    </row>
    <row r="549" spans="1:9" x14ac:dyDescent="0.35">
      <c r="A549" s="554" t="s">
        <v>953</v>
      </c>
      <c r="B549" s="555" t="s">
        <v>1955</v>
      </c>
      <c r="C549" s="555" t="s">
        <v>1402</v>
      </c>
      <c r="D549" s="554"/>
      <c r="E549" s="554"/>
      <c r="F549" s="554"/>
      <c r="G549" s="554" t="s">
        <v>14</v>
      </c>
      <c r="H549" s="554" t="s">
        <v>1828</v>
      </c>
      <c r="I549" s="554" t="s">
        <v>1824</v>
      </c>
    </row>
    <row r="550" spans="1:9" x14ac:dyDescent="0.35">
      <c r="A550" s="554" t="s">
        <v>953</v>
      </c>
      <c r="B550" s="555" t="s">
        <v>1956</v>
      </c>
      <c r="C550" s="555" t="s">
        <v>1957</v>
      </c>
      <c r="D550" s="555">
        <v>1154</v>
      </c>
      <c r="E550" s="555">
        <v>91</v>
      </c>
      <c r="F550" s="555" t="s">
        <v>1957</v>
      </c>
      <c r="G550" s="554" t="s">
        <v>14</v>
      </c>
      <c r="H550" s="554" t="s">
        <v>1829</v>
      </c>
      <c r="I550" s="554" t="s">
        <v>1824</v>
      </c>
    </row>
    <row r="551" spans="1:9" x14ac:dyDescent="0.35">
      <c r="A551" s="554" t="s">
        <v>953</v>
      </c>
      <c r="B551" s="555" t="s">
        <v>1958</v>
      </c>
      <c r="C551" s="555" t="s">
        <v>1959</v>
      </c>
      <c r="D551" s="555">
        <v>1151</v>
      </c>
      <c r="E551" s="555">
        <v>88</v>
      </c>
      <c r="F551" s="555" t="s">
        <v>1960</v>
      </c>
      <c r="G551" s="554" t="s">
        <v>14</v>
      </c>
      <c r="H551" s="554" t="s">
        <v>1830</v>
      </c>
      <c r="I551" s="554" t="s">
        <v>1824</v>
      </c>
    </row>
    <row r="552" spans="1:9" x14ac:dyDescent="0.35">
      <c r="A552" s="554" t="s">
        <v>953</v>
      </c>
      <c r="B552" s="554"/>
      <c r="C552" s="554"/>
      <c r="D552" s="555">
        <v>1029</v>
      </c>
      <c r="E552" s="555">
        <v>20</v>
      </c>
      <c r="F552" s="555" t="s">
        <v>1961</v>
      </c>
      <c r="G552" s="554" t="s">
        <v>14</v>
      </c>
      <c r="H552" s="554" t="s">
        <v>1831</v>
      </c>
      <c r="I552" s="554" t="s">
        <v>1824</v>
      </c>
    </row>
    <row r="553" spans="1:9" x14ac:dyDescent="0.35">
      <c r="A553" s="554" t="s">
        <v>953</v>
      </c>
      <c r="B553" s="555" t="s">
        <v>1962</v>
      </c>
      <c r="C553" s="555" t="s">
        <v>1963</v>
      </c>
      <c r="D553" s="555">
        <v>1162</v>
      </c>
      <c r="E553" s="555">
        <v>99</v>
      </c>
      <c r="F553" s="555" t="s">
        <v>1963</v>
      </c>
      <c r="G553" s="554" t="s">
        <v>14</v>
      </c>
      <c r="H553" s="554" t="s">
        <v>1832</v>
      </c>
      <c r="I553" s="554" t="s">
        <v>1824</v>
      </c>
    </row>
    <row r="554" spans="1:9" x14ac:dyDescent="0.35">
      <c r="A554" s="554" t="s">
        <v>953</v>
      </c>
      <c r="B554" s="554"/>
      <c r="C554" s="554"/>
      <c r="D554" s="554"/>
      <c r="E554" s="554"/>
      <c r="F554" s="554"/>
      <c r="G554" s="554" t="s">
        <v>14</v>
      </c>
      <c r="H554" s="554" t="s">
        <v>1833</v>
      </c>
      <c r="I554" s="554" t="s">
        <v>1824</v>
      </c>
    </row>
    <row r="555" spans="1:9" x14ac:dyDescent="0.35">
      <c r="A555" s="554" t="s">
        <v>953</v>
      </c>
      <c r="B555" s="555" t="s">
        <v>1964</v>
      </c>
      <c r="C555" s="555" t="s">
        <v>1965</v>
      </c>
      <c r="D555" s="555">
        <v>1120</v>
      </c>
      <c r="E555" s="555">
        <v>60</v>
      </c>
      <c r="F555" s="555" t="s">
        <v>1966</v>
      </c>
      <c r="G555" s="554" t="s">
        <v>14</v>
      </c>
      <c r="H555" s="554" t="s">
        <v>1834</v>
      </c>
      <c r="I555" s="554" t="s">
        <v>1824</v>
      </c>
    </row>
    <row r="556" spans="1:9" x14ac:dyDescent="0.35">
      <c r="A556" s="554" t="s">
        <v>953</v>
      </c>
      <c r="B556" s="555" t="s">
        <v>1967</v>
      </c>
      <c r="C556" s="555" t="s">
        <v>1968</v>
      </c>
      <c r="D556" s="555">
        <v>1114</v>
      </c>
      <c r="E556" s="555">
        <v>54</v>
      </c>
      <c r="F556" s="555" t="s">
        <v>1969</v>
      </c>
      <c r="G556" s="554" t="s">
        <v>14</v>
      </c>
      <c r="H556" s="554" t="s">
        <v>1835</v>
      </c>
      <c r="I556" s="554" t="s">
        <v>1824</v>
      </c>
    </row>
    <row r="557" spans="1:9" x14ac:dyDescent="0.35">
      <c r="A557" s="554" t="s">
        <v>953</v>
      </c>
      <c r="B557" s="555" t="s">
        <v>1970</v>
      </c>
      <c r="C557" s="555" t="s">
        <v>1971</v>
      </c>
      <c r="D557" s="555">
        <v>1176</v>
      </c>
      <c r="E557" s="555">
        <v>130</v>
      </c>
      <c r="F557" s="555" t="s">
        <v>1972</v>
      </c>
      <c r="G557" s="554" t="s">
        <v>14</v>
      </c>
      <c r="H557" s="554" t="s">
        <v>1836</v>
      </c>
      <c r="I557" s="554" t="s">
        <v>1824</v>
      </c>
    </row>
    <row r="558" spans="1:9" x14ac:dyDescent="0.35">
      <c r="A558" s="554" t="s">
        <v>953</v>
      </c>
      <c r="B558" s="555" t="s">
        <v>1973</v>
      </c>
      <c r="C558" s="555" t="s">
        <v>1974</v>
      </c>
      <c r="D558" s="555">
        <v>1146</v>
      </c>
      <c r="E558" s="555">
        <v>83</v>
      </c>
      <c r="F558" s="555" t="s">
        <v>1974</v>
      </c>
      <c r="G558" s="554" t="s">
        <v>14</v>
      </c>
      <c r="H558" s="554" t="s">
        <v>1837</v>
      </c>
      <c r="I558" s="554" t="s">
        <v>1824</v>
      </c>
    </row>
    <row r="559" spans="1:9" x14ac:dyDescent="0.35">
      <c r="A559" s="554" t="s">
        <v>953</v>
      </c>
      <c r="B559" s="555" t="s">
        <v>1975</v>
      </c>
      <c r="C559" s="555" t="s">
        <v>1976</v>
      </c>
      <c r="D559" s="555">
        <v>1150</v>
      </c>
      <c r="E559" s="555">
        <v>87</v>
      </c>
      <c r="F559" s="555" t="s">
        <v>1976</v>
      </c>
      <c r="G559" s="554" t="s">
        <v>14</v>
      </c>
      <c r="H559" s="554" t="s">
        <v>1838</v>
      </c>
      <c r="I559" s="554" t="s">
        <v>1824</v>
      </c>
    </row>
    <row r="560" spans="1:9" x14ac:dyDescent="0.35">
      <c r="A560" s="554" t="s">
        <v>953</v>
      </c>
      <c r="B560" s="555" t="s">
        <v>1977</v>
      </c>
      <c r="C560" s="555" t="s">
        <v>1978</v>
      </c>
      <c r="D560" s="555">
        <v>1121</v>
      </c>
      <c r="E560" s="555">
        <v>61</v>
      </c>
      <c r="F560" s="555" t="s">
        <v>1979</v>
      </c>
      <c r="G560" s="554" t="s">
        <v>14</v>
      </c>
      <c r="H560" s="554" t="s">
        <v>1839</v>
      </c>
      <c r="I560" s="554" t="s">
        <v>1824</v>
      </c>
    </row>
    <row r="561" spans="1:9" x14ac:dyDescent="0.35">
      <c r="A561" s="554" t="s">
        <v>953</v>
      </c>
      <c r="B561" s="555" t="s">
        <v>1980</v>
      </c>
      <c r="C561" s="555" t="s">
        <v>1981</v>
      </c>
      <c r="D561" s="555">
        <v>1117</v>
      </c>
      <c r="E561" s="555">
        <v>57</v>
      </c>
      <c r="F561" s="555" t="s">
        <v>1982</v>
      </c>
      <c r="G561" s="554" t="s">
        <v>14</v>
      </c>
      <c r="H561" s="554" t="s">
        <v>1840</v>
      </c>
      <c r="I561" s="554" t="s">
        <v>1824</v>
      </c>
    </row>
    <row r="562" spans="1:9" x14ac:dyDescent="0.35">
      <c r="A562" s="554" t="s">
        <v>953</v>
      </c>
      <c r="B562" s="555" t="s">
        <v>1983</v>
      </c>
      <c r="C562" s="555" t="s">
        <v>1984</v>
      </c>
      <c r="D562" s="555">
        <v>1113</v>
      </c>
      <c r="E562" s="555">
        <v>53</v>
      </c>
      <c r="F562" s="555" t="s">
        <v>1985</v>
      </c>
      <c r="G562" s="554" t="s">
        <v>14</v>
      </c>
      <c r="H562" s="554" t="s">
        <v>1841</v>
      </c>
      <c r="I562" s="554" t="s">
        <v>1824</v>
      </c>
    </row>
    <row r="563" spans="1:9" x14ac:dyDescent="0.35">
      <c r="A563" s="554" t="s">
        <v>953</v>
      </c>
      <c r="B563" s="554"/>
      <c r="C563" s="554"/>
      <c r="D563" s="555">
        <v>2184</v>
      </c>
      <c r="E563" s="555" t="s">
        <v>1986</v>
      </c>
      <c r="F563" s="555" t="s">
        <v>1987</v>
      </c>
      <c r="G563" s="554" t="s">
        <v>15</v>
      </c>
      <c r="H563" s="554" t="s">
        <v>1843</v>
      </c>
      <c r="I563" s="554" t="s">
        <v>1824</v>
      </c>
    </row>
    <row r="564" spans="1:9" x14ac:dyDescent="0.35">
      <c r="A564" s="554" t="s">
        <v>953</v>
      </c>
      <c r="B564" s="554"/>
      <c r="C564" s="554"/>
      <c r="D564" s="554"/>
      <c r="E564" s="554"/>
      <c r="F564" s="554"/>
      <c r="G564" s="554" t="s">
        <v>15</v>
      </c>
      <c r="H564" s="554" t="s">
        <v>1844</v>
      </c>
      <c r="I564" s="554" t="s">
        <v>1824</v>
      </c>
    </row>
    <row r="565" spans="1:9" x14ac:dyDescent="0.35">
      <c r="A565" s="554" t="s">
        <v>953</v>
      </c>
      <c r="B565" s="554"/>
      <c r="C565" s="554"/>
      <c r="D565" s="555">
        <v>2179</v>
      </c>
      <c r="E565" s="555" t="s">
        <v>1988</v>
      </c>
      <c r="F565" s="555" t="s">
        <v>1989</v>
      </c>
      <c r="G565" s="554" t="s">
        <v>15</v>
      </c>
      <c r="H565" s="554" t="s">
        <v>1845</v>
      </c>
      <c r="I565" s="554" t="s">
        <v>1824</v>
      </c>
    </row>
    <row r="566" spans="1:9" x14ac:dyDescent="0.35">
      <c r="A566" s="554" t="s">
        <v>953</v>
      </c>
      <c r="B566" s="554"/>
      <c r="C566" s="554"/>
      <c r="D566" s="554"/>
      <c r="E566" s="554"/>
      <c r="F566" s="554"/>
      <c r="G566" s="554" t="s">
        <v>15</v>
      </c>
      <c r="H566" s="554" t="s">
        <v>1846</v>
      </c>
      <c r="I566" s="554" t="s">
        <v>1824</v>
      </c>
    </row>
    <row r="567" spans="1:9" x14ac:dyDescent="0.35">
      <c r="A567" s="554" t="s">
        <v>953</v>
      </c>
      <c r="B567" s="554"/>
      <c r="C567" s="554"/>
      <c r="D567" s="555">
        <v>2182</v>
      </c>
      <c r="E567" s="555">
        <v>57</v>
      </c>
      <c r="F567" s="555" t="s">
        <v>1990</v>
      </c>
      <c r="G567" s="554" t="s">
        <v>15</v>
      </c>
      <c r="H567" s="554" t="s">
        <v>1847</v>
      </c>
      <c r="I567" s="554" t="s">
        <v>1824</v>
      </c>
    </row>
    <row r="568" spans="1:9" x14ac:dyDescent="0.35">
      <c r="A568" s="554" t="s">
        <v>953</v>
      </c>
      <c r="B568" s="554"/>
      <c r="C568" s="554"/>
      <c r="D568" s="555">
        <v>2180</v>
      </c>
      <c r="E568" s="555">
        <v>53</v>
      </c>
      <c r="F568" s="555" t="s">
        <v>1991</v>
      </c>
      <c r="G568" s="554" t="s">
        <v>15</v>
      </c>
      <c r="H568" s="554" t="s">
        <v>1848</v>
      </c>
      <c r="I568" s="554" t="s">
        <v>1824</v>
      </c>
    </row>
    <row r="569" spans="1:9" x14ac:dyDescent="0.35">
      <c r="A569" s="554" t="s">
        <v>953</v>
      </c>
      <c r="B569" s="554"/>
      <c r="C569" s="554"/>
      <c r="D569" s="555">
        <v>2186</v>
      </c>
      <c r="E569" s="555">
        <v>60</v>
      </c>
      <c r="F569" s="555" t="s">
        <v>1992</v>
      </c>
      <c r="G569" s="554" t="s">
        <v>15</v>
      </c>
      <c r="H569" s="554" t="s">
        <v>1849</v>
      </c>
      <c r="I569" s="554" t="s">
        <v>1824</v>
      </c>
    </row>
    <row r="570" spans="1:9" x14ac:dyDescent="0.35">
      <c r="A570" s="554" t="s">
        <v>953</v>
      </c>
      <c r="B570" s="555"/>
      <c r="C570" s="555"/>
      <c r="D570" s="555"/>
      <c r="E570" s="555"/>
      <c r="F570" s="555"/>
      <c r="G570" s="554" t="s">
        <v>15</v>
      </c>
      <c r="H570" s="554" t="s">
        <v>1850</v>
      </c>
      <c r="I570" s="554" t="s">
        <v>1824</v>
      </c>
    </row>
    <row r="571" spans="1:9" x14ac:dyDescent="0.35">
      <c r="A571" s="554" t="s">
        <v>953</v>
      </c>
      <c r="B571" s="554"/>
      <c r="C571" s="554"/>
      <c r="D571" s="555">
        <v>2181</v>
      </c>
      <c r="E571" s="555">
        <v>54</v>
      </c>
      <c r="F571" s="555" t="s">
        <v>1993</v>
      </c>
      <c r="G571" s="554" t="s">
        <v>15</v>
      </c>
      <c r="H571" s="554" t="s">
        <v>1851</v>
      </c>
      <c r="I571" s="554" t="s">
        <v>1824</v>
      </c>
    </row>
    <row r="572" spans="1:9" x14ac:dyDescent="0.35">
      <c r="A572" s="554" t="s">
        <v>953</v>
      </c>
      <c r="B572" s="554"/>
      <c r="C572" s="554"/>
      <c r="D572" s="554"/>
      <c r="E572" s="554"/>
      <c r="F572" s="554"/>
      <c r="G572" s="554" t="s">
        <v>15</v>
      </c>
      <c r="H572" s="554" t="s">
        <v>1852</v>
      </c>
      <c r="I572" s="554" t="s">
        <v>1824</v>
      </c>
    </row>
    <row r="573" spans="1:9" x14ac:dyDescent="0.35">
      <c r="A573" s="554" t="s">
        <v>953</v>
      </c>
      <c r="B573" s="554"/>
      <c r="C573" s="554"/>
      <c r="D573" s="555">
        <v>2183</v>
      </c>
      <c r="E573" s="555" t="s">
        <v>1994</v>
      </c>
      <c r="F573" s="555" t="s">
        <v>1995</v>
      </c>
      <c r="G573" s="554" t="s">
        <v>15</v>
      </c>
      <c r="H573" s="554" t="s">
        <v>1854</v>
      </c>
      <c r="I573" s="554" t="s">
        <v>1824</v>
      </c>
    </row>
    <row r="574" spans="1:9" x14ac:dyDescent="0.35">
      <c r="A574" s="554" t="s">
        <v>953</v>
      </c>
      <c r="B574" s="554"/>
      <c r="C574" s="554"/>
      <c r="D574" s="554"/>
      <c r="E574" s="554"/>
      <c r="F574" s="554"/>
      <c r="G574" s="554" t="s">
        <v>15</v>
      </c>
      <c r="H574" s="554" t="s">
        <v>1855</v>
      </c>
      <c r="I574" s="554" t="s">
        <v>1824</v>
      </c>
    </row>
    <row r="575" spans="1:9" x14ac:dyDescent="0.35">
      <c r="A575" s="554" t="s">
        <v>953</v>
      </c>
      <c r="B575" s="554"/>
      <c r="C575" s="554"/>
      <c r="D575" s="555">
        <v>2190</v>
      </c>
      <c r="E575" s="555">
        <v>86</v>
      </c>
      <c r="F575" s="555" t="s">
        <v>1996</v>
      </c>
      <c r="G575" s="554" t="s">
        <v>15</v>
      </c>
      <c r="H575" s="554" t="s">
        <v>1856</v>
      </c>
      <c r="I575" s="554" t="s">
        <v>1824</v>
      </c>
    </row>
    <row r="576" spans="1:9" x14ac:dyDescent="0.35">
      <c r="A576" s="554" t="s">
        <v>953</v>
      </c>
      <c r="B576" s="554"/>
      <c r="C576" s="554"/>
      <c r="D576" s="555">
        <v>2191</v>
      </c>
      <c r="E576" s="555">
        <v>87</v>
      </c>
      <c r="F576" s="555" t="s">
        <v>1997</v>
      </c>
      <c r="G576" s="554" t="s">
        <v>15</v>
      </c>
      <c r="H576" s="554" t="s">
        <v>1857</v>
      </c>
      <c r="I576" s="554" t="s">
        <v>1824</v>
      </c>
    </row>
    <row r="577" spans="1:9" x14ac:dyDescent="0.35">
      <c r="A577" s="554" t="s">
        <v>953</v>
      </c>
      <c r="B577" s="555"/>
      <c r="C577" s="555"/>
      <c r="D577" s="555">
        <v>2189</v>
      </c>
      <c r="E577" s="555">
        <v>85</v>
      </c>
      <c r="F577" s="555" t="s">
        <v>1998</v>
      </c>
      <c r="G577" s="554" t="s">
        <v>15</v>
      </c>
      <c r="H577" s="554" t="s">
        <v>1858</v>
      </c>
      <c r="I577" s="554" t="s">
        <v>1824</v>
      </c>
    </row>
    <row r="578" spans="1:9" x14ac:dyDescent="0.35">
      <c r="A578" s="554" t="s">
        <v>953</v>
      </c>
      <c r="B578" s="555" t="s">
        <v>1999</v>
      </c>
      <c r="C578" s="555" t="s">
        <v>2000</v>
      </c>
      <c r="D578" s="554">
        <v>2193</v>
      </c>
      <c r="E578" s="554">
        <v>900</v>
      </c>
      <c r="F578" s="554" t="s">
        <v>2001</v>
      </c>
      <c r="G578" s="554" t="s">
        <v>15</v>
      </c>
      <c r="H578" s="554" t="s">
        <v>1859</v>
      </c>
      <c r="I578" s="554" t="s">
        <v>1824</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ontents xmlns="be085c04-4b71-4e57-ab40-c3446d3954b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413552851CBC54EA99432460EB58CBB" ma:contentTypeVersion="13" ma:contentTypeDescription="Create a new document." ma:contentTypeScope="" ma:versionID="72ea465631730af5d681b82576ae9385">
  <xsd:schema xmlns:xsd="http://www.w3.org/2001/XMLSchema" xmlns:xs="http://www.w3.org/2001/XMLSchema" xmlns:p="http://schemas.microsoft.com/office/2006/metadata/properties" xmlns:ns2="be085c04-4b71-4e57-ab40-c3446d3954b0" xmlns:ns3="7a32e797-38fc-477e-b85f-063f6075e202" targetNamespace="http://schemas.microsoft.com/office/2006/metadata/properties" ma:root="true" ma:fieldsID="38f7d523c697a203b019614fc44c5e23" ns2:_="" ns3:_="">
    <xsd:import namespace="be085c04-4b71-4e57-ab40-c3446d3954b0"/>
    <xsd:import namespace="7a32e797-38fc-477e-b85f-063f6075e202"/>
    <xsd:element name="properties">
      <xsd:complexType>
        <xsd:sequence>
          <xsd:element name="documentManagement">
            <xsd:complexType>
              <xsd:all>
                <xsd:element ref="ns2:MediaServiceMetadata" minOccurs="0"/>
                <xsd:element ref="ns2:MediaServiceFastMetadata" minOccurs="0"/>
                <xsd:element ref="ns2:Contents" minOccurs="0"/>
                <xsd:element ref="ns3:SharedWithUsers" minOccurs="0"/>
                <xsd:element ref="ns3:SharedWithDetail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e085c04-4b71-4e57-ab40-c3446d395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Contents" ma:index="10" nillable="true" ma:displayName="Contents" ma:description="Test 1, Test 2, Test 3" ma:format="Dropdown" ma:internalName="Contents">
      <xsd:simpleType>
        <xsd:restriction base="dms:Text">
          <xsd:maxLength value="255"/>
        </xsd:restriction>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SearchProperties" ma:index="1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a32e797-38fc-477e-b85f-063f6075e20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3C45B96-7844-4766-B06E-6BF71C275245}">
  <ds:schemaRefs>
    <ds:schemaRef ds:uri="http://schemas.microsoft.com/office/2006/documentManagement/types"/>
    <ds:schemaRef ds:uri="http://purl.org/dc/terms/"/>
    <ds:schemaRef ds:uri="http://purl.org/dc/dcmitype/"/>
    <ds:schemaRef ds:uri="http://schemas.openxmlformats.org/package/2006/metadata/core-properties"/>
    <ds:schemaRef ds:uri="http://schemas.microsoft.com/office/2006/metadata/properties"/>
    <ds:schemaRef ds:uri="http://www.w3.org/XML/1998/namespace"/>
    <ds:schemaRef ds:uri="http://purl.org/dc/elements/1.1/"/>
    <ds:schemaRef ds:uri="http://schemas.microsoft.com/office/infopath/2007/PartnerControls"/>
    <ds:schemaRef ds:uri="7a32e797-38fc-477e-b85f-063f6075e202"/>
    <ds:schemaRef ds:uri="be085c04-4b71-4e57-ab40-c3446d3954b0"/>
  </ds:schemaRefs>
</ds:datastoreItem>
</file>

<file path=customXml/itemProps2.xml><?xml version="1.0" encoding="utf-8"?>
<ds:datastoreItem xmlns:ds="http://schemas.openxmlformats.org/officeDocument/2006/customXml" ds:itemID="{EB5C863E-3A31-409D-82DF-E1B400FF7F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e085c04-4b71-4e57-ab40-c3446d3954b0"/>
    <ds:schemaRef ds:uri="7a32e797-38fc-477e-b85f-063f6075e2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66F1F4-5585-49C6-B937-8AE4D02A950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25</vt:i4>
      </vt:variant>
    </vt:vector>
  </HeadingPairs>
  <TitlesOfParts>
    <vt:vector size="49" baseType="lpstr">
      <vt:lpstr>Selection</vt:lpstr>
      <vt:lpstr>Navigation Tab</vt:lpstr>
      <vt:lpstr>Patient</vt:lpstr>
      <vt:lpstr>Developer Notes</vt:lpstr>
      <vt:lpstr>Queries</vt:lpstr>
      <vt:lpstr>Surcharge Data</vt:lpstr>
      <vt:lpstr>Discount Data</vt:lpstr>
      <vt:lpstr>By Zone Charges</vt:lpstr>
      <vt:lpstr>ExDom Parcel</vt:lpstr>
      <vt:lpstr>Clearance Fee</vt:lpstr>
      <vt:lpstr>Pickup Fee</vt:lpstr>
      <vt:lpstr>Ground</vt:lpstr>
      <vt:lpstr>Ground Economy</vt:lpstr>
      <vt:lpstr>ExDom Freight</vt:lpstr>
      <vt:lpstr>ExIntl Parcel</vt:lpstr>
      <vt:lpstr>ExIntl Freight</vt:lpstr>
      <vt:lpstr>OpCo Summary</vt:lpstr>
      <vt:lpstr>Top Surcharge Overview</vt:lpstr>
      <vt:lpstr>Full Surcharge Overview</vt:lpstr>
      <vt:lpstr>Only Discounted Surcharges</vt:lpstr>
      <vt:lpstr>Discount Overview</vt:lpstr>
      <vt:lpstr>Invoiced Data Overview</vt:lpstr>
      <vt:lpstr>Surcharge Master Data</vt:lpstr>
      <vt:lpstr>Surcharge Master List</vt:lpstr>
      <vt:lpstr>Category</vt:lpstr>
      <vt:lpstr>D_Amount</vt:lpstr>
      <vt:lpstr>D_Category</vt:lpstr>
      <vt:lpstr>D_Code</vt:lpstr>
      <vt:lpstr>D_EffDate</vt:lpstr>
      <vt:lpstr>D_Percent</vt:lpstr>
      <vt:lpstr>D_Product</vt:lpstr>
      <vt:lpstr>D_SC_Category</vt:lpstr>
      <vt:lpstr>D_SC_Name</vt:lpstr>
      <vt:lpstr>D_Zone</vt:lpstr>
      <vt:lpstr>'Developer Notes'!Intl</vt:lpstr>
      <vt:lpstr>Intl</vt:lpstr>
      <vt:lpstr>'Developer Notes'!OpCo</vt:lpstr>
      <vt:lpstr>OpCo</vt:lpstr>
      <vt:lpstr>'By Zone Charges'!Print_Area</vt:lpstr>
      <vt:lpstr>'Developer Notes'!Product</vt:lpstr>
      <vt:lpstr>Product</vt:lpstr>
      <vt:lpstr>'Developer Notes'!SC_Cat</vt:lpstr>
      <vt:lpstr>SC_Cat</vt:lpstr>
      <vt:lpstr>'Developer Notes'!SC_Count</vt:lpstr>
      <vt:lpstr>SC_Count</vt:lpstr>
      <vt:lpstr>'Developer Notes'!SC_Name</vt:lpstr>
      <vt:lpstr>SC_Name</vt:lpstr>
      <vt:lpstr>SC_Spend</vt:lpstr>
      <vt:lpstr>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Vishal Kadam</cp:lastModifiedBy>
  <cp:lastPrinted>2016-12-05T16:41:53Z</cp:lastPrinted>
  <dcterms:created xsi:type="dcterms:W3CDTF">2015-04-17T17:46:00Z</dcterms:created>
  <dcterms:modified xsi:type="dcterms:W3CDTF">2026-09-02T09:47:31Z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0x010100E413552851CBC54EA99432460EB58CBB</vt:lpwstr>
  </property>
</Properties>
</file>